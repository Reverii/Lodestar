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5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lights" sheetId="2" state="visible" r:id="rId2"/>
    <sheet xmlns:r="http://schemas.openxmlformats.org/officeDocument/2006/relationships" name="Day Status" sheetId="3" state="visible" r:id="rId3"/>
    <sheet xmlns:r="http://schemas.openxmlformats.org/officeDocument/2006/relationships" name="Ground Programme" sheetId="4" state="visible" r:id="rId4"/>
    <sheet xmlns:r="http://schemas.openxmlformats.org/officeDocument/2006/relationships" name="Requests" sheetId="5" state="visible" r:id="rId5"/>
    <sheet xmlns:r="http://schemas.openxmlformats.org/officeDocument/2006/relationships" name="Flight Codes" sheetId="6" state="visible" r:id="rId6"/>
    <sheet xmlns:r="http://schemas.openxmlformats.org/officeDocument/2006/relationships" name="Jan" sheetId="7" state="visible" r:id="rId7"/>
    <sheet xmlns:r="http://schemas.openxmlformats.org/officeDocument/2006/relationships" name="Feb" sheetId="8" state="visible" r:id="rId8"/>
    <sheet xmlns:r="http://schemas.openxmlformats.org/officeDocument/2006/relationships" name="Mar" sheetId="9" state="visible" r:id="rId9"/>
    <sheet xmlns:r="http://schemas.openxmlformats.org/officeDocument/2006/relationships" name="Apr" sheetId="10" state="visible" r:id="rId10"/>
    <sheet xmlns:r="http://schemas.openxmlformats.org/officeDocument/2006/relationships" name="May" sheetId="11" state="visible" r:id="rId11"/>
    <sheet xmlns:r="http://schemas.openxmlformats.org/officeDocument/2006/relationships" name="Jun" sheetId="12" state="visible" r:id="rId12"/>
    <sheet xmlns:r="http://schemas.openxmlformats.org/officeDocument/2006/relationships" name="Jul" sheetId="13" state="visible" r:id="rId13"/>
    <sheet xmlns:r="http://schemas.openxmlformats.org/officeDocument/2006/relationships" name="Aug" sheetId="14" state="visible" r:id="rId14"/>
    <sheet xmlns:r="http://schemas.openxmlformats.org/officeDocument/2006/relationships" name="Sep" sheetId="15" state="visible" r:id="rId15"/>
    <sheet xmlns:r="http://schemas.openxmlformats.org/officeDocument/2006/relationships" name="Oct" sheetId="16" state="visible" r:id="rId16"/>
    <sheet xmlns:r="http://schemas.openxmlformats.org/officeDocument/2006/relationships" name="Nov" sheetId="17" state="visible" r:id="rId17"/>
    <sheet xmlns:r="http://schemas.openxmlformats.org/officeDocument/2006/relationships" name="Dec" sheetId="18" state="visible" r:id="rId18"/>
    <sheet xmlns:r="http://schemas.openxmlformats.org/officeDocument/2006/relationships" name="Jan (next year)" sheetId="19" state="visible" r:id="rId19"/>
  </sheets>
  <definedNames>
    <definedName name="PlanYear">Dashboard!$A$5</definedName>
    <definedName name="GrList">OFFSET('Flight Codes'!$I$6,0,0,MAX(1,COUNTA('Flight Codes'!$I$6:$I$25)),1)</definedName>
    <definedName name="FlCodes">OFFSET('Flight Codes'!$A$6,0,0,MAX(1,COUNTA('Flight Codes'!$A$6:$A$45)),1)</definedName>
    <definedName name="CodeTable">'Flight Codes'!$A$6:$E$45</definedName>
    <definedName name="DayStatusList">OFFSET('Flight Codes'!$G$6,0,0,MAX(1,COUNTA('Flight Codes'!$G$6:$G$17)),1)</definedName>
    <definedName name="FlDate">Flights!$A$6:$A$1005</definedName>
    <definedName name="FlShift">Flights!$B$6:$B$1005</definedName>
    <definedName name="FlCode">Flights!$C$6:$C$1005</definedName>
    <definedName name="FlTime">Flights!$D$6:$D$1005</definedName>
    <definedName name="FlKey">Flights!$I$6:$I$1005</definedName>
    <definedName name="FlOrder">Flights!$J$6:$J$1005</definedName>
    <definedName name="FlSorties">Flights!$G$6:$G$1005</definedName>
    <definedName name="FlCount">Flights!$K$6:$K$1005</definedName>
    <definedName name="FlHrs">Flights!$L$6:$L$1005</definedName>
    <definedName name="DayStat">'Day Status'!$C$6:$C$402</definedName>
    <definedName name="GrDate">'Ground Programme'!$A$6:$A$505</definedName>
    <definedName name="GrAct">'Ground Programme'!$C$6:$C$505</definedName>
    <definedName name="_xlnm._FilterDatabase" localSheetId="1" hidden="1">'Flights'!$A$5:$L$1005</definedName>
    <definedName name="_xlnm.Print_Titles" localSheetId="6">'Jan'!$4:$4</definedName>
    <definedName name="_xlnm.Print_Titles" localSheetId="7">'Feb'!$4:$4</definedName>
    <definedName name="_xlnm.Print_Titles" localSheetId="8">'Mar'!$4:$4</definedName>
    <definedName name="_xlnm.Print_Titles" localSheetId="9">'Apr'!$4:$4</definedName>
    <definedName name="_xlnm.Print_Titles" localSheetId="10">'May'!$4:$4</definedName>
    <definedName name="_xlnm.Print_Titles" localSheetId="11">'Jun'!$4:$4</definedName>
    <definedName name="_xlnm.Print_Titles" localSheetId="12">'Jul'!$4:$4</definedName>
    <definedName name="_xlnm.Print_Titles" localSheetId="13">'Aug'!$4:$4</definedName>
    <definedName name="_xlnm.Print_Titles" localSheetId="14">'Sep'!$4:$4</definedName>
    <definedName name="_xlnm.Print_Titles" localSheetId="15">'Oct'!$4:$4</definedName>
    <definedName name="_xlnm.Print_Titles" localSheetId="16">'Nov'!$4:$4</definedName>
    <definedName name="_xlnm.Print_Titles" localSheetId="17">'Dec'!$4:$4</definedName>
    <definedName name="_xlnm.Print_Titles" localSheetId="18">'Jan (next year)'!$4:$4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d dd mmm yyyy"/>
    <numFmt numFmtId="165" formatCode="dd mmm yyyy"/>
    <numFmt numFmtId="166" formatCode="0.0"/>
    <numFmt numFmtId="167" formatCode="ddd d mmm"/>
    <numFmt numFmtId="168" formatCode="[=1]0&quot; sortie&quot;;[&gt;1]0&quot; sorties&quot;;&quot;-&quot;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4A3B8"/>
      <sz val="10"/>
    </font>
    <font>
      <name val="Arial"/>
      <b val="1"/>
      <color rgb="00FFFFFF"/>
      <sz val="10"/>
    </font>
    <font>
      <name val="Arial"/>
      <color rgb="001D4ED8"/>
      <sz val="10"/>
    </font>
    <font>
      <name val="Arial"/>
      <color rgb="0092400E"/>
      <sz val="10"/>
    </font>
    <font>
      <name val="Arial"/>
      <color rgb="00B91C1C"/>
      <sz val="10"/>
    </font>
    <font>
      <name val="Arial"/>
      <i val="1"/>
      <color rgb="0064748B"/>
      <sz val="9"/>
    </font>
    <font>
      <name val="Arial"/>
      <color rgb="00166534"/>
      <sz val="10"/>
    </font>
    <font>
      <name val="Arial"/>
      <i val="1"/>
      <color rgb="0064748B"/>
      <sz val="8"/>
    </font>
    <font>
      <name val="Arial"/>
      <b val="1"/>
      <color rgb="001D4ED8"/>
      <sz val="10"/>
    </font>
    <font>
      <name val="Arial"/>
      <color rgb="0064748B"/>
      <sz val="10"/>
    </font>
    <font>
      <name val="Arial"/>
      <color rgb="0094A3B8"/>
      <sz val="8"/>
    </font>
    <font>
      <name val="Arial"/>
      <color rgb="00334155"/>
      <sz val="10"/>
    </font>
    <font>
      <name val="Arial"/>
      <b val="1"/>
      <color rgb="00B91C1C"/>
      <sz val="10"/>
    </font>
    <font>
      <name val="Arial"/>
      <b val="1"/>
      <color rgb="00334155"/>
      <sz val="10"/>
    </font>
    <font>
      <name val="Arial"/>
      <b val="1"/>
      <color rgb="001D4ED8"/>
      <sz val="14"/>
    </font>
    <font>
      <name val="Arial"/>
      <b val="1"/>
      <color rgb="000F766E"/>
      <sz val="14"/>
    </font>
    <font>
      <name val="Arial"/>
      <b val="1"/>
      <color rgb="00FFFFFF"/>
      <sz val="11"/>
    </font>
    <font>
      <name val="Arial"/>
      <b val="1"/>
      <color rgb="00FCD34D"/>
      <sz val="11"/>
    </font>
    <font>
      <name val="Arial"/>
      <b val="1"/>
      <color rgb="000F172A"/>
      <sz val="11"/>
    </font>
    <font>
      <name val="Arial"/>
      <b val="1"/>
      <color rgb="001D4ED8"/>
      <sz val="9"/>
    </font>
    <font>
      <name val="Arial"/>
      <b val="1"/>
      <color rgb="00166534"/>
      <sz val="9"/>
    </font>
    <font>
      <name val="Consolas"/>
      <b val="1"/>
      <color rgb="00075985"/>
      <sz val="7"/>
    </font>
    <font>
      <name val="Arial"/>
      <color rgb="00334155"/>
      <sz val="8"/>
    </font>
    <font>
      <name val="Consolas"/>
      <b val="1"/>
      <color rgb="0092400E"/>
      <sz val="7"/>
    </font>
    <font>
      <name val="Consolas"/>
      <b val="1"/>
      <color rgb="00C7D2FE"/>
      <sz val="7"/>
    </font>
    <font>
      <name val="Arial"/>
      <b val="1"/>
      <color rgb="0064748B"/>
      <sz val="9"/>
    </font>
    <font>
      <name val="Arial"/>
      <b val="1"/>
      <color rgb="00BE123C"/>
      <sz val="14"/>
    </font>
    <font>
      <name val="Arial"/>
      <b val="1"/>
      <color rgb="000F172A"/>
      <sz val="10"/>
    </font>
    <font>
      <name val="Arial"/>
      <color rgb="007C3AED"/>
      <sz val="10"/>
    </font>
    <font>
      <name val="Arial"/>
      <b val="1"/>
      <color rgb="007C3AED"/>
      <sz val="10"/>
    </font>
  </fonts>
  <fills count="2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7E22CE"/>
        <bgColor rgb="007E22CE"/>
      </patternFill>
    </fill>
    <fill>
      <patternFill patternType="solid">
        <fgColor rgb="005B21B6"/>
        <bgColor rgb="005B21B6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  <fill>
      <patternFill patternType="solid">
        <fgColor rgb="00FEF2F2"/>
        <bgColor rgb="00FEF2F2"/>
      </patternFill>
    </fill>
    <fill>
      <patternFill patternType="solid">
        <fgColor rgb="0015803D"/>
        <bgColor rgb="0015803D"/>
      </patternFill>
    </fill>
    <fill>
      <patternFill patternType="solid">
        <fgColor rgb="00F0FDF4"/>
        <bgColor rgb="00F0FDF4"/>
      </patternFill>
    </fill>
    <fill>
      <patternFill patternType="solid">
        <fgColor rgb="00B45309"/>
        <bgColor rgb="00B45309"/>
      </patternFill>
    </fill>
    <fill>
      <patternFill patternType="solid">
        <fgColor rgb="0064748B"/>
        <bgColor rgb="0064748B"/>
      </patternFill>
    </fill>
    <fill>
      <patternFill patternType="solid">
        <fgColor rgb="0094A3B8"/>
        <bgColor rgb="0094A3B8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0F9FF"/>
        <bgColor rgb="00F0F9FF"/>
      </patternFill>
    </fill>
    <fill>
      <patternFill patternType="solid">
        <fgColor rgb="001E1B4B"/>
        <bgColor rgb="001E1B4B"/>
      </patternFill>
    </fill>
    <fill>
      <patternFill patternType="solid">
        <fgColor rgb="00E2E8F0"/>
        <bgColor rgb="00E2E8F0"/>
      </patternFill>
    </fill>
  </fills>
  <borders count="1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334155"/>
      </left>
      <top style="medium">
        <color rgb="00334155"/>
      </top>
      <bottom style="thin">
        <color rgb="00CBD5E1"/>
      </bottom>
    </border>
    <border>
      <top style="medium">
        <color rgb="00334155"/>
      </top>
      <bottom style="thin">
        <color rgb="00CBD5E1"/>
      </bottom>
    </border>
    <border>
      <right style="medium">
        <color rgb="00334155"/>
      </right>
      <top style="medium">
        <color rgb="00334155"/>
      </top>
      <bottom style="thin">
        <color rgb="00CBD5E1"/>
      </bottom>
    </border>
    <border>
      <left style="medium">
        <color rgb="00334155"/>
      </left>
      <top style="thin">
        <color rgb="00E2E8F0"/>
      </top>
      <bottom style="thin">
        <color rgb="00CBD5E1"/>
      </bottom>
    </border>
    <border>
      <top style="thin">
        <color rgb="00E2E8F0"/>
      </top>
      <bottom style="thin">
        <color rgb="00CBD5E1"/>
      </bottom>
    </border>
    <border>
      <right style="medium">
        <color rgb="00334155"/>
      </right>
      <top style="thin">
        <color rgb="00E2E8F0"/>
      </top>
      <bottom style="thin">
        <color rgb="00CBD5E1"/>
      </bottom>
    </border>
    <border>
      <left style="medium">
        <color rgb="00334155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334155"/>
      </right>
      <top style="thin">
        <color rgb="00E2E8F0"/>
      </top>
      <bottom style="thin">
        <color rgb="00E2E8F0"/>
      </bottom>
    </border>
    <border>
      <left style="medium">
        <color rgb="00334155"/>
      </left>
      <right style="thin">
        <color rgb="00E2E8F0"/>
      </right>
      <top style="thin">
        <color rgb="00E2E8F0"/>
      </top>
      <bottom style="thin">
        <color rgb="0094A3B8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94A3B8"/>
      </bottom>
    </border>
    <border>
      <left style="thin">
        <color rgb="00E2E8F0"/>
      </left>
      <right style="medium">
        <color rgb="00334155"/>
      </right>
      <top style="thin">
        <color rgb="00E2E8F0"/>
      </top>
      <bottom style="thin">
        <color rgb="0094A3B8"/>
      </bottom>
    </border>
    <border>
      <left style="medium">
        <color rgb="00334155"/>
      </left>
      <right style="thin">
        <color rgb="00E2E8F0"/>
      </right>
      <top style="thin">
        <color rgb="00E2E8F0"/>
      </top>
      <bottom style="medium">
        <color rgb="0033415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334155"/>
      </bottom>
    </border>
    <border>
      <left style="thin">
        <color rgb="00E2E8F0"/>
      </left>
      <right style="medium">
        <color rgb="00334155"/>
      </right>
      <top style="thin">
        <color rgb="00E2E8F0"/>
      </top>
      <bottom style="medium">
        <color rgb="00334155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27" fillId="0" borderId="0" pivotButton="0" quotePrefix="0" xfId="0"/>
    <xf numFmtId="0" fontId="16" fillId="0" borderId="0" pivotButton="0" quotePrefix="0" xfId="0"/>
    <xf numFmtId="0" fontId="28" fillId="0" borderId="0" pivotButton="0" quotePrefix="0" xfId="0"/>
    <xf numFmtId="0" fontId="3" fillId="2" borderId="0" applyAlignment="1" pivotButton="0" quotePrefix="0" xfId="0">
      <alignment horizontal="center" vertical="center" shrinkToFit="1"/>
    </xf>
    <xf numFmtId="0" fontId="4" fillId="0" borderId="0" pivotButton="0" quotePrefix="0" xfId="0"/>
    <xf numFmtId="0" fontId="29" fillId="0" borderId="0" applyAlignment="1" pivotButton="0" quotePrefix="0" xfId="0">
      <alignment horizontal="center" vertical="center" shrinkToFit="1"/>
    </xf>
    <xf numFmtId="166" fontId="29" fillId="0" borderId="0" applyAlignment="1" pivotButton="0" quotePrefix="0" xfId="0">
      <alignment horizontal="center" vertical="center" shrinkToFit="1"/>
    </xf>
    <xf numFmtId="0" fontId="20" fillId="0" borderId="0" pivotButton="0" quotePrefix="0" xfId="0"/>
    <xf numFmtId="0" fontId="13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applyAlignment="1" pivotButton="0" quotePrefix="0" xfId="0">
      <alignment horizontal="center" vertical="center" shrinkToFit="1"/>
    </xf>
    <xf numFmtId="166" fontId="31" fillId="0" borderId="0" applyAlignment="1" pivotButton="0" quotePrefix="0" xfId="0">
      <alignment horizontal="center" vertical="center" shrinkToFit="1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shrinkToFit="1"/>
    </xf>
    <xf numFmtId="0" fontId="3" fillId="3" borderId="1" applyAlignment="1" pivotButton="0" quotePrefix="0" xfId="0">
      <alignment horizontal="center" vertical="center" shrinkToFit="1"/>
    </xf>
    <xf numFmtId="0" fontId="3" fillId="12" borderId="1" applyAlignment="1" pivotButton="0" quotePrefix="0" xfId="0">
      <alignment horizontal="center" vertical="center" shrinkToFit="1"/>
    </xf>
    <xf numFmtId="0" fontId="3" fillId="13" borderId="1" applyAlignment="1" pivotButton="0" quotePrefix="0" xfId="0">
      <alignment horizontal="center" vertical="center" shrinkToFit="1"/>
    </xf>
    <xf numFmtId="164" fontId="4" fillId="5" borderId="1" pivotButton="0" quotePrefix="0" xfId="0"/>
    <xf numFmtId="0" fontId="4" fillId="5" borderId="1" applyAlignment="1" pivotButton="0" quotePrefix="0" xfId="0">
      <alignment horizontal="center" vertical="center" shrinkToFit="1"/>
    </xf>
    <xf numFmtId="0" fontId="10" fillId="5" borderId="1" applyAlignment="1" pivotButton="0" quotePrefix="0" xfId="0">
      <alignment horizontal="center" vertical="center" shrinkToFit="1"/>
    </xf>
    <xf numFmtId="49" fontId="4" fillId="5" borderId="1" pivotButton="0" quotePrefix="0" xfId="0"/>
    <xf numFmtId="0" fontId="4" fillId="5" borderId="1" pivotButton="0" quotePrefix="0" xfId="0"/>
    <xf numFmtId="0" fontId="11" fillId="14" borderId="1" applyAlignment="1" pivotButton="0" quotePrefix="0" xfId="0">
      <alignment horizontal="center" vertical="center" shrinkToFit="1"/>
    </xf>
    <xf numFmtId="0" fontId="12" fillId="14" borderId="1" pivotButton="0" quotePrefix="0" xfId="0"/>
    <xf numFmtId="0" fontId="3" fillId="7" borderId="1" applyAlignment="1" pivotButton="0" quotePrefix="0" xfId="0">
      <alignment horizontal="center" vertical="center" shrinkToFit="1"/>
    </xf>
    <xf numFmtId="165" fontId="13" fillId="0" borderId="1" pivotButton="0" quotePrefix="0" xfId="0"/>
    <xf numFmtId="0" fontId="11" fillId="0" borderId="1" applyAlignment="1" pivotButton="0" quotePrefix="0" xfId="0">
      <alignment horizontal="center" vertical="center" shrinkToFit="1"/>
    </xf>
    <xf numFmtId="0" fontId="14" fillId="5" borderId="1" pivotButton="0" quotePrefix="0" xfId="0"/>
    <xf numFmtId="0" fontId="3" fillId="9" borderId="1" applyAlignment="1" pivotButton="0" quotePrefix="0" xfId="0">
      <alignment horizontal="center" vertical="center" shrinkToFit="1"/>
    </xf>
    <xf numFmtId="49" fontId="4" fillId="5" borderId="1" applyAlignment="1" pivotButton="0" quotePrefix="0" xfId="0">
      <alignment horizontal="center" vertical="center" shrinkToFit="1"/>
    </xf>
    <xf numFmtId="0" fontId="10" fillId="5" borderId="1" pivotButton="0" quotePrefix="0" xfId="0"/>
    <xf numFmtId="165" fontId="4" fillId="5" borderId="1" pivotButton="0" quotePrefix="0" xfId="0"/>
    <xf numFmtId="0" fontId="9" fillId="0" borderId="0" pivotButton="0" quotePrefix="0" xfId="0"/>
    <xf numFmtId="0" fontId="3" fillId="4" borderId="1" applyAlignment="1" pivotButton="0" quotePrefix="0" xfId="0">
      <alignment horizontal="center" vertical="center" shrinkToFit="1"/>
    </xf>
    <xf numFmtId="0" fontId="3" fillId="7" borderId="0" applyAlignment="1" pivotButton="0" quotePrefix="0" xfId="0">
      <alignment horizontal="center" vertical="center" shrinkToFit="1"/>
    </xf>
    <xf numFmtId="0" fontId="3" fillId="11" borderId="0" applyAlignment="1" pivotButton="0" quotePrefix="0" xfId="0">
      <alignment horizontal="center" vertical="center" shrinkToFit="1"/>
    </xf>
    <xf numFmtId="0" fontId="3" fillId="9" borderId="0" applyAlignment="1" pivotButton="0" quotePrefix="0" xfId="0">
      <alignment horizontal="center" vertical="center" shrinkToFit="1"/>
    </xf>
    <xf numFmtId="0" fontId="6" fillId="8" borderId="1" pivotButton="0" quotePrefix="0" xfId="0"/>
    <xf numFmtId="0" fontId="5" fillId="6" borderId="1" pivotButton="0" quotePrefix="0" xfId="0"/>
    <xf numFmtId="0" fontId="8" fillId="10" borderId="1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center" vertical="center" shrinkToFit="1"/>
    </xf>
    <xf numFmtId="1" fontId="16" fillId="0" borderId="0" applyAlignment="1" pivotButton="0" quotePrefix="0" xfId="0">
      <alignment horizontal="center" vertical="center" shrinkToFit="1"/>
    </xf>
    <xf numFmtId="166" fontId="17" fillId="0" borderId="0" applyAlignment="1" pivotButton="0" quotePrefix="0" xfId="0">
      <alignment horizontal="center" vertical="center" shrinkToFit="1"/>
    </xf>
    <xf numFmtId="0" fontId="18" fillId="2" borderId="0" applyAlignment="1" pivotButton="0" quotePrefix="0" xfId="0">
      <alignment horizontal="center" vertical="center" shrinkToFit="1"/>
    </xf>
    <xf numFmtId="0" fontId="19" fillId="15" borderId="0" applyAlignment="1" pivotButton="0" quotePrefix="0" xfId="0">
      <alignment horizontal="center" vertical="center" shrinkToFit="1"/>
    </xf>
    <xf numFmtId="0" fontId="0" fillId="15" borderId="0" pivotButton="0" quotePrefix="0" xfId="0"/>
    <xf numFmtId="167" fontId="20" fillId="16" borderId="2" applyAlignment="1" pivotButton="0" quotePrefix="0" xfId="0">
      <alignment horizontal="left" vertical="center" indent="1"/>
    </xf>
    <xf numFmtId="0" fontId="0" fillId="16" borderId="3" pivotButton="0" quotePrefix="0" xfId="0"/>
    <xf numFmtId="168" fontId="21" fillId="16" borderId="4" applyAlignment="1" pivotButton="0" quotePrefix="0" xfId="0">
      <alignment horizontal="center" vertical="center" shrinkToFit="1"/>
    </xf>
    <xf numFmtId="167" fontId="20" fillId="20" borderId="2" applyAlignment="1" pivotButton="0" quotePrefix="0" xfId="0">
      <alignment horizontal="left" vertical="center" indent="1"/>
    </xf>
    <xf numFmtId="0" fontId="0" fillId="20" borderId="3" pivotButton="0" quotePrefix="0" xfId="0"/>
    <xf numFmtId="168" fontId="21" fillId="20" borderId="4" applyAlignment="1" pivotButton="0" quotePrefix="0" xfId="0">
      <alignment horizontal="center" vertical="center" shrinkToFit="1"/>
    </xf>
    <xf numFmtId="0" fontId="22" fillId="17" borderId="5" applyAlignment="1" pivotButton="0" quotePrefix="0" xfId="0">
      <alignment horizontal="center" vertical="center" shrinkToFit="1"/>
    </xf>
    <xf numFmtId="0" fontId="0" fillId="17" borderId="6" pivotButton="0" quotePrefix="0" xfId="0"/>
    <xf numFmtId="0" fontId="0" fillId="17" borderId="7" pivotButton="0" quotePrefix="0" xfId="0"/>
    <xf numFmtId="0" fontId="23" fillId="18" borderId="8" applyAlignment="1" pivotButton="0" quotePrefix="0" xfId="0">
      <alignment horizontal="center" vertical="center" wrapText="1"/>
    </xf>
    <xf numFmtId="0" fontId="22" fillId="17" borderId="1" applyAlignment="1" pivotButton="0" quotePrefix="0" xfId="0">
      <alignment horizontal="center" vertical="center" shrinkToFit="1"/>
    </xf>
    <xf numFmtId="0" fontId="24" fillId="17" borderId="9" applyAlignment="1" pivotButton="0" quotePrefix="0" xfId="0">
      <alignment horizontal="center" vertical="center" shrinkToFit="1"/>
    </xf>
    <xf numFmtId="0" fontId="0" fillId="18" borderId="8" pivotButton="0" quotePrefix="0" xfId="0"/>
    <xf numFmtId="0" fontId="0" fillId="18" borderId="10" pivotButton="0" quotePrefix="0" xfId="0"/>
    <xf numFmtId="0" fontId="22" fillId="17" borderId="11" applyAlignment="1" pivotButton="0" quotePrefix="0" xfId="0">
      <alignment horizontal="center" vertical="center" shrinkToFit="1"/>
    </xf>
    <xf numFmtId="0" fontId="24" fillId="17" borderId="12" applyAlignment="1" pivotButton="0" quotePrefix="0" xfId="0">
      <alignment horizontal="center" vertical="center" shrinkToFit="1"/>
    </xf>
    <xf numFmtId="0" fontId="25" fillId="5" borderId="8" applyAlignment="1" pivotButton="0" quotePrefix="0" xfId="0">
      <alignment horizontal="center" vertical="center" wrapText="1"/>
    </xf>
    <xf numFmtId="0" fontId="0" fillId="5" borderId="8" pivotButton="0" quotePrefix="0" xfId="0"/>
    <xf numFmtId="0" fontId="0" fillId="5" borderId="10" pivotButton="0" quotePrefix="0" xfId="0"/>
    <xf numFmtId="0" fontId="26" fillId="19" borderId="8" applyAlignment="1" pivotButton="0" quotePrefix="0" xfId="0">
      <alignment horizontal="center" vertical="center" wrapText="1"/>
    </xf>
    <xf numFmtId="0" fontId="0" fillId="19" borderId="8" pivotButton="0" quotePrefix="0" xfId="0"/>
    <xf numFmtId="0" fontId="0" fillId="19" borderId="13" pivotButton="0" quotePrefix="0" xfId="0"/>
    <xf numFmtId="0" fontId="22" fillId="17" borderId="14" applyAlignment="1" pivotButton="0" quotePrefix="0" xfId="0">
      <alignment horizontal="center" vertical="center" shrinkToFit="1"/>
    </xf>
    <xf numFmtId="0" fontId="24" fillId="17" borderId="15" applyAlignment="1" pivotButton="0" quotePrefix="0" xfId="0">
      <alignment horizontal="center" vertical="center" shrinkToFit="1"/>
    </xf>
  </cellXfs>
  <cellStyles count="1">
    <cellStyle name="Normal" xfId="0" builtinId="0" hidden="0"/>
  </cellStyles>
  <dxfs count="8">
    <dxf>
      <font>
        <name val="Arial"/>
        <b val="1"/>
        <color rgb="00334155"/>
      </font>
      <fill>
        <patternFill patternType="solid">
          <fgColor rgb="00F1F5F9"/>
          <bgColor rgb="00F1F5F9"/>
        </patternFill>
      </fill>
    </dxf>
    <dxf>
      <fill>
        <patternFill patternType="solid">
          <fgColor rgb="00FEE2E2"/>
          <bgColor rgb="00FEE2E2"/>
        </patternFill>
      </fill>
    </dxf>
    <dxf>
      <font>
        <color rgb="00F1F5F9"/>
      </font>
      <fill>
        <patternFill patternType="solid">
          <fgColor rgb="00F1F5F9"/>
          <bgColor rgb="00F1F5F9"/>
        </patternFill>
      </fill>
    </dxf>
    <dxf>
      <font>
        <b val="1"/>
        <color rgb="00FFFFFF"/>
      </font>
      <fill>
        <patternFill patternType="solid">
          <fgColor rgb="00B91C1C"/>
          <bgColor rgb="00B91C1C"/>
        </patternFill>
      </fill>
    </dxf>
    <dxf>
      <font>
        <b val="1"/>
        <color rgb="00166534"/>
      </font>
      <fill>
        <patternFill patternType="solid">
          <fgColor rgb="00DCFCE7"/>
          <bgColor rgb="00DCFCE7"/>
        </patternFill>
      </fill>
    </dxf>
    <dxf>
      <font>
        <b val="1"/>
        <strike val="1"/>
        <color rgb="007F1D1D"/>
      </font>
      <fill>
        <patternFill patternType="solid">
          <fgColor rgb="00FCA5A5"/>
          <bgColor rgb="00FCA5A5"/>
        </patternFill>
      </fill>
    </dxf>
    <dxf>
      <fill>
        <patternFill patternType="solid">
          <fgColor rgb="00DCFCE7"/>
          <bgColor rgb="00DCFCE7"/>
        </patternFill>
      </fill>
    </dxf>
    <dxf>
      <font>
        <color rgb="0094A3B8"/>
      </font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an'!A1" TargetMode="External" Id="rId1"/><Relationship Type="http://schemas.openxmlformats.org/officeDocument/2006/relationships/hyperlink" Target="#'Feb'!A1" TargetMode="External" Id="rId2"/><Relationship Type="http://schemas.openxmlformats.org/officeDocument/2006/relationships/hyperlink" Target="#'Mar'!A1" TargetMode="External" Id="rId3"/><Relationship Type="http://schemas.openxmlformats.org/officeDocument/2006/relationships/hyperlink" Target="#'Apr'!A1" TargetMode="External" Id="rId4"/><Relationship Type="http://schemas.openxmlformats.org/officeDocument/2006/relationships/hyperlink" Target="#'May'!A1" TargetMode="External" Id="rId5"/><Relationship Type="http://schemas.openxmlformats.org/officeDocument/2006/relationships/hyperlink" Target="#'Jun'!A1" TargetMode="External" Id="rId6"/><Relationship Type="http://schemas.openxmlformats.org/officeDocument/2006/relationships/hyperlink" Target="#'Jul'!A1" TargetMode="External" Id="rId7"/><Relationship Type="http://schemas.openxmlformats.org/officeDocument/2006/relationships/hyperlink" Target="#'Aug'!A1" TargetMode="External" Id="rId8"/><Relationship Type="http://schemas.openxmlformats.org/officeDocument/2006/relationships/hyperlink" Target="#'Sep'!A1" TargetMode="External" Id="rId9"/><Relationship Type="http://schemas.openxmlformats.org/officeDocument/2006/relationships/hyperlink" Target="#'Oct'!A1" TargetMode="External" Id="rId10"/><Relationship Type="http://schemas.openxmlformats.org/officeDocument/2006/relationships/hyperlink" Target="#'Nov'!A1" TargetMode="External" Id="rId11"/><Relationship Type="http://schemas.openxmlformats.org/officeDocument/2006/relationships/hyperlink" Target="#'Dec'!A1" TargetMode="External" Id="rId12"/><Relationship Type="http://schemas.openxmlformats.org/officeDocument/2006/relationships/hyperlink" Target="#'Jan (next year)'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3" customWidth="1" min="4" max="4"/>
    <col width="3" customWidth="1" min="5" max="5"/>
    <col hidden="1" width="13" customWidth="1" min="26" max="26"/>
  </cols>
  <sheetData>
    <row r="1" ht="30" customHeight="1">
      <c r="A1" s="1" t="inlineStr">
        <is>
          <t>MASTER PLANNER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The master list of planned flights for every department.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Z2" t="inlineStr">
        <is>
          <t>LODESTAR master layout 2</t>
        </is>
      </c>
    </row>
    <row r="4">
      <c r="A4" s="4" t="inlineStr">
        <is>
          <t>YEAR</t>
        </is>
      </c>
      <c r="G4" s="4" t="inlineStr">
        <is>
          <t>FILE</t>
        </is>
      </c>
    </row>
    <row r="5">
      <c r="A5" s="5" t="n">
        <v>2026</v>
      </c>
      <c r="G5" s="6" t="inlineStr">
        <is>
          <t>Master Planner</t>
        </is>
      </c>
    </row>
    <row r="7">
      <c r="A7" s="7" t="inlineStr">
        <is>
          <t>Month</t>
        </is>
      </c>
      <c r="B7" s="7" t="inlineStr">
        <is>
          <t>Planned sorties</t>
        </is>
      </c>
      <c r="C7" s="7" t="inlineStr">
        <is>
          <t>Flights</t>
        </is>
      </c>
      <c r="D7" s="7" t="inlineStr">
        <is>
          <t>Planned hrs</t>
        </is>
      </c>
    </row>
    <row r="8">
      <c r="A8" s="8" t="inlineStr">
        <is>
          <t>January</t>
        </is>
      </c>
      <c r="B8" s="9">
        <f>'Jan'!E3</f>
        <v/>
      </c>
      <c r="C8" s="9">
        <f>'Jan'!I3</f>
        <v/>
      </c>
      <c r="D8" s="10">
        <f>'Jan'!L3</f>
        <v/>
      </c>
      <c r="F8" s="11" t="inlineStr">
        <is>
          <t>HOW IT WORKS</t>
        </is>
      </c>
    </row>
    <row r="9">
      <c r="A9" s="8" t="inlineStr">
        <is>
          <t>February</t>
        </is>
      </c>
      <c r="B9" s="9">
        <f>'Feb'!E3</f>
        <v/>
      </c>
      <c r="C9" s="9">
        <f>'Feb'!I3</f>
        <v/>
      </c>
      <c r="D9" s="10">
        <f>'Feb'!L3</f>
        <v/>
      </c>
      <c r="F9" s="12" t="inlineStr">
        <is>
          <t>1. Flights sheet: the master list, one flight per row (date, AM / PM / NIGHT, flight code, time, comment). Any number of flights per shift.</t>
        </is>
      </c>
    </row>
    <row r="10">
      <c r="A10" s="8" t="inlineStr">
        <is>
          <t>March</t>
        </is>
      </c>
      <c r="B10" s="9">
        <f>'Mar'!E3</f>
        <v/>
      </c>
      <c r="C10" s="9">
        <f>'Mar'!I3</f>
        <v/>
      </c>
      <c r="D10" s="10">
        <f>'Mar'!L3</f>
        <v/>
      </c>
      <c r="F10" s="12" t="inlineStr">
        <is>
          <t>2. Easiest is the Master Planning tab in the planner dashboard: + Add flight under a shift, x to remove one.</t>
        </is>
      </c>
    </row>
    <row r="11">
      <c r="A11" s="8" t="inlineStr">
        <is>
          <t>April</t>
        </is>
      </c>
      <c r="B11" s="9">
        <f>'Apr'!E3</f>
        <v/>
      </c>
      <c r="C11" s="9">
        <f>'Apr'!I3</f>
        <v/>
      </c>
      <c r="D11" s="10">
        <f>'Apr'!L3</f>
        <v/>
      </c>
      <c r="F11" s="12" t="inlineStr">
        <is>
          <t>3. Crew comes from the flight code (Flight Codes sheet, column E: P Pilot, L Loadmaster, T TACCO, S1 SUP 1, S2 SUP 2; blank = everyone).</t>
        </is>
      </c>
    </row>
    <row r="12">
      <c r="A12" s="8" t="inlineStr">
        <is>
          <t>May</t>
        </is>
      </c>
      <c r="B12" s="9">
        <f>'May'!E3</f>
        <v/>
      </c>
      <c r="C12" s="9">
        <f>'May'!I3</f>
        <v/>
      </c>
      <c r="D12" s="10">
        <f>'May'!L3</f>
        <v/>
      </c>
      <c r="F12" s="12" t="inlineStr">
        <is>
          <t xml:space="preserve">   Type a crew on a flight only when it differs from its code. Departments only get the flights that need them.</t>
        </is>
      </c>
    </row>
    <row r="13">
      <c r="A13" s="8" t="inlineStr">
        <is>
          <t>June</t>
        </is>
      </c>
      <c r="B13" s="9">
        <f>'Jun'!E3</f>
        <v/>
      </c>
      <c r="C13" s="9">
        <f>'Jun'!I3</f>
        <v/>
      </c>
      <c r="D13" s="10">
        <f>'Jun'!L3</f>
        <v/>
      </c>
      <c r="F13" s="12" t="inlineStr">
        <is>
          <t>4. No flying on a day: pick a reason on the Day Status sheet (or in the dashboard). The day turns grey and departments see NO FLY.</t>
        </is>
      </c>
    </row>
    <row r="14">
      <c r="A14" s="8" t="inlineStr">
        <is>
          <t>July</t>
        </is>
      </c>
      <c r="B14" s="9">
        <f>'Jul'!E3</f>
        <v/>
      </c>
      <c r="C14" s="9">
        <f>'Jul'!I3</f>
        <v/>
      </c>
      <c r="D14" s="10">
        <f>'Jul'!L3</f>
        <v/>
      </c>
      <c r="F14" s="12" t="inlineStr">
        <is>
          <t>5. Jan to Dec tabs (and Jan (next year), for planning January while still in December): a calendar view of the lists, with each day's sorties. View only.</t>
        </is>
      </c>
    </row>
    <row r="15">
      <c r="A15" s="8" t="inlineStr">
        <is>
          <t>August</t>
        </is>
      </c>
      <c r="B15" s="9">
        <f>'Aug'!E3</f>
        <v/>
      </c>
      <c r="C15" s="9">
        <f>'Aug'!I3</f>
        <v/>
      </c>
      <c r="D15" s="10">
        <f>'Aug'!L3</f>
        <v/>
      </c>
      <c r="F15" s="12" t="inlineStr">
        <is>
          <t>6. Departments take their flights from here: in the planner dashboard, open your department file with the Master Planner and click 'Copy flights from the Master Planner'.</t>
        </is>
      </c>
    </row>
    <row r="16">
      <c r="A16" s="8" t="inlineStr">
        <is>
          <t>September</t>
        </is>
      </c>
      <c r="B16" s="9">
        <f>'Sep'!E3</f>
        <v/>
      </c>
      <c r="C16" s="9">
        <f>'Sep'!I3</f>
        <v/>
      </c>
      <c r="D16" s="10">
        <f>'Sep'!L3</f>
        <v/>
      </c>
    </row>
    <row r="17">
      <c r="A17" s="8" t="inlineStr">
        <is>
          <t>October</t>
        </is>
      </c>
      <c r="B17" s="9">
        <f>'Oct'!E3</f>
        <v/>
      </c>
      <c r="C17" s="9">
        <f>'Oct'!I3</f>
        <v/>
      </c>
      <c r="D17" s="10">
        <f>'Oct'!L3</f>
        <v/>
      </c>
    </row>
    <row r="18">
      <c r="A18" s="8" t="inlineStr">
        <is>
          <t>November</t>
        </is>
      </c>
      <c r="B18" s="9">
        <f>'Nov'!E3</f>
        <v/>
      </c>
      <c r="C18" s="9">
        <f>'Nov'!I3</f>
        <v/>
      </c>
      <c r="D18" s="10">
        <f>'Nov'!L3</f>
        <v/>
      </c>
    </row>
    <row r="19">
      <c r="A19" s="8" t="inlineStr">
        <is>
          <t>December</t>
        </is>
      </c>
      <c r="B19" s="9">
        <f>'Dec'!E3</f>
        <v/>
      </c>
      <c r="C19" s="9">
        <f>'Dec'!I3</f>
        <v/>
      </c>
      <c r="D19" s="10">
        <f>'Dec'!L3</f>
        <v/>
      </c>
    </row>
    <row r="20">
      <c r="A20" s="13" t="inlineStr">
        <is>
          <t>Total</t>
        </is>
      </c>
      <c r="B20" s="9">
        <f>SUM(B8:B19)</f>
        <v/>
      </c>
      <c r="C20" s="9">
        <f>SUM(C8:C19)</f>
        <v/>
      </c>
      <c r="D20" s="10">
        <f>SUM(D8:D19)</f>
        <v/>
      </c>
    </row>
    <row r="21">
      <c r="A21" s="14" t="inlineStr">
        <is>
          <t>Jan (next year)</t>
        </is>
      </c>
      <c r="B21" s="15">
        <f>'Jan (next year)'!E3</f>
        <v/>
      </c>
      <c r="C21" s="15">
        <f>'Jan (next year)'!I3</f>
        <v/>
      </c>
      <c r="D21" s="16">
        <f>'Jan (next year)'!L3</f>
        <v/>
      </c>
    </row>
  </sheetData>
  <mergeCells count="2">
    <mergeCell ref="A1:I1"/>
    <mergeCell ref="A2:I2"/>
  </mergeCells>
  <hyperlinks>
    <hyperlink xmlns:r="http://schemas.openxmlformats.org/officeDocument/2006/relationships" ref="A8" r:id="rId1"/>
    <hyperlink xmlns:r="http://schemas.openxmlformats.org/officeDocument/2006/relationships" ref="A9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1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L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  <col width="13" customWidth="1" min="4" max="4"/>
    <col width="20" customWidth="1" min="5" max="5"/>
    <col width="30" customWidth="1" min="6" max="6"/>
    <col width="9" customWidth="1" min="7" max="7"/>
    <col width="11" customWidth="1" min="8" max="8"/>
    <col width="14" customWidth="1" min="9" max="9"/>
    <col width="10" customWidth="1" min="10" max="10"/>
    <col width="8" customWidth="1" min="11" max="11"/>
    <col width="8" customWidth="1" min="12" max="12"/>
  </cols>
  <sheetData>
    <row r="1" ht="30" customHeight="1">
      <c r="A1" s="1" t="inlineStr">
        <is>
          <t>FLIGHTS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The master list: one flight per row, any number per shift. Add flights in the empty rows (or with + Add flight in the planner dashboard). Crew blank = the code's crew.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17" t="inlineStr">
        <is>
          <t>Sort or filter as you like. To remove a flight, clear its row. Grey columns fill in by themselves.</t>
        </is>
      </c>
    </row>
    <row r="5" ht="22" customHeight="1">
      <c r="A5" s="18" t="inlineStr">
        <is>
          <t>Date</t>
        </is>
      </c>
      <c r="B5" s="18" t="inlineStr">
        <is>
          <t>Shift</t>
        </is>
      </c>
      <c r="C5" s="18" t="inlineStr">
        <is>
          <t>Flight code</t>
        </is>
      </c>
      <c r="D5" s="18" t="inlineStr">
        <is>
          <t>Time</t>
        </is>
      </c>
      <c r="E5" s="19" t="inlineStr">
        <is>
          <t>Crew (only if different)</t>
        </is>
      </c>
      <c r="F5" s="18" t="inlineStr">
        <is>
          <t>Comment</t>
        </is>
      </c>
      <c r="G5" s="20" t="inlineStr">
        <is>
          <t>Sorties</t>
        </is>
      </c>
      <c r="H5" s="20" t="inlineStr">
        <is>
          <t>Crew used</t>
        </is>
      </c>
      <c r="I5" s="21" t="inlineStr">
        <is>
          <t>Key</t>
        </is>
      </c>
      <c r="J5" s="21" t="inlineStr">
        <is>
          <t>Order</t>
        </is>
      </c>
      <c r="K5" s="21" t="inlineStr">
        <is>
          <t>Counts</t>
        </is>
      </c>
      <c r="L5" s="21" t="inlineStr">
        <is>
          <t>Hrs</t>
        </is>
      </c>
    </row>
    <row r="6">
      <c r="A6" s="22" t="n">
        <v>46296</v>
      </c>
      <c r="B6" s="23" t="inlineStr">
        <is>
          <t>AM</t>
        </is>
      </c>
      <c r="C6" s="24" t="inlineStr">
        <is>
          <t>2xFLT-2.0</t>
        </is>
      </c>
      <c r="D6" s="25" t="inlineStr">
        <is>
          <t>0830-1030</t>
        </is>
      </c>
      <c r="E6" s="26" t="n"/>
      <c r="F6" s="26" t="inlineStr">
        <is>
          <t>Formation lead VIPER</t>
        </is>
      </c>
      <c r="G6" s="27">
        <f>IF(C6="","",IFERROR(VLOOKUP(C6,CodeTable,3,0),1))</f>
        <v/>
      </c>
      <c r="H6" s="27">
        <f>IF(C6="","",IF(E6&lt;&gt;"",E6,IF(IFERROR(VLOOKUP(C6,CodeTable,5,0)&amp;"","")="","All",VLOOKUP(C6,CodeTable,5,0)&amp;"")))</f>
        <v/>
      </c>
      <c r="I6" s="28">
        <f>IF(OR(A6="",C6=""),"",A6&amp;"|"&amp;B6&amp;"|"&amp;(COUNTIFS(FlDate,A6,FlShift,B6,FlCode,"&lt;&gt;",FlOrder,"&lt;"&amp;J6)+COUNTIFS(A$6:A6,A6,B$6:B6,B6,C$6:C6,"&lt;&gt;",J$6:J6,J6)))</f>
        <v/>
      </c>
      <c r="J6" s="28">
        <f>IF(C6="","",IF(D6="","zz","t"&amp;D6))</f>
        <v/>
      </c>
      <c r="K6" s="28">
        <f>IF(OR(A6="",C6=""),"",IF(IFERROR(INDEX(DayStat,A6-DATE(PlanYear,1,1)+1)&amp;"","")&lt;&gt;"",0,1))</f>
        <v/>
      </c>
      <c r="L6" s="28">
        <f>IF(K6="","",K6*IFERROR(VLOOKUP(C6,CodeTable,4,0),0))</f>
        <v/>
      </c>
    </row>
    <row r="7">
      <c r="A7" s="22" t="n">
        <v>46296</v>
      </c>
      <c r="B7" s="23" t="inlineStr">
        <is>
          <t>AM</t>
        </is>
      </c>
      <c r="C7" s="24" t="inlineStr">
        <is>
          <t>FLT-1.5</t>
        </is>
      </c>
      <c r="D7" s="25" t="inlineStr">
        <is>
          <t>0900-1030</t>
        </is>
      </c>
      <c r="E7" s="26" t="n"/>
      <c r="F7" s="26" t="n"/>
      <c r="G7" s="27">
        <f>IF(C7="","",IFERROR(VLOOKUP(C7,CodeTable,3,0),1))</f>
        <v/>
      </c>
      <c r="H7" s="27">
        <f>IF(C7="","",IF(E7&lt;&gt;"",E7,IF(IFERROR(VLOOKUP(C7,CodeTable,5,0)&amp;"","")="","All",VLOOKUP(C7,CodeTable,5,0)&amp;"")))</f>
        <v/>
      </c>
      <c r="I7" s="28">
        <f>IF(OR(A7="",C7=""),"",A7&amp;"|"&amp;B7&amp;"|"&amp;(COUNTIFS(FlDate,A7,FlShift,B7,FlCode,"&lt;&gt;",FlOrder,"&lt;"&amp;J7)+COUNTIFS(A$6:A7,A7,B$6:B7,B7,C$6:C7,"&lt;&gt;",J$6:J7,J7)))</f>
        <v/>
      </c>
      <c r="J7" s="28">
        <f>IF(C7="","",IF(D7="","zz","t"&amp;D7))</f>
        <v/>
      </c>
      <c r="K7" s="28">
        <f>IF(OR(A7="",C7=""),"",IF(IFERROR(INDEX(DayStat,A7-DATE(PlanYear,1,1)+1)&amp;"","")&lt;&gt;"",0,1))</f>
        <v/>
      </c>
      <c r="L7" s="28">
        <f>IF(K7="","",K7*IFERROR(VLOOKUP(C7,CodeTable,4,0),0))</f>
        <v/>
      </c>
    </row>
    <row r="8">
      <c r="A8" s="22" t="n">
        <v>46296</v>
      </c>
      <c r="B8" s="23" t="inlineStr">
        <is>
          <t>PM</t>
        </is>
      </c>
      <c r="C8" s="24" t="inlineStr">
        <is>
          <t>FLT-2.0</t>
        </is>
      </c>
      <c r="D8" s="25" t="inlineStr">
        <is>
          <t>1400-1600</t>
        </is>
      </c>
      <c r="E8" s="26" t="n"/>
      <c r="F8" s="26" t="n"/>
      <c r="G8" s="27">
        <f>IF(C8="","",IFERROR(VLOOKUP(C8,CodeTable,3,0),1))</f>
        <v/>
      </c>
      <c r="H8" s="27">
        <f>IF(C8="","",IF(E8&lt;&gt;"",E8,IF(IFERROR(VLOOKUP(C8,CodeTable,5,0)&amp;"","")="","All",VLOOKUP(C8,CodeTable,5,0)&amp;"")))</f>
        <v/>
      </c>
      <c r="I8" s="28">
        <f>IF(OR(A8="",C8=""),"",A8&amp;"|"&amp;B8&amp;"|"&amp;(COUNTIFS(FlDate,A8,FlShift,B8,FlCode,"&lt;&gt;",FlOrder,"&lt;"&amp;J8)+COUNTIFS(A$6:A8,A8,B$6:B8,B8,C$6:C8,"&lt;&gt;",J$6:J8,J8)))</f>
        <v/>
      </c>
      <c r="J8" s="28">
        <f>IF(C8="","",IF(D8="","zz","t"&amp;D8))</f>
        <v/>
      </c>
      <c r="K8" s="28">
        <f>IF(OR(A8="",C8=""),"",IF(IFERROR(INDEX(DayStat,A8-DATE(PlanYear,1,1)+1)&amp;"","")&lt;&gt;"",0,1))</f>
        <v/>
      </c>
      <c r="L8" s="28">
        <f>IF(K8="","",K8*IFERROR(VLOOKUP(C8,CodeTable,4,0),0))</f>
        <v/>
      </c>
    </row>
    <row r="9">
      <c r="A9" s="22" t="n">
        <v>46296</v>
      </c>
      <c r="B9" s="23" t="inlineStr">
        <is>
          <t>PM</t>
        </is>
      </c>
      <c r="C9" s="24" t="inlineStr">
        <is>
          <t>FLT-1.5</t>
        </is>
      </c>
      <c r="D9" s="25" t="inlineStr">
        <is>
          <t>1530-1700</t>
        </is>
      </c>
      <c r="E9" s="26" t="n"/>
      <c r="F9" s="26" t="n"/>
      <c r="G9" s="27">
        <f>IF(C9="","",IFERROR(VLOOKUP(C9,CodeTable,3,0),1))</f>
        <v/>
      </c>
      <c r="H9" s="27">
        <f>IF(C9="","",IF(E9&lt;&gt;"",E9,IF(IFERROR(VLOOKUP(C9,CodeTable,5,0)&amp;"","")="","All",VLOOKUP(C9,CodeTable,5,0)&amp;"")))</f>
        <v/>
      </c>
      <c r="I9" s="28">
        <f>IF(OR(A9="",C9=""),"",A9&amp;"|"&amp;B9&amp;"|"&amp;(COUNTIFS(FlDate,A9,FlShift,B9,FlCode,"&lt;&gt;",FlOrder,"&lt;"&amp;J9)+COUNTIFS(A$6:A9,A9,B$6:B9,B9,C$6:C9,"&lt;&gt;",J$6:J9,J9)))</f>
        <v/>
      </c>
      <c r="J9" s="28">
        <f>IF(C9="","",IF(D9="","zz","t"&amp;D9))</f>
        <v/>
      </c>
      <c r="K9" s="28">
        <f>IF(OR(A9="",C9=""),"",IF(IFERROR(INDEX(DayStat,A9-DATE(PlanYear,1,1)+1)&amp;"","")&lt;&gt;"",0,1))</f>
        <v/>
      </c>
      <c r="L9" s="28">
        <f>IF(K9="","",K9*IFERROR(VLOOKUP(C9,CodeTable,4,0),0))</f>
        <v/>
      </c>
    </row>
    <row r="10">
      <c r="A10" s="22" t="n">
        <v>46296</v>
      </c>
      <c r="B10" s="23" t="inlineStr">
        <is>
          <t>PM</t>
        </is>
      </c>
      <c r="C10" s="24" t="inlineStr">
        <is>
          <t>FLT-2.0</t>
        </is>
      </c>
      <c r="D10" s="25" t="inlineStr">
        <is>
          <t>1600-1800</t>
        </is>
      </c>
      <c r="E10" s="26" t="n"/>
      <c r="F10" s="26" t="inlineStr">
        <is>
          <t>Ferry back</t>
        </is>
      </c>
      <c r="G10" s="27">
        <f>IF(C10="","",IFERROR(VLOOKUP(C10,CodeTable,3,0),1))</f>
        <v/>
      </c>
      <c r="H10" s="27">
        <f>IF(C10="","",IF(E10&lt;&gt;"",E10,IF(IFERROR(VLOOKUP(C10,CodeTable,5,0)&amp;"","")="","All",VLOOKUP(C10,CodeTable,5,0)&amp;"")))</f>
        <v/>
      </c>
      <c r="I10" s="28">
        <f>IF(OR(A10="",C10=""),"",A10&amp;"|"&amp;B10&amp;"|"&amp;(COUNTIFS(FlDate,A10,FlShift,B10,FlCode,"&lt;&gt;",FlOrder,"&lt;"&amp;J10)+COUNTIFS(A$6:A10,A10,B$6:B10,B10,C$6:C10,"&lt;&gt;",J$6:J10,J10)))</f>
        <v/>
      </c>
      <c r="J10" s="28">
        <f>IF(C10="","",IF(D10="","zz","t"&amp;D10))</f>
        <v/>
      </c>
      <c r="K10" s="28">
        <f>IF(OR(A10="",C10=""),"",IF(IFERROR(INDEX(DayStat,A10-DATE(PlanYear,1,1)+1)&amp;"","")&lt;&gt;"",0,1))</f>
        <v/>
      </c>
      <c r="L10" s="28">
        <f>IF(K10="","",K10*IFERROR(VLOOKUP(C10,CodeTable,4,0),0))</f>
        <v/>
      </c>
    </row>
    <row r="11">
      <c r="A11" s="22" t="n">
        <v>46297</v>
      </c>
      <c r="B11" s="23" t="inlineStr">
        <is>
          <t>AM</t>
        </is>
      </c>
      <c r="C11" s="24" t="inlineStr">
        <is>
          <t>FLT-1.5</t>
        </is>
      </c>
      <c r="D11" s="25" t="inlineStr">
        <is>
          <t>0800-0930</t>
        </is>
      </c>
      <c r="E11" s="26" t="n"/>
      <c r="F11" s="26" t="n"/>
      <c r="G11" s="27">
        <f>IF(C11="","",IFERROR(VLOOKUP(C11,CodeTable,3,0),1))</f>
        <v/>
      </c>
      <c r="H11" s="27">
        <f>IF(C11="","",IF(E11&lt;&gt;"",E11,IF(IFERROR(VLOOKUP(C11,CodeTable,5,0)&amp;"","")="","All",VLOOKUP(C11,CodeTable,5,0)&amp;"")))</f>
        <v/>
      </c>
      <c r="I11" s="28">
        <f>IF(OR(A11="",C11=""),"",A11&amp;"|"&amp;B11&amp;"|"&amp;(COUNTIFS(FlDate,A11,FlShift,B11,FlCode,"&lt;&gt;",FlOrder,"&lt;"&amp;J11)+COUNTIFS(A$6:A11,A11,B$6:B11,B11,C$6:C11,"&lt;&gt;",J$6:J11,J11)))</f>
        <v/>
      </c>
      <c r="J11" s="28">
        <f>IF(C11="","",IF(D11="","zz","t"&amp;D11))</f>
        <v/>
      </c>
      <c r="K11" s="28">
        <f>IF(OR(A11="",C11=""),"",IF(IFERROR(INDEX(DayStat,A11-DATE(PlanYear,1,1)+1)&amp;"","")&lt;&gt;"",0,1))</f>
        <v/>
      </c>
      <c r="L11" s="28">
        <f>IF(K11="","",K11*IFERROR(VLOOKUP(C11,CodeTable,4,0),0))</f>
        <v/>
      </c>
    </row>
    <row r="12">
      <c r="A12" s="22" t="n">
        <v>46297</v>
      </c>
      <c r="B12" s="23" t="inlineStr">
        <is>
          <t>AM</t>
        </is>
      </c>
      <c r="C12" s="24" t="inlineStr">
        <is>
          <t>FLT-2.0</t>
        </is>
      </c>
      <c r="D12" s="25" t="inlineStr">
        <is>
          <t>1000-1200</t>
        </is>
      </c>
      <c r="E12" s="26" t="n"/>
      <c r="F12" s="26" t="n"/>
      <c r="G12" s="27">
        <f>IF(C12="","",IFERROR(VLOOKUP(C12,CodeTable,3,0),1))</f>
        <v/>
      </c>
      <c r="H12" s="27">
        <f>IF(C12="","",IF(E12&lt;&gt;"",E12,IF(IFERROR(VLOOKUP(C12,CodeTable,5,0)&amp;"","")="","All",VLOOKUP(C12,CodeTable,5,0)&amp;"")))</f>
        <v/>
      </c>
      <c r="I12" s="28">
        <f>IF(OR(A12="",C12=""),"",A12&amp;"|"&amp;B12&amp;"|"&amp;(COUNTIFS(FlDate,A12,FlShift,B12,FlCode,"&lt;&gt;",FlOrder,"&lt;"&amp;J12)+COUNTIFS(A$6:A12,A12,B$6:B12,B12,C$6:C12,"&lt;&gt;",J$6:J12,J12)))</f>
        <v/>
      </c>
      <c r="J12" s="28">
        <f>IF(C12="","",IF(D12="","zz","t"&amp;D12))</f>
        <v/>
      </c>
      <c r="K12" s="28">
        <f>IF(OR(A12="",C12=""),"",IF(IFERROR(INDEX(DayStat,A12-DATE(PlanYear,1,1)+1)&amp;"","")&lt;&gt;"",0,1))</f>
        <v/>
      </c>
      <c r="L12" s="28">
        <f>IF(K12="","",K12*IFERROR(VLOOKUP(C12,CodeTable,4,0),0))</f>
        <v/>
      </c>
    </row>
    <row r="13">
      <c r="A13" s="22" t="n">
        <v>46297</v>
      </c>
      <c r="B13" s="23" t="inlineStr">
        <is>
          <t>PM</t>
        </is>
      </c>
      <c r="C13" s="24" t="inlineStr">
        <is>
          <t>FLT-2.0</t>
        </is>
      </c>
      <c r="D13" s="25" t="inlineStr">
        <is>
          <t>1330</t>
        </is>
      </c>
      <c r="E13" s="26" t="n"/>
      <c r="F13" s="26" t="n"/>
      <c r="G13" s="27">
        <f>IF(C13="","",IFERROR(VLOOKUP(C13,CodeTable,3,0),1))</f>
        <v/>
      </c>
      <c r="H13" s="27">
        <f>IF(C13="","",IF(E13&lt;&gt;"",E13,IF(IFERROR(VLOOKUP(C13,CodeTable,5,0)&amp;"","")="","All",VLOOKUP(C13,CodeTable,5,0)&amp;"")))</f>
        <v/>
      </c>
      <c r="I13" s="28">
        <f>IF(OR(A13="",C13=""),"",A13&amp;"|"&amp;B13&amp;"|"&amp;(COUNTIFS(FlDate,A13,FlShift,B13,FlCode,"&lt;&gt;",FlOrder,"&lt;"&amp;J13)+COUNTIFS(A$6:A13,A13,B$6:B13,B13,C$6:C13,"&lt;&gt;",J$6:J13,J13)))</f>
        <v/>
      </c>
      <c r="J13" s="28">
        <f>IF(C13="","",IF(D13="","zz","t"&amp;D13))</f>
        <v/>
      </c>
      <c r="K13" s="28">
        <f>IF(OR(A13="",C13=""),"",IF(IFERROR(INDEX(DayStat,A13-DATE(PlanYear,1,1)+1)&amp;"","")&lt;&gt;"",0,1))</f>
        <v/>
      </c>
      <c r="L13" s="28">
        <f>IF(K13="","",K13*IFERROR(VLOOKUP(C13,CodeTable,4,0),0))</f>
        <v/>
      </c>
    </row>
    <row r="14">
      <c r="A14" s="22" t="n">
        <v>46297</v>
      </c>
      <c r="B14" s="23" t="inlineStr">
        <is>
          <t>NIGHT</t>
        </is>
      </c>
      <c r="C14" s="24" t="inlineStr">
        <is>
          <t>NVG-2.0</t>
        </is>
      </c>
      <c r="D14" s="25" t="inlineStr">
        <is>
          <t>2000-2200</t>
        </is>
      </c>
      <c r="E14" s="26" t="n"/>
      <c r="F14" s="26" t="n"/>
      <c r="G14" s="27">
        <f>IF(C14="","",IFERROR(VLOOKUP(C14,CodeTable,3,0),1))</f>
        <v/>
      </c>
      <c r="H14" s="27">
        <f>IF(C14="","",IF(E14&lt;&gt;"",E14,IF(IFERROR(VLOOKUP(C14,CodeTable,5,0)&amp;"","")="","All",VLOOKUP(C14,CodeTable,5,0)&amp;"")))</f>
        <v/>
      </c>
      <c r="I14" s="28">
        <f>IF(OR(A14="",C14=""),"",A14&amp;"|"&amp;B14&amp;"|"&amp;(COUNTIFS(FlDate,A14,FlShift,B14,FlCode,"&lt;&gt;",FlOrder,"&lt;"&amp;J14)+COUNTIFS(A$6:A14,A14,B$6:B14,B14,C$6:C14,"&lt;&gt;",J$6:J14,J14)))</f>
        <v/>
      </c>
      <c r="J14" s="28">
        <f>IF(C14="","",IF(D14="","zz","t"&amp;D14))</f>
        <v/>
      </c>
      <c r="K14" s="28">
        <f>IF(OR(A14="",C14=""),"",IF(IFERROR(INDEX(DayStat,A14-DATE(PlanYear,1,1)+1)&amp;"","")&lt;&gt;"",0,1))</f>
        <v/>
      </c>
      <c r="L14" s="28">
        <f>IF(K14="","",K14*IFERROR(VLOOKUP(C14,CodeTable,4,0),0))</f>
        <v/>
      </c>
    </row>
    <row r="15">
      <c r="A15" s="22" t="n">
        <v>46300</v>
      </c>
      <c r="B15" s="23" t="inlineStr">
        <is>
          <t>AM</t>
        </is>
      </c>
      <c r="C15" s="24" t="inlineStr">
        <is>
          <t>FLT-2.0</t>
        </is>
      </c>
      <c r="D15" s="25" t="inlineStr">
        <is>
          <t>0830</t>
        </is>
      </c>
      <c r="E15" s="26" t="n"/>
      <c r="F15" s="26" t="n"/>
      <c r="G15" s="27">
        <f>IF(C15="","",IFERROR(VLOOKUP(C15,CodeTable,3,0),1))</f>
        <v/>
      </c>
      <c r="H15" s="27">
        <f>IF(C15="","",IF(E15&lt;&gt;"",E15,IF(IFERROR(VLOOKUP(C15,CodeTable,5,0)&amp;"","")="","All",VLOOKUP(C15,CodeTable,5,0)&amp;"")))</f>
        <v/>
      </c>
      <c r="I15" s="28">
        <f>IF(OR(A15="",C15=""),"",A15&amp;"|"&amp;B15&amp;"|"&amp;(COUNTIFS(FlDate,A15,FlShift,B15,FlCode,"&lt;&gt;",FlOrder,"&lt;"&amp;J15)+COUNTIFS(A$6:A15,A15,B$6:B15,B15,C$6:C15,"&lt;&gt;",J$6:J15,J15)))</f>
        <v/>
      </c>
      <c r="J15" s="28">
        <f>IF(C15="","",IF(D15="","zz","t"&amp;D15))</f>
        <v/>
      </c>
      <c r="K15" s="28">
        <f>IF(OR(A15="",C15=""),"",IF(IFERROR(INDEX(DayStat,A15-DATE(PlanYear,1,1)+1)&amp;"","")&lt;&gt;"",0,1))</f>
        <v/>
      </c>
      <c r="L15" s="28">
        <f>IF(K15="","",K15*IFERROR(VLOOKUP(C15,CodeTable,4,0),0))</f>
        <v/>
      </c>
    </row>
    <row r="16">
      <c r="A16" s="22" t="n">
        <v>46300</v>
      </c>
      <c r="B16" s="23" t="inlineStr">
        <is>
          <t>AM</t>
        </is>
      </c>
      <c r="C16" s="24" t="inlineStr">
        <is>
          <t>FLT-1.5</t>
        </is>
      </c>
      <c r="D16" s="25" t="inlineStr">
        <is>
          <t>TBC</t>
        </is>
      </c>
      <c r="E16" s="26" t="n"/>
      <c r="F16" s="26" t="inlineStr">
        <is>
          <t>Wx dependent</t>
        </is>
      </c>
      <c r="G16" s="27">
        <f>IF(C16="","",IFERROR(VLOOKUP(C16,CodeTable,3,0),1))</f>
        <v/>
      </c>
      <c r="H16" s="27">
        <f>IF(C16="","",IF(E16&lt;&gt;"",E16,IF(IFERROR(VLOOKUP(C16,CodeTable,5,0)&amp;"","")="","All",VLOOKUP(C16,CodeTable,5,0)&amp;"")))</f>
        <v/>
      </c>
      <c r="I16" s="28">
        <f>IF(OR(A16="",C16=""),"",A16&amp;"|"&amp;B16&amp;"|"&amp;(COUNTIFS(FlDate,A16,FlShift,B16,FlCode,"&lt;&gt;",FlOrder,"&lt;"&amp;J16)+COUNTIFS(A$6:A16,A16,B$6:B16,B16,C$6:C16,"&lt;&gt;",J$6:J16,J16)))</f>
        <v/>
      </c>
      <c r="J16" s="28">
        <f>IF(C16="","",IF(D16="","zz","t"&amp;D16))</f>
        <v/>
      </c>
      <c r="K16" s="28">
        <f>IF(OR(A16="",C16=""),"",IF(IFERROR(INDEX(DayStat,A16-DATE(PlanYear,1,1)+1)&amp;"","")&lt;&gt;"",0,1))</f>
        <v/>
      </c>
      <c r="L16" s="28">
        <f>IF(K16="","",K16*IFERROR(VLOOKUP(C16,CodeTable,4,0),0))</f>
        <v/>
      </c>
    </row>
    <row r="17">
      <c r="A17" s="22" t="n">
        <v>46300</v>
      </c>
      <c r="B17" s="23" t="inlineStr">
        <is>
          <t>NIGHT</t>
        </is>
      </c>
      <c r="C17" s="24" t="inlineStr">
        <is>
          <t>NVG-2.0</t>
        </is>
      </c>
      <c r="D17" s="25" t="inlineStr">
        <is>
          <t>1930-2130</t>
        </is>
      </c>
      <c r="E17" s="26" t="n"/>
      <c r="F17" s="26" t="n"/>
      <c r="G17" s="27">
        <f>IF(C17="","",IFERROR(VLOOKUP(C17,CodeTable,3,0),1))</f>
        <v/>
      </c>
      <c r="H17" s="27">
        <f>IF(C17="","",IF(E17&lt;&gt;"",E17,IF(IFERROR(VLOOKUP(C17,CodeTable,5,0)&amp;"","")="","All",VLOOKUP(C17,CodeTable,5,0)&amp;"")))</f>
        <v/>
      </c>
      <c r="I17" s="28">
        <f>IF(OR(A17="",C17=""),"",A17&amp;"|"&amp;B17&amp;"|"&amp;(COUNTIFS(FlDate,A17,FlShift,B17,FlCode,"&lt;&gt;",FlOrder,"&lt;"&amp;J17)+COUNTIFS(A$6:A17,A17,B$6:B17,B17,C$6:C17,"&lt;&gt;",J$6:J17,J17)))</f>
        <v/>
      </c>
      <c r="J17" s="28">
        <f>IF(C17="","",IF(D17="","zz","t"&amp;D17))</f>
        <v/>
      </c>
      <c r="K17" s="28">
        <f>IF(OR(A17="",C17=""),"",IF(IFERROR(INDEX(DayStat,A17-DATE(PlanYear,1,1)+1)&amp;"","")&lt;&gt;"",0,1))</f>
        <v/>
      </c>
      <c r="L17" s="28">
        <f>IF(K17="","",K17*IFERROR(VLOOKUP(C17,CodeTable,4,0),0))</f>
        <v/>
      </c>
    </row>
    <row r="18">
      <c r="A18" s="22" t="n">
        <v>46301</v>
      </c>
      <c r="B18" s="23" t="inlineStr">
        <is>
          <t>PM</t>
        </is>
      </c>
      <c r="C18" s="24" t="inlineStr">
        <is>
          <t>FLT-3.0</t>
        </is>
      </c>
      <c r="D18" s="25" t="inlineStr">
        <is>
          <t>1300-1600</t>
        </is>
      </c>
      <c r="E18" s="26" t="inlineStr">
        <is>
          <t>P L</t>
        </is>
      </c>
      <c r="F18" s="26" t="n"/>
      <c r="G18" s="27">
        <f>IF(C18="","",IFERROR(VLOOKUP(C18,CodeTable,3,0),1))</f>
        <v/>
      </c>
      <c r="H18" s="27">
        <f>IF(C18="","",IF(E18&lt;&gt;"",E18,IF(IFERROR(VLOOKUP(C18,CodeTable,5,0)&amp;"","")="","All",VLOOKUP(C18,CodeTable,5,0)&amp;"")))</f>
        <v/>
      </c>
      <c r="I18" s="28">
        <f>IF(OR(A18="",C18=""),"",A18&amp;"|"&amp;B18&amp;"|"&amp;(COUNTIFS(FlDate,A18,FlShift,B18,FlCode,"&lt;&gt;",FlOrder,"&lt;"&amp;J18)+COUNTIFS(A$6:A18,A18,B$6:B18,B18,C$6:C18,"&lt;&gt;",J$6:J18,J18)))</f>
        <v/>
      </c>
      <c r="J18" s="28">
        <f>IF(C18="","",IF(D18="","zz","t"&amp;D18))</f>
        <v/>
      </c>
      <c r="K18" s="28">
        <f>IF(OR(A18="",C18=""),"",IF(IFERROR(INDEX(DayStat,A18-DATE(PlanYear,1,1)+1)&amp;"","")&lt;&gt;"",0,1))</f>
        <v/>
      </c>
      <c r="L18" s="28">
        <f>IF(K18="","",K18*IFERROR(VLOOKUP(C18,CodeTable,4,0),0))</f>
        <v/>
      </c>
    </row>
    <row r="19">
      <c r="A19" s="22" t="n">
        <v>46302</v>
      </c>
      <c r="B19" s="23" t="inlineStr">
        <is>
          <t>AM</t>
        </is>
      </c>
      <c r="C19" s="24" t="inlineStr">
        <is>
          <t>FLT-2.0</t>
        </is>
      </c>
      <c r="D19" s="25" t="inlineStr">
        <is>
          <t>0830-1030</t>
        </is>
      </c>
      <c r="E19" s="26" t="n"/>
      <c r="F19" s="26" t="inlineStr">
        <is>
          <t>Need 2nd crew</t>
        </is>
      </c>
      <c r="G19" s="27">
        <f>IF(C19="","",IFERROR(VLOOKUP(C19,CodeTable,3,0),1))</f>
        <v/>
      </c>
      <c r="H19" s="27">
        <f>IF(C19="","",IF(E19&lt;&gt;"",E19,IF(IFERROR(VLOOKUP(C19,CodeTable,5,0)&amp;"","")="","All",VLOOKUP(C19,CodeTable,5,0)&amp;"")))</f>
        <v/>
      </c>
      <c r="I19" s="28">
        <f>IF(OR(A19="",C19=""),"",A19&amp;"|"&amp;B19&amp;"|"&amp;(COUNTIFS(FlDate,A19,FlShift,B19,FlCode,"&lt;&gt;",FlOrder,"&lt;"&amp;J19)+COUNTIFS(A$6:A19,A19,B$6:B19,B19,C$6:C19,"&lt;&gt;",J$6:J19,J19)))</f>
        <v/>
      </c>
      <c r="J19" s="28">
        <f>IF(C19="","",IF(D19="","zz","t"&amp;D19))</f>
        <v/>
      </c>
      <c r="K19" s="28">
        <f>IF(OR(A19="",C19=""),"",IF(IFERROR(INDEX(DayStat,A19-DATE(PlanYear,1,1)+1)&amp;"","")&lt;&gt;"",0,1))</f>
        <v/>
      </c>
      <c r="L19" s="28">
        <f>IF(K19="","",K19*IFERROR(VLOOKUP(C19,CodeTable,4,0),0))</f>
        <v/>
      </c>
    </row>
    <row r="20">
      <c r="A20" s="22" t="n">
        <v>46302</v>
      </c>
      <c r="B20" s="23" t="inlineStr">
        <is>
          <t>AM</t>
        </is>
      </c>
      <c r="C20" s="24" t="inlineStr">
        <is>
          <t>FLT-1.5</t>
        </is>
      </c>
      <c r="D20" s="25" t="inlineStr">
        <is>
          <t>1100</t>
        </is>
      </c>
      <c r="E20" s="26" t="n"/>
      <c r="F20" s="26" t="n"/>
      <c r="G20" s="27">
        <f>IF(C20="","",IFERROR(VLOOKUP(C20,CodeTable,3,0),1))</f>
        <v/>
      </c>
      <c r="H20" s="27">
        <f>IF(C20="","",IF(E20&lt;&gt;"",E20,IF(IFERROR(VLOOKUP(C20,CodeTable,5,0)&amp;"","")="","All",VLOOKUP(C20,CodeTable,5,0)&amp;"")))</f>
        <v/>
      </c>
      <c r="I20" s="28">
        <f>IF(OR(A20="",C20=""),"",A20&amp;"|"&amp;B20&amp;"|"&amp;(COUNTIFS(FlDate,A20,FlShift,B20,FlCode,"&lt;&gt;",FlOrder,"&lt;"&amp;J20)+COUNTIFS(A$6:A20,A20,B$6:B20,B20,C$6:C20,"&lt;&gt;",J$6:J20,J20)))</f>
        <v/>
      </c>
      <c r="J20" s="28">
        <f>IF(C20="","",IF(D20="","zz","t"&amp;D20))</f>
        <v/>
      </c>
      <c r="K20" s="28">
        <f>IF(OR(A20="",C20=""),"",IF(IFERROR(INDEX(DayStat,A20-DATE(PlanYear,1,1)+1)&amp;"","")&lt;&gt;"",0,1))</f>
        <v/>
      </c>
      <c r="L20" s="28">
        <f>IF(K20="","",K20*IFERROR(VLOOKUP(C20,CodeTable,4,0),0))</f>
        <v/>
      </c>
    </row>
    <row r="21">
      <c r="A21" s="22" t="n">
        <v>46303</v>
      </c>
      <c r="B21" s="23" t="inlineStr">
        <is>
          <t>AM</t>
        </is>
      </c>
      <c r="C21" s="24" t="inlineStr">
        <is>
          <t>FLT-2.0</t>
        </is>
      </c>
      <c r="D21" s="25" t="inlineStr">
        <is>
          <t>0900-1100</t>
        </is>
      </c>
      <c r="E21" s="26" t="inlineStr">
        <is>
          <t>P T</t>
        </is>
      </c>
      <c r="F21" s="26" t="inlineStr">
        <is>
          <t>Exercise</t>
        </is>
      </c>
      <c r="G21" s="27">
        <f>IF(C21="","",IFERROR(VLOOKUP(C21,CodeTable,3,0),1))</f>
        <v/>
      </c>
      <c r="H21" s="27">
        <f>IF(C21="","",IF(E21&lt;&gt;"",E21,IF(IFERROR(VLOOKUP(C21,CodeTable,5,0)&amp;"","")="","All",VLOOKUP(C21,CodeTable,5,0)&amp;"")))</f>
        <v/>
      </c>
      <c r="I21" s="28">
        <f>IF(OR(A21="",C21=""),"",A21&amp;"|"&amp;B21&amp;"|"&amp;(COUNTIFS(FlDate,A21,FlShift,B21,FlCode,"&lt;&gt;",FlOrder,"&lt;"&amp;J21)+COUNTIFS(A$6:A21,A21,B$6:B21,B21,C$6:C21,"&lt;&gt;",J$6:J21,J21)))</f>
        <v/>
      </c>
      <c r="J21" s="28">
        <f>IF(C21="","",IF(D21="","zz","t"&amp;D21))</f>
        <v/>
      </c>
      <c r="K21" s="28">
        <f>IF(OR(A21="",C21=""),"",IF(IFERROR(INDEX(DayStat,A21-DATE(PlanYear,1,1)+1)&amp;"","")&lt;&gt;"",0,1))</f>
        <v/>
      </c>
      <c r="L21" s="28">
        <f>IF(K21="","",K21*IFERROR(VLOOKUP(C21,CodeTable,4,0),0))</f>
        <v/>
      </c>
    </row>
    <row r="22">
      <c r="A22" s="22" t="n">
        <v>46307</v>
      </c>
      <c r="B22" s="23" t="inlineStr">
        <is>
          <t>AM</t>
        </is>
      </c>
      <c r="C22" s="24" t="inlineStr">
        <is>
          <t>FLT-2.0</t>
        </is>
      </c>
      <c r="D22" s="25" t="inlineStr">
        <is>
          <t>0830-1030</t>
        </is>
      </c>
      <c r="E22" s="26" t="n"/>
      <c r="F22" s="26" t="n"/>
      <c r="G22" s="27">
        <f>IF(C22="","",IFERROR(VLOOKUP(C22,CodeTable,3,0),1))</f>
        <v/>
      </c>
      <c r="H22" s="27">
        <f>IF(C22="","",IF(E22&lt;&gt;"",E22,IF(IFERROR(VLOOKUP(C22,CodeTable,5,0)&amp;"","")="","All",VLOOKUP(C22,CodeTable,5,0)&amp;"")))</f>
        <v/>
      </c>
      <c r="I22" s="28">
        <f>IF(OR(A22="",C22=""),"",A22&amp;"|"&amp;B22&amp;"|"&amp;(COUNTIFS(FlDate,A22,FlShift,B22,FlCode,"&lt;&gt;",FlOrder,"&lt;"&amp;J22)+COUNTIFS(A$6:A22,A22,B$6:B22,B22,C$6:C22,"&lt;&gt;",J$6:J22,J22)))</f>
        <v/>
      </c>
      <c r="J22" s="28">
        <f>IF(C22="","",IF(D22="","zz","t"&amp;D22))</f>
        <v/>
      </c>
      <c r="K22" s="28">
        <f>IF(OR(A22="",C22=""),"",IF(IFERROR(INDEX(DayStat,A22-DATE(PlanYear,1,1)+1)&amp;"","")&lt;&gt;"",0,1))</f>
        <v/>
      </c>
      <c r="L22" s="28">
        <f>IF(K22="","",K22*IFERROR(VLOOKUP(C22,CodeTable,4,0),0))</f>
        <v/>
      </c>
    </row>
    <row r="23">
      <c r="A23" s="22" t="n">
        <v>46307</v>
      </c>
      <c r="B23" s="23" t="inlineStr">
        <is>
          <t>PM</t>
        </is>
      </c>
      <c r="C23" s="24" t="inlineStr">
        <is>
          <t>FLT-1.5</t>
        </is>
      </c>
      <c r="D23" s="25" t="inlineStr">
        <is>
          <t>1400-1530</t>
        </is>
      </c>
      <c r="E23" s="26" t="n"/>
      <c r="F23" s="26" t="n"/>
      <c r="G23" s="27">
        <f>IF(C23="","",IFERROR(VLOOKUP(C23,CodeTable,3,0),1))</f>
        <v/>
      </c>
      <c r="H23" s="27">
        <f>IF(C23="","",IF(E23&lt;&gt;"",E23,IF(IFERROR(VLOOKUP(C23,CodeTable,5,0)&amp;"","")="","All",VLOOKUP(C23,CodeTable,5,0)&amp;"")))</f>
        <v/>
      </c>
      <c r="I23" s="28">
        <f>IF(OR(A23="",C23=""),"",A23&amp;"|"&amp;B23&amp;"|"&amp;(COUNTIFS(FlDate,A23,FlShift,B23,FlCode,"&lt;&gt;",FlOrder,"&lt;"&amp;J23)+COUNTIFS(A$6:A23,A23,B$6:B23,B23,C$6:C23,"&lt;&gt;",J$6:J23,J23)))</f>
        <v/>
      </c>
      <c r="J23" s="28">
        <f>IF(C23="","",IF(D23="","zz","t"&amp;D23))</f>
        <v/>
      </c>
      <c r="K23" s="28">
        <f>IF(OR(A23="",C23=""),"",IF(IFERROR(INDEX(DayStat,A23-DATE(PlanYear,1,1)+1)&amp;"","")&lt;&gt;"",0,1))</f>
        <v/>
      </c>
      <c r="L23" s="28">
        <f>IF(K23="","",K23*IFERROR(VLOOKUP(C23,CodeTable,4,0),0))</f>
        <v/>
      </c>
    </row>
    <row r="24">
      <c r="A24" s="22" t="n">
        <v>46308</v>
      </c>
      <c r="B24" s="23" t="inlineStr">
        <is>
          <t>NIGHT</t>
        </is>
      </c>
      <c r="C24" s="24" t="inlineStr">
        <is>
          <t>NVG-2.0</t>
        </is>
      </c>
      <c r="D24" s="25" t="inlineStr">
        <is>
          <t>2000-2200</t>
        </is>
      </c>
      <c r="E24" s="26" t="inlineStr">
        <is>
          <t>P S2</t>
        </is>
      </c>
      <c r="F24" s="26" t="n"/>
      <c r="G24" s="27">
        <f>IF(C24="","",IFERROR(VLOOKUP(C24,CodeTable,3,0),1))</f>
        <v/>
      </c>
      <c r="H24" s="27">
        <f>IF(C24="","",IF(E24&lt;&gt;"",E24,IF(IFERROR(VLOOKUP(C24,CodeTable,5,0)&amp;"","")="","All",VLOOKUP(C24,CodeTable,5,0)&amp;"")))</f>
        <v/>
      </c>
      <c r="I24" s="28">
        <f>IF(OR(A24="",C24=""),"",A24&amp;"|"&amp;B24&amp;"|"&amp;(COUNTIFS(FlDate,A24,FlShift,B24,FlCode,"&lt;&gt;",FlOrder,"&lt;"&amp;J24)+COUNTIFS(A$6:A24,A24,B$6:B24,B24,C$6:C24,"&lt;&gt;",J$6:J24,J24)))</f>
        <v/>
      </c>
      <c r="J24" s="28">
        <f>IF(C24="","",IF(D24="","zz","t"&amp;D24))</f>
        <v/>
      </c>
      <c r="K24" s="28">
        <f>IF(OR(A24="",C24=""),"",IF(IFERROR(INDEX(DayStat,A24-DATE(PlanYear,1,1)+1)&amp;"","")&lt;&gt;"",0,1))</f>
        <v/>
      </c>
      <c r="L24" s="28">
        <f>IF(K24="","",K24*IFERROR(VLOOKUP(C24,CodeTable,4,0),0))</f>
        <v/>
      </c>
    </row>
    <row r="25">
      <c r="A25" s="22" t="n">
        <v>46309</v>
      </c>
      <c r="B25" s="23" t="inlineStr">
        <is>
          <t>AM</t>
        </is>
      </c>
      <c r="C25" s="24" t="inlineStr">
        <is>
          <t>2xFLT-1.5</t>
        </is>
      </c>
      <c r="D25" s="25" t="inlineStr">
        <is>
          <t>0800-1100</t>
        </is>
      </c>
      <c r="E25" s="26" t="n"/>
      <c r="F25" s="26" t="inlineStr">
        <is>
          <t>Check rides</t>
        </is>
      </c>
      <c r="G25" s="27">
        <f>IF(C25="","",IFERROR(VLOOKUP(C25,CodeTable,3,0),1))</f>
        <v/>
      </c>
      <c r="H25" s="27">
        <f>IF(C25="","",IF(E25&lt;&gt;"",E25,IF(IFERROR(VLOOKUP(C25,CodeTable,5,0)&amp;"","")="","All",VLOOKUP(C25,CodeTable,5,0)&amp;"")))</f>
        <v/>
      </c>
      <c r="I25" s="28">
        <f>IF(OR(A25="",C25=""),"",A25&amp;"|"&amp;B25&amp;"|"&amp;(COUNTIFS(FlDate,A25,FlShift,B25,FlCode,"&lt;&gt;",FlOrder,"&lt;"&amp;J25)+COUNTIFS(A$6:A25,A25,B$6:B25,B25,C$6:C25,"&lt;&gt;",J$6:J25,J25)))</f>
        <v/>
      </c>
      <c r="J25" s="28">
        <f>IF(C25="","",IF(D25="","zz","t"&amp;D25))</f>
        <v/>
      </c>
      <c r="K25" s="28">
        <f>IF(OR(A25="",C25=""),"",IF(IFERROR(INDEX(DayStat,A25-DATE(PlanYear,1,1)+1)&amp;"","")&lt;&gt;"",0,1))</f>
        <v/>
      </c>
      <c r="L25" s="28">
        <f>IF(K25="","",K25*IFERROR(VLOOKUP(C25,CodeTable,4,0),0))</f>
        <v/>
      </c>
    </row>
    <row r="26">
      <c r="A26" s="22" t="n">
        <v>46310</v>
      </c>
      <c r="B26" s="23" t="inlineStr">
        <is>
          <t>PM</t>
        </is>
      </c>
      <c r="C26" s="24" t="inlineStr">
        <is>
          <t>MSN-3.0</t>
        </is>
      </c>
      <c r="D26" s="25" t="inlineStr">
        <is>
          <t>1300-1600</t>
        </is>
      </c>
      <c r="E26" s="26" t="n"/>
      <c r="F26" s="26" t="inlineStr">
        <is>
          <t>Long range</t>
        </is>
      </c>
      <c r="G26" s="27">
        <f>IF(C26="","",IFERROR(VLOOKUP(C26,CodeTable,3,0),1))</f>
        <v/>
      </c>
      <c r="H26" s="27">
        <f>IF(C26="","",IF(E26&lt;&gt;"",E26,IF(IFERROR(VLOOKUP(C26,CodeTable,5,0)&amp;"","")="","All",VLOOKUP(C26,CodeTable,5,0)&amp;"")))</f>
        <v/>
      </c>
      <c r="I26" s="28">
        <f>IF(OR(A26="",C26=""),"",A26&amp;"|"&amp;B26&amp;"|"&amp;(COUNTIFS(FlDate,A26,FlShift,B26,FlCode,"&lt;&gt;",FlOrder,"&lt;"&amp;J26)+COUNTIFS(A$6:A26,A26,B$6:B26,B26,C$6:C26,"&lt;&gt;",J$6:J26,J26)))</f>
        <v/>
      </c>
      <c r="J26" s="28">
        <f>IF(C26="","",IF(D26="","zz","t"&amp;D26))</f>
        <v/>
      </c>
      <c r="K26" s="28">
        <f>IF(OR(A26="",C26=""),"",IF(IFERROR(INDEX(DayStat,A26-DATE(PlanYear,1,1)+1)&amp;"","")&lt;&gt;"",0,1))</f>
        <v/>
      </c>
      <c r="L26" s="28">
        <f>IF(K26="","",K26*IFERROR(VLOOKUP(C26,CodeTable,4,0),0))</f>
        <v/>
      </c>
    </row>
    <row r="27">
      <c r="A27" s="22" t="n">
        <v>46315</v>
      </c>
      <c r="B27" s="23" t="inlineStr">
        <is>
          <t>AM</t>
        </is>
      </c>
      <c r="C27" s="24" t="inlineStr">
        <is>
          <t>PLT-TRG</t>
        </is>
      </c>
      <c r="D27" s="25" t="inlineStr">
        <is>
          <t>0900-1030</t>
        </is>
      </c>
      <c r="E27" s="26" t="n"/>
      <c r="F27" s="26" t="n"/>
      <c r="G27" s="27">
        <f>IF(C27="","",IFERROR(VLOOKUP(C27,CodeTable,3,0),1))</f>
        <v/>
      </c>
      <c r="H27" s="27">
        <f>IF(C27="","",IF(E27&lt;&gt;"",E27,IF(IFERROR(VLOOKUP(C27,CodeTable,5,0)&amp;"","")="","All",VLOOKUP(C27,CodeTable,5,0)&amp;"")))</f>
        <v/>
      </c>
      <c r="I27" s="28">
        <f>IF(OR(A27="",C27=""),"",A27&amp;"|"&amp;B27&amp;"|"&amp;(COUNTIFS(FlDate,A27,FlShift,B27,FlCode,"&lt;&gt;",FlOrder,"&lt;"&amp;J27)+COUNTIFS(A$6:A27,A27,B$6:B27,B27,C$6:C27,"&lt;&gt;",J$6:J27,J27)))</f>
        <v/>
      </c>
      <c r="J27" s="28">
        <f>IF(C27="","",IF(D27="","zz","t"&amp;D27))</f>
        <v/>
      </c>
      <c r="K27" s="28">
        <f>IF(OR(A27="",C27=""),"",IF(IFERROR(INDEX(DayStat,A27-DATE(PlanYear,1,1)+1)&amp;"","")&lt;&gt;"",0,1))</f>
        <v/>
      </c>
      <c r="L27" s="28">
        <f>IF(K27="","",K27*IFERROR(VLOOKUP(C27,CodeTable,4,0),0))</f>
        <v/>
      </c>
    </row>
    <row r="28">
      <c r="A28" s="22" t="n">
        <v>46316</v>
      </c>
      <c r="B28" s="23" t="inlineStr">
        <is>
          <t>AM</t>
        </is>
      </c>
      <c r="C28" s="24" t="inlineStr">
        <is>
          <t>FLT-2.0</t>
        </is>
      </c>
      <c r="D28" s="25" t="inlineStr">
        <is>
          <t>0830-1030</t>
        </is>
      </c>
      <c r="E28" s="26" t="n"/>
      <c r="F28" s="26" t="n"/>
      <c r="G28" s="27">
        <f>IF(C28="","",IFERROR(VLOOKUP(C28,CodeTable,3,0),1))</f>
        <v/>
      </c>
      <c r="H28" s="27">
        <f>IF(C28="","",IF(E28&lt;&gt;"",E28,IF(IFERROR(VLOOKUP(C28,CodeTable,5,0)&amp;"","")="","All",VLOOKUP(C28,CodeTable,5,0)&amp;"")))</f>
        <v/>
      </c>
      <c r="I28" s="28">
        <f>IF(OR(A28="",C28=""),"",A28&amp;"|"&amp;B28&amp;"|"&amp;(COUNTIFS(FlDate,A28,FlShift,B28,FlCode,"&lt;&gt;",FlOrder,"&lt;"&amp;J28)+COUNTIFS(A$6:A28,A28,B$6:B28,B28,C$6:C28,"&lt;&gt;",J$6:J28,J28)))</f>
        <v/>
      </c>
      <c r="J28" s="28">
        <f>IF(C28="","",IF(D28="","zz","t"&amp;D28))</f>
        <v/>
      </c>
      <c r="K28" s="28">
        <f>IF(OR(A28="",C28=""),"",IF(IFERROR(INDEX(DayStat,A28-DATE(PlanYear,1,1)+1)&amp;"","")&lt;&gt;"",0,1))</f>
        <v/>
      </c>
      <c r="L28" s="28">
        <f>IF(K28="","",K28*IFERROR(VLOOKUP(C28,CodeTable,4,0),0))</f>
        <v/>
      </c>
    </row>
    <row r="29">
      <c r="A29" s="22" t="n">
        <v>46316</v>
      </c>
      <c r="B29" s="23" t="inlineStr">
        <is>
          <t>AM</t>
        </is>
      </c>
      <c r="C29" s="24" t="inlineStr">
        <is>
          <t>FLT-1.5</t>
        </is>
      </c>
      <c r="D29" s="25" t="inlineStr">
        <is>
          <t>1000-1130</t>
        </is>
      </c>
      <c r="E29" s="26" t="n"/>
      <c r="F29" s="26" t="n"/>
      <c r="G29" s="27">
        <f>IF(C29="","",IFERROR(VLOOKUP(C29,CodeTable,3,0),1))</f>
        <v/>
      </c>
      <c r="H29" s="27">
        <f>IF(C29="","",IF(E29&lt;&gt;"",E29,IF(IFERROR(VLOOKUP(C29,CodeTable,5,0)&amp;"","")="","All",VLOOKUP(C29,CodeTable,5,0)&amp;"")))</f>
        <v/>
      </c>
      <c r="I29" s="28">
        <f>IF(OR(A29="",C29=""),"",A29&amp;"|"&amp;B29&amp;"|"&amp;(COUNTIFS(FlDate,A29,FlShift,B29,FlCode,"&lt;&gt;",FlOrder,"&lt;"&amp;J29)+COUNTIFS(A$6:A29,A29,B$6:B29,B29,C$6:C29,"&lt;&gt;",J$6:J29,J29)))</f>
        <v/>
      </c>
      <c r="J29" s="28">
        <f>IF(C29="","",IF(D29="","zz","t"&amp;D29))</f>
        <v/>
      </c>
      <c r="K29" s="28">
        <f>IF(OR(A29="",C29=""),"",IF(IFERROR(INDEX(DayStat,A29-DATE(PlanYear,1,1)+1)&amp;"","")&lt;&gt;"",0,1))</f>
        <v/>
      </c>
      <c r="L29" s="28">
        <f>IF(K29="","",K29*IFERROR(VLOOKUP(C29,CodeTable,4,0),0))</f>
        <v/>
      </c>
    </row>
    <row r="30">
      <c r="A30" s="22" t="n">
        <v>46316</v>
      </c>
      <c r="B30" s="23" t="inlineStr">
        <is>
          <t>PM</t>
        </is>
      </c>
      <c r="C30" s="24" t="inlineStr">
        <is>
          <t>MSN-3.0</t>
        </is>
      </c>
      <c r="D30" s="25" t="inlineStr">
        <is>
          <t>1300-1600</t>
        </is>
      </c>
      <c r="E30" s="26" t="n"/>
      <c r="F30" s="26" t="inlineStr">
        <is>
          <t>Long range</t>
        </is>
      </c>
      <c r="G30" s="27">
        <f>IF(C30="","",IFERROR(VLOOKUP(C30,CodeTable,3,0),1))</f>
        <v/>
      </c>
      <c r="H30" s="27">
        <f>IF(C30="","",IF(E30&lt;&gt;"",E30,IF(IFERROR(VLOOKUP(C30,CodeTable,5,0)&amp;"","")="","All",VLOOKUP(C30,CodeTable,5,0)&amp;"")))</f>
        <v/>
      </c>
      <c r="I30" s="28">
        <f>IF(OR(A30="",C30=""),"",A30&amp;"|"&amp;B30&amp;"|"&amp;(COUNTIFS(FlDate,A30,FlShift,B30,FlCode,"&lt;&gt;",FlOrder,"&lt;"&amp;J30)+COUNTIFS(A$6:A30,A30,B$6:B30,B30,C$6:C30,"&lt;&gt;",J$6:J30,J30)))</f>
        <v/>
      </c>
      <c r="J30" s="28">
        <f>IF(C30="","",IF(D30="","zz","t"&amp;D30))</f>
        <v/>
      </c>
      <c r="K30" s="28">
        <f>IF(OR(A30="",C30=""),"",IF(IFERROR(INDEX(DayStat,A30-DATE(PlanYear,1,1)+1)&amp;"","")&lt;&gt;"",0,1))</f>
        <v/>
      </c>
      <c r="L30" s="28">
        <f>IF(K30="","",K30*IFERROR(VLOOKUP(C30,CodeTable,4,0),0))</f>
        <v/>
      </c>
    </row>
    <row r="31">
      <c r="A31" s="22" t="n">
        <v>46317</v>
      </c>
      <c r="B31" s="23" t="inlineStr">
        <is>
          <t>AM</t>
        </is>
      </c>
      <c r="C31" s="24" t="inlineStr">
        <is>
          <t>FLT-3.0</t>
        </is>
      </c>
      <c r="D31" s="25" t="inlineStr">
        <is>
          <t>0800-1100</t>
        </is>
      </c>
      <c r="E31" s="26" t="n"/>
      <c r="F31" s="26" t="n"/>
      <c r="G31" s="27">
        <f>IF(C31="","",IFERROR(VLOOKUP(C31,CodeTable,3,0),1))</f>
        <v/>
      </c>
      <c r="H31" s="27">
        <f>IF(C31="","",IF(E31&lt;&gt;"",E31,IF(IFERROR(VLOOKUP(C31,CodeTable,5,0)&amp;"","")="","All",VLOOKUP(C31,CodeTable,5,0)&amp;"")))</f>
        <v/>
      </c>
      <c r="I31" s="28">
        <f>IF(OR(A31="",C31=""),"",A31&amp;"|"&amp;B31&amp;"|"&amp;(COUNTIFS(FlDate,A31,FlShift,B31,FlCode,"&lt;&gt;",FlOrder,"&lt;"&amp;J31)+COUNTIFS(A$6:A31,A31,B$6:B31,B31,C$6:C31,"&lt;&gt;",J$6:J31,J31)))</f>
        <v/>
      </c>
      <c r="J31" s="28">
        <f>IF(C31="","",IF(D31="","zz","t"&amp;D31))</f>
        <v/>
      </c>
      <c r="K31" s="28">
        <f>IF(OR(A31="",C31=""),"",IF(IFERROR(INDEX(DayStat,A31-DATE(PlanYear,1,1)+1)&amp;"","")&lt;&gt;"",0,1))</f>
        <v/>
      </c>
      <c r="L31" s="28">
        <f>IF(K31="","",K31*IFERROR(VLOOKUP(C31,CodeTable,4,0),0))</f>
        <v/>
      </c>
    </row>
    <row r="32">
      <c r="A32" s="22" t="n">
        <v>46317</v>
      </c>
      <c r="B32" s="23" t="inlineStr">
        <is>
          <t>NIGHT</t>
        </is>
      </c>
      <c r="C32" s="24" t="inlineStr">
        <is>
          <t>NVG-2.0</t>
        </is>
      </c>
      <c r="D32" s="25" t="inlineStr">
        <is>
          <t>2000-2200</t>
        </is>
      </c>
      <c r="E32" s="26" t="n"/>
      <c r="F32" s="26" t="n"/>
      <c r="G32" s="27">
        <f>IF(C32="","",IFERROR(VLOOKUP(C32,CodeTable,3,0),1))</f>
        <v/>
      </c>
      <c r="H32" s="27">
        <f>IF(C32="","",IF(E32&lt;&gt;"",E32,IF(IFERROR(VLOOKUP(C32,CodeTable,5,0)&amp;"","")="","All",VLOOKUP(C32,CodeTable,5,0)&amp;"")))</f>
        <v/>
      </c>
      <c r="I32" s="28">
        <f>IF(OR(A32="",C32=""),"",A32&amp;"|"&amp;B32&amp;"|"&amp;(COUNTIFS(FlDate,A32,FlShift,B32,FlCode,"&lt;&gt;",FlOrder,"&lt;"&amp;J32)+COUNTIFS(A$6:A32,A32,B$6:B32,B32,C$6:C32,"&lt;&gt;",J$6:J32,J32)))</f>
        <v/>
      </c>
      <c r="J32" s="28">
        <f>IF(C32="","",IF(D32="","zz","t"&amp;D32))</f>
        <v/>
      </c>
      <c r="K32" s="28">
        <f>IF(OR(A32="",C32=""),"",IF(IFERROR(INDEX(DayStat,A32-DATE(PlanYear,1,1)+1)&amp;"","")&lt;&gt;"",0,1))</f>
        <v/>
      </c>
      <c r="L32" s="28">
        <f>IF(K32="","",K32*IFERROR(VLOOKUP(C32,CodeTable,4,0),0))</f>
        <v/>
      </c>
    </row>
    <row r="33">
      <c r="A33" s="22" t="n">
        <v>46318</v>
      </c>
      <c r="B33" s="23" t="inlineStr">
        <is>
          <t>AM</t>
        </is>
      </c>
      <c r="C33" s="24" t="inlineStr">
        <is>
          <t>FLT-2.0</t>
        </is>
      </c>
      <c r="D33" s="25" t="inlineStr">
        <is>
          <t>0830-1030</t>
        </is>
      </c>
      <c r="E33" s="26" t="n"/>
      <c r="F33" s="26" t="n"/>
      <c r="G33" s="27">
        <f>IF(C33="","",IFERROR(VLOOKUP(C33,CodeTable,3,0),1))</f>
        <v/>
      </c>
      <c r="H33" s="27">
        <f>IF(C33="","",IF(E33&lt;&gt;"",E33,IF(IFERROR(VLOOKUP(C33,CodeTable,5,0)&amp;"","")="","All",VLOOKUP(C33,CodeTable,5,0)&amp;"")))</f>
        <v/>
      </c>
      <c r="I33" s="28">
        <f>IF(OR(A33="",C33=""),"",A33&amp;"|"&amp;B33&amp;"|"&amp;(COUNTIFS(FlDate,A33,FlShift,B33,FlCode,"&lt;&gt;",FlOrder,"&lt;"&amp;J33)+COUNTIFS(A$6:A33,A33,B$6:B33,B33,C$6:C33,"&lt;&gt;",J$6:J33,J33)))</f>
        <v/>
      </c>
      <c r="J33" s="28">
        <f>IF(C33="","",IF(D33="","zz","t"&amp;D33))</f>
        <v/>
      </c>
      <c r="K33" s="28">
        <f>IF(OR(A33="",C33=""),"",IF(IFERROR(INDEX(DayStat,A33-DATE(PlanYear,1,1)+1)&amp;"","")&lt;&gt;"",0,1))</f>
        <v/>
      </c>
      <c r="L33" s="28">
        <f>IF(K33="","",K33*IFERROR(VLOOKUP(C33,CodeTable,4,0),0))</f>
        <v/>
      </c>
    </row>
    <row r="34">
      <c r="A34" s="22" t="n">
        <v>46318</v>
      </c>
      <c r="B34" s="23" t="inlineStr">
        <is>
          <t>AM</t>
        </is>
      </c>
      <c r="C34" s="24" t="inlineStr">
        <is>
          <t>FLT-1.5</t>
        </is>
      </c>
      <c r="D34" s="25" t="inlineStr">
        <is>
          <t>1000-1130</t>
        </is>
      </c>
      <c r="E34" s="26" t="n"/>
      <c r="F34" s="26" t="n"/>
      <c r="G34" s="27">
        <f>IF(C34="","",IFERROR(VLOOKUP(C34,CodeTable,3,0),1))</f>
        <v/>
      </c>
      <c r="H34" s="27">
        <f>IF(C34="","",IF(E34&lt;&gt;"",E34,IF(IFERROR(VLOOKUP(C34,CodeTable,5,0)&amp;"","")="","All",VLOOKUP(C34,CodeTable,5,0)&amp;"")))</f>
        <v/>
      </c>
      <c r="I34" s="28">
        <f>IF(OR(A34="",C34=""),"",A34&amp;"|"&amp;B34&amp;"|"&amp;(COUNTIFS(FlDate,A34,FlShift,B34,FlCode,"&lt;&gt;",FlOrder,"&lt;"&amp;J34)+COUNTIFS(A$6:A34,A34,B$6:B34,B34,C$6:C34,"&lt;&gt;",J$6:J34,J34)))</f>
        <v/>
      </c>
      <c r="J34" s="28">
        <f>IF(C34="","",IF(D34="","zz","t"&amp;D34))</f>
        <v/>
      </c>
      <c r="K34" s="28">
        <f>IF(OR(A34="",C34=""),"",IF(IFERROR(INDEX(DayStat,A34-DATE(PlanYear,1,1)+1)&amp;"","")&lt;&gt;"",0,1))</f>
        <v/>
      </c>
      <c r="L34" s="28">
        <f>IF(K34="","",K34*IFERROR(VLOOKUP(C34,CodeTable,4,0),0))</f>
        <v/>
      </c>
    </row>
    <row r="35">
      <c r="A35" s="22" t="n">
        <v>46318</v>
      </c>
      <c r="B35" s="23" t="inlineStr">
        <is>
          <t>PM</t>
        </is>
      </c>
      <c r="C35" s="24" t="inlineStr">
        <is>
          <t>FLT-1.5</t>
        </is>
      </c>
      <c r="D35" s="25" t="inlineStr">
        <is>
          <t>1430-1600</t>
        </is>
      </c>
      <c r="E35" s="26" t="n"/>
      <c r="F35" s="26" t="n"/>
      <c r="G35" s="27">
        <f>IF(C35="","",IFERROR(VLOOKUP(C35,CodeTable,3,0),1))</f>
        <v/>
      </c>
      <c r="H35" s="27">
        <f>IF(C35="","",IF(E35&lt;&gt;"",E35,IF(IFERROR(VLOOKUP(C35,CodeTable,5,0)&amp;"","")="","All",VLOOKUP(C35,CodeTable,5,0)&amp;"")))</f>
        <v/>
      </c>
      <c r="I35" s="28">
        <f>IF(OR(A35="",C35=""),"",A35&amp;"|"&amp;B35&amp;"|"&amp;(COUNTIFS(FlDate,A35,FlShift,B35,FlCode,"&lt;&gt;",FlOrder,"&lt;"&amp;J35)+COUNTIFS(A$6:A35,A35,B$6:B35,B35,C$6:C35,"&lt;&gt;",J$6:J35,J35)))</f>
        <v/>
      </c>
      <c r="J35" s="28">
        <f>IF(C35="","",IF(D35="","zz","t"&amp;D35))</f>
        <v/>
      </c>
      <c r="K35" s="28">
        <f>IF(OR(A35="",C35=""),"",IF(IFERROR(INDEX(DayStat,A35-DATE(PlanYear,1,1)+1)&amp;"","")&lt;&gt;"",0,1))</f>
        <v/>
      </c>
      <c r="L35" s="28">
        <f>IF(K35="","",K35*IFERROR(VLOOKUP(C35,CodeTable,4,0),0))</f>
        <v/>
      </c>
    </row>
    <row r="36">
      <c r="A36" s="22" t="n">
        <v>46321</v>
      </c>
      <c r="B36" s="23" t="inlineStr">
        <is>
          <t>AM</t>
        </is>
      </c>
      <c r="C36" s="24" t="inlineStr">
        <is>
          <t>FLT-2.0</t>
        </is>
      </c>
      <c r="D36" s="25" t="inlineStr">
        <is>
          <t>0830-1030</t>
        </is>
      </c>
      <c r="E36" s="26" t="n"/>
      <c r="F36" s="26" t="n"/>
      <c r="G36" s="27">
        <f>IF(C36="","",IFERROR(VLOOKUP(C36,CodeTable,3,0),1))</f>
        <v/>
      </c>
      <c r="H36" s="27">
        <f>IF(C36="","",IF(E36&lt;&gt;"",E36,IF(IFERROR(VLOOKUP(C36,CodeTable,5,0)&amp;"","")="","All",VLOOKUP(C36,CodeTable,5,0)&amp;"")))</f>
        <v/>
      </c>
      <c r="I36" s="28">
        <f>IF(OR(A36="",C36=""),"",A36&amp;"|"&amp;B36&amp;"|"&amp;(COUNTIFS(FlDate,A36,FlShift,B36,FlCode,"&lt;&gt;",FlOrder,"&lt;"&amp;J36)+COUNTIFS(A$6:A36,A36,B$6:B36,B36,C$6:C36,"&lt;&gt;",J$6:J36,J36)))</f>
        <v/>
      </c>
      <c r="J36" s="28">
        <f>IF(C36="","",IF(D36="","zz","t"&amp;D36))</f>
        <v/>
      </c>
      <c r="K36" s="28">
        <f>IF(OR(A36="",C36=""),"",IF(IFERROR(INDEX(DayStat,A36-DATE(PlanYear,1,1)+1)&amp;"","")&lt;&gt;"",0,1))</f>
        <v/>
      </c>
      <c r="L36" s="28">
        <f>IF(K36="","",K36*IFERROR(VLOOKUP(C36,CodeTable,4,0),0))</f>
        <v/>
      </c>
    </row>
    <row r="37">
      <c r="A37" s="22" t="n">
        <v>46321</v>
      </c>
      <c r="B37" s="23" t="inlineStr">
        <is>
          <t>AM</t>
        </is>
      </c>
      <c r="C37" s="24" t="inlineStr">
        <is>
          <t>FLT-1.5</t>
        </is>
      </c>
      <c r="D37" s="25" t="inlineStr">
        <is>
          <t>1000-1130</t>
        </is>
      </c>
      <c r="E37" s="26" t="n"/>
      <c r="F37" s="26" t="n"/>
      <c r="G37" s="27">
        <f>IF(C37="","",IFERROR(VLOOKUP(C37,CodeTable,3,0),1))</f>
        <v/>
      </c>
      <c r="H37" s="27">
        <f>IF(C37="","",IF(E37&lt;&gt;"",E37,IF(IFERROR(VLOOKUP(C37,CodeTable,5,0)&amp;"","")="","All",VLOOKUP(C37,CodeTable,5,0)&amp;"")))</f>
        <v/>
      </c>
      <c r="I37" s="28">
        <f>IF(OR(A37="",C37=""),"",A37&amp;"|"&amp;B37&amp;"|"&amp;(COUNTIFS(FlDate,A37,FlShift,B37,FlCode,"&lt;&gt;",FlOrder,"&lt;"&amp;J37)+COUNTIFS(A$6:A37,A37,B$6:B37,B37,C$6:C37,"&lt;&gt;",J$6:J37,J37)))</f>
        <v/>
      </c>
      <c r="J37" s="28">
        <f>IF(C37="","",IF(D37="","zz","t"&amp;D37))</f>
        <v/>
      </c>
      <c r="K37" s="28">
        <f>IF(OR(A37="",C37=""),"",IF(IFERROR(INDEX(DayStat,A37-DATE(PlanYear,1,1)+1)&amp;"","")&lt;&gt;"",0,1))</f>
        <v/>
      </c>
      <c r="L37" s="28">
        <f>IF(K37="","",K37*IFERROR(VLOOKUP(C37,CodeTable,4,0),0))</f>
        <v/>
      </c>
    </row>
    <row r="38">
      <c r="A38" s="22" t="n">
        <v>46321</v>
      </c>
      <c r="B38" s="23" t="inlineStr">
        <is>
          <t>PM</t>
        </is>
      </c>
      <c r="C38" s="24" t="inlineStr">
        <is>
          <t>MSN-3.0</t>
        </is>
      </c>
      <c r="D38" s="25" t="inlineStr">
        <is>
          <t>1300-1600</t>
        </is>
      </c>
      <c r="E38" s="26" t="n"/>
      <c r="F38" s="26" t="inlineStr">
        <is>
          <t>Long range</t>
        </is>
      </c>
      <c r="G38" s="27">
        <f>IF(C38="","",IFERROR(VLOOKUP(C38,CodeTable,3,0),1))</f>
        <v/>
      </c>
      <c r="H38" s="27">
        <f>IF(C38="","",IF(E38&lt;&gt;"",E38,IF(IFERROR(VLOOKUP(C38,CodeTable,5,0)&amp;"","")="","All",VLOOKUP(C38,CodeTable,5,0)&amp;"")))</f>
        <v/>
      </c>
      <c r="I38" s="28">
        <f>IF(OR(A38="",C38=""),"",A38&amp;"|"&amp;B38&amp;"|"&amp;(COUNTIFS(FlDate,A38,FlShift,B38,FlCode,"&lt;&gt;",FlOrder,"&lt;"&amp;J38)+COUNTIFS(A$6:A38,A38,B$6:B38,B38,C$6:C38,"&lt;&gt;",J$6:J38,J38)))</f>
        <v/>
      </c>
      <c r="J38" s="28">
        <f>IF(C38="","",IF(D38="","zz","t"&amp;D38))</f>
        <v/>
      </c>
      <c r="K38" s="28">
        <f>IF(OR(A38="",C38=""),"",IF(IFERROR(INDEX(DayStat,A38-DATE(PlanYear,1,1)+1)&amp;"","")&lt;&gt;"",0,1))</f>
        <v/>
      </c>
      <c r="L38" s="28">
        <f>IF(K38="","",K38*IFERROR(VLOOKUP(C38,CodeTable,4,0),0))</f>
        <v/>
      </c>
    </row>
    <row r="39">
      <c r="A39" s="22" t="n">
        <v>46322</v>
      </c>
      <c r="B39" s="23" t="inlineStr">
        <is>
          <t>AM</t>
        </is>
      </c>
      <c r="C39" s="24" t="inlineStr">
        <is>
          <t>FLT-2.0</t>
        </is>
      </c>
      <c r="D39" s="25" t="inlineStr">
        <is>
          <t>0830-1030</t>
        </is>
      </c>
      <c r="E39" s="26" t="n"/>
      <c r="F39" s="26" t="n"/>
      <c r="G39" s="27">
        <f>IF(C39="","",IFERROR(VLOOKUP(C39,CodeTable,3,0),1))</f>
        <v/>
      </c>
      <c r="H39" s="27">
        <f>IF(C39="","",IF(E39&lt;&gt;"",E39,IF(IFERROR(VLOOKUP(C39,CodeTable,5,0)&amp;"","")="","All",VLOOKUP(C39,CodeTable,5,0)&amp;"")))</f>
        <v/>
      </c>
      <c r="I39" s="28">
        <f>IF(OR(A39="",C39=""),"",A39&amp;"|"&amp;B39&amp;"|"&amp;(COUNTIFS(FlDate,A39,FlShift,B39,FlCode,"&lt;&gt;",FlOrder,"&lt;"&amp;J39)+COUNTIFS(A$6:A39,A39,B$6:B39,B39,C$6:C39,"&lt;&gt;",J$6:J39,J39)))</f>
        <v/>
      </c>
      <c r="J39" s="28">
        <f>IF(C39="","",IF(D39="","zz","t"&amp;D39))</f>
        <v/>
      </c>
      <c r="K39" s="28">
        <f>IF(OR(A39="",C39=""),"",IF(IFERROR(INDEX(DayStat,A39-DATE(PlanYear,1,1)+1)&amp;"","")&lt;&gt;"",0,1))</f>
        <v/>
      </c>
      <c r="L39" s="28">
        <f>IF(K39="","",K39*IFERROR(VLOOKUP(C39,CodeTable,4,0),0))</f>
        <v/>
      </c>
    </row>
    <row r="40">
      <c r="A40" s="22" t="n">
        <v>46322</v>
      </c>
      <c r="B40" s="23" t="inlineStr">
        <is>
          <t>AM</t>
        </is>
      </c>
      <c r="C40" s="24" t="inlineStr">
        <is>
          <t>FLT-1.5</t>
        </is>
      </c>
      <c r="D40" s="25" t="inlineStr">
        <is>
          <t>1000-1130</t>
        </is>
      </c>
      <c r="E40" s="26" t="n"/>
      <c r="F40" s="26" t="n"/>
      <c r="G40" s="27">
        <f>IF(C40="","",IFERROR(VLOOKUP(C40,CodeTable,3,0),1))</f>
        <v/>
      </c>
      <c r="H40" s="27">
        <f>IF(C40="","",IF(E40&lt;&gt;"",E40,IF(IFERROR(VLOOKUP(C40,CodeTable,5,0)&amp;"","")="","All",VLOOKUP(C40,CodeTable,5,0)&amp;"")))</f>
        <v/>
      </c>
      <c r="I40" s="28">
        <f>IF(OR(A40="",C40=""),"",A40&amp;"|"&amp;B40&amp;"|"&amp;(COUNTIFS(FlDate,A40,FlShift,B40,FlCode,"&lt;&gt;",FlOrder,"&lt;"&amp;J40)+COUNTIFS(A$6:A40,A40,B$6:B40,B40,C$6:C40,"&lt;&gt;",J$6:J40,J40)))</f>
        <v/>
      </c>
      <c r="J40" s="28">
        <f>IF(C40="","",IF(D40="","zz","t"&amp;D40))</f>
        <v/>
      </c>
      <c r="K40" s="28">
        <f>IF(OR(A40="",C40=""),"",IF(IFERROR(INDEX(DayStat,A40-DATE(PlanYear,1,1)+1)&amp;"","")&lt;&gt;"",0,1))</f>
        <v/>
      </c>
      <c r="L40" s="28">
        <f>IF(K40="","",K40*IFERROR(VLOOKUP(C40,CodeTable,4,0),0))</f>
        <v/>
      </c>
    </row>
    <row r="41">
      <c r="A41" s="22" t="n">
        <v>46322</v>
      </c>
      <c r="B41" s="23" t="inlineStr">
        <is>
          <t>NIGHT</t>
        </is>
      </c>
      <c r="C41" s="24" t="inlineStr">
        <is>
          <t>NVG-2.0</t>
        </is>
      </c>
      <c r="D41" s="25" t="inlineStr">
        <is>
          <t>2000-2200</t>
        </is>
      </c>
      <c r="E41" s="26" t="n"/>
      <c r="F41" s="26" t="n"/>
      <c r="G41" s="27">
        <f>IF(C41="","",IFERROR(VLOOKUP(C41,CodeTable,3,0),1))</f>
        <v/>
      </c>
      <c r="H41" s="27">
        <f>IF(C41="","",IF(E41&lt;&gt;"",E41,IF(IFERROR(VLOOKUP(C41,CodeTable,5,0)&amp;"","")="","All",VLOOKUP(C41,CodeTable,5,0)&amp;"")))</f>
        <v/>
      </c>
      <c r="I41" s="28">
        <f>IF(OR(A41="",C41=""),"",A41&amp;"|"&amp;B41&amp;"|"&amp;(COUNTIFS(FlDate,A41,FlShift,B41,FlCode,"&lt;&gt;",FlOrder,"&lt;"&amp;J41)+COUNTIFS(A$6:A41,A41,B$6:B41,B41,C$6:C41,"&lt;&gt;",J$6:J41,J41)))</f>
        <v/>
      </c>
      <c r="J41" s="28">
        <f>IF(C41="","",IF(D41="","zz","t"&amp;D41))</f>
        <v/>
      </c>
      <c r="K41" s="28">
        <f>IF(OR(A41="",C41=""),"",IF(IFERROR(INDEX(DayStat,A41-DATE(PlanYear,1,1)+1)&amp;"","")&lt;&gt;"",0,1))</f>
        <v/>
      </c>
      <c r="L41" s="28">
        <f>IF(K41="","",K41*IFERROR(VLOOKUP(C41,CodeTable,4,0),0))</f>
        <v/>
      </c>
    </row>
    <row r="42">
      <c r="A42" s="22" t="n">
        <v>46323</v>
      </c>
      <c r="B42" s="23" t="inlineStr">
        <is>
          <t>AM</t>
        </is>
      </c>
      <c r="C42" s="24" t="inlineStr">
        <is>
          <t>PLT-TRG</t>
        </is>
      </c>
      <c r="D42" s="25" t="inlineStr">
        <is>
          <t>0830-1030</t>
        </is>
      </c>
      <c r="E42" s="26" t="n"/>
      <c r="F42" s="26" t="n"/>
      <c r="G42" s="27">
        <f>IF(C42="","",IFERROR(VLOOKUP(C42,CodeTable,3,0),1))</f>
        <v/>
      </c>
      <c r="H42" s="27">
        <f>IF(C42="","",IF(E42&lt;&gt;"",E42,IF(IFERROR(VLOOKUP(C42,CodeTable,5,0)&amp;"","")="","All",VLOOKUP(C42,CodeTable,5,0)&amp;"")))</f>
        <v/>
      </c>
      <c r="I42" s="28">
        <f>IF(OR(A42="",C42=""),"",A42&amp;"|"&amp;B42&amp;"|"&amp;(COUNTIFS(FlDate,A42,FlShift,B42,FlCode,"&lt;&gt;",FlOrder,"&lt;"&amp;J42)+COUNTIFS(A$6:A42,A42,B$6:B42,B42,C$6:C42,"&lt;&gt;",J$6:J42,J42)))</f>
        <v/>
      </c>
      <c r="J42" s="28">
        <f>IF(C42="","",IF(D42="","zz","t"&amp;D42))</f>
        <v/>
      </c>
      <c r="K42" s="28">
        <f>IF(OR(A42="",C42=""),"",IF(IFERROR(INDEX(DayStat,A42-DATE(PlanYear,1,1)+1)&amp;"","")&lt;&gt;"",0,1))</f>
        <v/>
      </c>
      <c r="L42" s="28">
        <f>IF(K42="","",K42*IFERROR(VLOOKUP(C42,CodeTable,4,0),0))</f>
        <v/>
      </c>
    </row>
    <row r="43">
      <c r="A43" s="22" t="n">
        <v>46323</v>
      </c>
      <c r="B43" s="23" t="inlineStr">
        <is>
          <t>PM</t>
        </is>
      </c>
      <c r="C43" s="24" t="inlineStr">
        <is>
          <t>FLT-2.0</t>
        </is>
      </c>
      <c r="D43" s="25" t="inlineStr">
        <is>
          <t>1400-1600</t>
        </is>
      </c>
      <c r="E43" s="26" t="n"/>
      <c r="F43" s="26" t="n"/>
      <c r="G43" s="27">
        <f>IF(C43="","",IFERROR(VLOOKUP(C43,CodeTable,3,0),1))</f>
        <v/>
      </c>
      <c r="H43" s="27">
        <f>IF(C43="","",IF(E43&lt;&gt;"",E43,IF(IFERROR(VLOOKUP(C43,CodeTable,5,0)&amp;"","")="","All",VLOOKUP(C43,CodeTable,5,0)&amp;"")))</f>
        <v/>
      </c>
      <c r="I43" s="28">
        <f>IF(OR(A43="",C43=""),"",A43&amp;"|"&amp;B43&amp;"|"&amp;(COUNTIFS(FlDate,A43,FlShift,B43,FlCode,"&lt;&gt;",FlOrder,"&lt;"&amp;J43)+COUNTIFS(A$6:A43,A43,B$6:B43,B43,C$6:C43,"&lt;&gt;",J$6:J43,J43)))</f>
        <v/>
      </c>
      <c r="J43" s="28">
        <f>IF(C43="","",IF(D43="","zz","t"&amp;D43))</f>
        <v/>
      </c>
      <c r="K43" s="28">
        <f>IF(OR(A43="",C43=""),"",IF(IFERROR(INDEX(DayStat,A43-DATE(PlanYear,1,1)+1)&amp;"","")&lt;&gt;"",0,1))</f>
        <v/>
      </c>
      <c r="L43" s="28">
        <f>IF(K43="","",K43*IFERROR(VLOOKUP(C43,CodeTable,4,0),0))</f>
        <v/>
      </c>
    </row>
    <row r="44">
      <c r="A44" s="22" t="n">
        <v>46324</v>
      </c>
      <c r="B44" s="23" t="inlineStr">
        <is>
          <t>AM</t>
        </is>
      </c>
      <c r="C44" s="24" t="inlineStr">
        <is>
          <t>FLT-2.0</t>
        </is>
      </c>
      <c r="D44" s="25" t="inlineStr">
        <is>
          <t>0830-1030</t>
        </is>
      </c>
      <c r="E44" s="26" t="n"/>
      <c r="F44" s="26" t="n"/>
      <c r="G44" s="27">
        <f>IF(C44="","",IFERROR(VLOOKUP(C44,CodeTable,3,0),1))</f>
        <v/>
      </c>
      <c r="H44" s="27">
        <f>IF(C44="","",IF(E44&lt;&gt;"",E44,IF(IFERROR(VLOOKUP(C44,CodeTable,5,0)&amp;"","")="","All",VLOOKUP(C44,CodeTable,5,0)&amp;"")))</f>
        <v/>
      </c>
      <c r="I44" s="28">
        <f>IF(OR(A44="",C44=""),"",A44&amp;"|"&amp;B44&amp;"|"&amp;(COUNTIFS(FlDate,A44,FlShift,B44,FlCode,"&lt;&gt;",FlOrder,"&lt;"&amp;J44)+COUNTIFS(A$6:A44,A44,B$6:B44,B44,C$6:C44,"&lt;&gt;",J$6:J44,J44)))</f>
        <v/>
      </c>
      <c r="J44" s="28">
        <f>IF(C44="","",IF(D44="","zz","t"&amp;D44))</f>
        <v/>
      </c>
      <c r="K44" s="28">
        <f>IF(OR(A44="",C44=""),"",IF(IFERROR(INDEX(DayStat,A44-DATE(PlanYear,1,1)+1)&amp;"","")&lt;&gt;"",0,1))</f>
        <v/>
      </c>
      <c r="L44" s="28">
        <f>IF(K44="","",K44*IFERROR(VLOOKUP(C44,CodeTable,4,0),0))</f>
        <v/>
      </c>
    </row>
    <row r="45">
      <c r="A45" s="22" t="n">
        <v>46324</v>
      </c>
      <c r="B45" s="23" t="inlineStr">
        <is>
          <t>AM</t>
        </is>
      </c>
      <c r="C45" s="24" t="inlineStr">
        <is>
          <t>FLT-1.5</t>
        </is>
      </c>
      <c r="D45" s="25" t="inlineStr">
        <is>
          <t>1000-1130</t>
        </is>
      </c>
      <c r="E45" s="26" t="n"/>
      <c r="F45" s="26" t="n"/>
      <c r="G45" s="27">
        <f>IF(C45="","",IFERROR(VLOOKUP(C45,CodeTable,3,0),1))</f>
        <v/>
      </c>
      <c r="H45" s="27">
        <f>IF(C45="","",IF(E45&lt;&gt;"",E45,IF(IFERROR(VLOOKUP(C45,CodeTable,5,0)&amp;"","")="","All",VLOOKUP(C45,CodeTable,5,0)&amp;"")))</f>
        <v/>
      </c>
      <c r="I45" s="28">
        <f>IF(OR(A45="",C45=""),"",A45&amp;"|"&amp;B45&amp;"|"&amp;(COUNTIFS(FlDate,A45,FlShift,B45,FlCode,"&lt;&gt;",FlOrder,"&lt;"&amp;J45)+COUNTIFS(A$6:A45,A45,B$6:B45,B45,C$6:C45,"&lt;&gt;",J$6:J45,J45)))</f>
        <v/>
      </c>
      <c r="J45" s="28">
        <f>IF(C45="","",IF(D45="","zz","t"&amp;D45))</f>
        <v/>
      </c>
      <c r="K45" s="28">
        <f>IF(OR(A45="",C45=""),"",IF(IFERROR(INDEX(DayStat,A45-DATE(PlanYear,1,1)+1)&amp;"","")&lt;&gt;"",0,1))</f>
        <v/>
      </c>
      <c r="L45" s="28">
        <f>IF(K45="","",K45*IFERROR(VLOOKUP(C45,CodeTable,4,0),0))</f>
        <v/>
      </c>
    </row>
    <row r="46">
      <c r="A46" s="22" t="n">
        <v>46324</v>
      </c>
      <c r="B46" s="23" t="inlineStr">
        <is>
          <t>NIGHT</t>
        </is>
      </c>
      <c r="C46" s="24" t="inlineStr">
        <is>
          <t>NVG-2.0</t>
        </is>
      </c>
      <c r="D46" s="25" t="inlineStr">
        <is>
          <t>2000-2200</t>
        </is>
      </c>
      <c r="E46" s="26" t="n"/>
      <c r="F46" s="26" t="n"/>
      <c r="G46" s="27">
        <f>IF(C46="","",IFERROR(VLOOKUP(C46,CodeTable,3,0),1))</f>
        <v/>
      </c>
      <c r="H46" s="27">
        <f>IF(C46="","",IF(E46&lt;&gt;"",E46,IF(IFERROR(VLOOKUP(C46,CodeTable,5,0)&amp;"","")="","All",VLOOKUP(C46,CodeTable,5,0)&amp;"")))</f>
        <v/>
      </c>
      <c r="I46" s="28">
        <f>IF(OR(A46="",C46=""),"",A46&amp;"|"&amp;B46&amp;"|"&amp;(COUNTIFS(FlDate,A46,FlShift,B46,FlCode,"&lt;&gt;",FlOrder,"&lt;"&amp;J46)+COUNTIFS(A$6:A46,A46,B$6:B46,B46,C$6:C46,"&lt;&gt;",J$6:J46,J46)))</f>
        <v/>
      </c>
      <c r="J46" s="28">
        <f>IF(C46="","",IF(D46="","zz","t"&amp;D46))</f>
        <v/>
      </c>
      <c r="K46" s="28">
        <f>IF(OR(A46="",C46=""),"",IF(IFERROR(INDEX(DayStat,A46-DATE(PlanYear,1,1)+1)&amp;"","")&lt;&gt;"",0,1))</f>
        <v/>
      </c>
      <c r="L46" s="28">
        <f>IF(K46="","",K46*IFERROR(VLOOKUP(C46,CodeTable,4,0),0))</f>
        <v/>
      </c>
    </row>
    <row r="47">
      <c r="A47" s="22" t="n">
        <v>46325</v>
      </c>
      <c r="B47" s="23" t="inlineStr">
        <is>
          <t>AM</t>
        </is>
      </c>
      <c r="C47" s="24" t="inlineStr">
        <is>
          <t>2xFLT-2.0</t>
        </is>
      </c>
      <c r="D47" s="25" t="inlineStr">
        <is>
          <t>0830-1030</t>
        </is>
      </c>
      <c r="E47" s="26" t="n"/>
      <c r="F47" s="26" t="n"/>
      <c r="G47" s="27">
        <f>IF(C47="","",IFERROR(VLOOKUP(C47,CodeTable,3,0),1))</f>
        <v/>
      </c>
      <c r="H47" s="27">
        <f>IF(C47="","",IF(E47&lt;&gt;"",E47,IF(IFERROR(VLOOKUP(C47,CodeTable,5,0)&amp;"","")="","All",VLOOKUP(C47,CodeTable,5,0)&amp;"")))</f>
        <v/>
      </c>
      <c r="I47" s="28">
        <f>IF(OR(A47="",C47=""),"",A47&amp;"|"&amp;B47&amp;"|"&amp;(COUNTIFS(FlDate,A47,FlShift,B47,FlCode,"&lt;&gt;",FlOrder,"&lt;"&amp;J47)+COUNTIFS(A$6:A47,A47,B$6:B47,B47,C$6:C47,"&lt;&gt;",J$6:J47,J47)))</f>
        <v/>
      </c>
      <c r="J47" s="28">
        <f>IF(C47="","",IF(D47="","zz","t"&amp;D47))</f>
        <v/>
      </c>
      <c r="K47" s="28">
        <f>IF(OR(A47="",C47=""),"",IF(IFERROR(INDEX(DayStat,A47-DATE(PlanYear,1,1)+1)&amp;"","")&lt;&gt;"",0,1))</f>
        <v/>
      </c>
      <c r="L47" s="28">
        <f>IF(K47="","",K47*IFERROR(VLOOKUP(C47,CodeTable,4,0),0))</f>
        <v/>
      </c>
    </row>
    <row r="48">
      <c r="A48" s="22" t="n">
        <v>46325</v>
      </c>
      <c r="B48" s="23" t="inlineStr">
        <is>
          <t>PM</t>
        </is>
      </c>
      <c r="C48" s="24" t="inlineStr">
        <is>
          <t>MSN-3.0</t>
        </is>
      </c>
      <c r="D48" s="25" t="inlineStr">
        <is>
          <t>1300-1600</t>
        </is>
      </c>
      <c r="E48" s="26" t="n"/>
      <c r="F48" s="26" t="inlineStr">
        <is>
          <t>Long range</t>
        </is>
      </c>
      <c r="G48" s="27">
        <f>IF(C48="","",IFERROR(VLOOKUP(C48,CodeTable,3,0),1))</f>
        <v/>
      </c>
      <c r="H48" s="27">
        <f>IF(C48="","",IF(E48&lt;&gt;"",E48,IF(IFERROR(VLOOKUP(C48,CodeTable,5,0)&amp;"","")="","All",VLOOKUP(C48,CodeTable,5,0)&amp;"")))</f>
        <v/>
      </c>
      <c r="I48" s="28">
        <f>IF(OR(A48="",C48=""),"",A48&amp;"|"&amp;B48&amp;"|"&amp;(COUNTIFS(FlDate,A48,FlShift,B48,FlCode,"&lt;&gt;",FlOrder,"&lt;"&amp;J48)+COUNTIFS(A$6:A48,A48,B$6:B48,B48,C$6:C48,"&lt;&gt;",J$6:J48,J48)))</f>
        <v/>
      </c>
      <c r="J48" s="28">
        <f>IF(C48="","",IF(D48="","zz","t"&amp;D48))</f>
        <v/>
      </c>
      <c r="K48" s="28">
        <f>IF(OR(A48="",C48=""),"",IF(IFERROR(INDEX(DayStat,A48-DATE(PlanYear,1,1)+1)&amp;"","")&lt;&gt;"",0,1))</f>
        <v/>
      </c>
      <c r="L48" s="28">
        <f>IF(K48="","",K48*IFERROR(VLOOKUP(C48,CodeTable,4,0),0))</f>
        <v/>
      </c>
    </row>
    <row r="49">
      <c r="A49" s="22" t="n">
        <v>46328</v>
      </c>
      <c r="B49" s="23" t="inlineStr">
        <is>
          <t>AM</t>
        </is>
      </c>
      <c r="C49" s="24" t="inlineStr">
        <is>
          <t>FLT-3.0</t>
        </is>
      </c>
      <c r="D49" s="25" t="inlineStr">
        <is>
          <t>0800-1100</t>
        </is>
      </c>
      <c r="E49" s="26" t="n"/>
      <c r="F49" s="26" t="n"/>
      <c r="G49" s="27">
        <f>IF(C49="","",IFERROR(VLOOKUP(C49,CodeTable,3,0),1))</f>
        <v/>
      </c>
      <c r="H49" s="27">
        <f>IF(C49="","",IF(E49&lt;&gt;"",E49,IF(IFERROR(VLOOKUP(C49,CodeTable,5,0)&amp;"","")="","All",VLOOKUP(C49,CodeTable,5,0)&amp;"")))</f>
        <v/>
      </c>
      <c r="I49" s="28">
        <f>IF(OR(A49="",C49=""),"",A49&amp;"|"&amp;B49&amp;"|"&amp;(COUNTIFS(FlDate,A49,FlShift,B49,FlCode,"&lt;&gt;",FlOrder,"&lt;"&amp;J49)+COUNTIFS(A$6:A49,A49,B$6:B49,B49,C$6:C49,"&lt;&gt;",J$6:J49,J49)))</f>
        <v/>
      </c>
      <c r="J49" s="28">
        <f>IF(C49="","",IF(D49="","zz","t"&amp;D49))</f>
        <v/>
      </c>
      <c r="K49" s="28">
        <f>IF(OR(A49="",C49=""),"",IF(IFERROR(INDEX(DayStat,A49-DATE(PlanYear,1,1)+1)&amp;"","")&lt;&gt;"",0,1))</f>
        <v/>
      </c>
      <c r="L49" s="28">
        <f>IF(K49="","",K49*IFERROR(VLOOKUP(C49,CodeTable,4,0),0))</f>
        <v/>
      </c>
    </row>
    <row r="50">
      <c r="A50" s="22" t="n">
        <v>46328</v>
      </c>
      <c r="B50" s="23" t="inlineStr">
        <is>
          <t>PM</t>
        </is>
      </c>
      <c r="C50" s="24" t="inlineStr">
        <is>
          <t>FLT-1.5</t>
        </is>
      </c>
      <c r="D50" s="25" t="inlineStr">
        <is>
          <t>1430-1600</t>
        </is>
      </c>
      <c r="E50" s="26" t="n"/>
      <c r="F50" s="26" t="n"/>
      <c r="G50" s="27">
        <f>IF(C50="","",IFERROR(VLOOKUP(C50,CodeTable,3,0),1))</f>
        <v/>
      </c>
      <c r="H50" s="27">
        <f>IF(C50="","",IF(E50&lt;&gt;"",E50,IF(IFERROR(VLOOKUP(C50,CodeTable,5,0)&amp;"","")="","All",VLOOKUP(C50,CodeTable,5,0)&amp;"")))</f>
        <v/>
      </c>
      <c r="I50" s="28">
        <f>IF(OR(A50="",C50=""),"",A50&amp;"|"&amp;B50&amp;"|"&amp;(COUNTIFS(FlDate,A50,FlShift,B50,FlCode,"&lt;&gt;",FlOrder,"&lt;"&amp;J50)+COUNTIFS(A$6:A50,A50,B$6:B50,B50,C$6:C50,"&lt;&gt;",J$6:J50,J50)))</f>
        <v/>
      </c>
      <c r="J50" s="28">
        <f>IF(C50="","",IF(D50="","zz","t"&amp;D50))</f>
        <v/>
      </c>
      <c r="K50" s="28">
        <f>IF(OR(A50="",C50=""),"",IF(IFERROR(INDEX(DayStat,A50-DATE(PlanYear,1,1)+1)&amp;"","")&lt;&gt;"",0,1))</f>
        <v/>
      </c>
      <c r="L50" s="28">
        <f>IF(K50="","",K50*IFERROR(VLOOKUP(C50,CodeTable,4,0),0))</f>
        <v/>
      </c>
    </row>
    <row r="51">
      <c r="A51" s="22" t="n">
        <v>46329</v>
      </c>
      <c r="B51" s="23" t="inlineStr">
        <is>
          <t>AM</t>
        </is>
      </c>
      <c r="C51" s="24" t="inlineStr">
        <is>
          <t>FLT-2.0</t>
        </is>
      </c>
      <c r="D51" s="25" t="inlineStr">
        <is>
          <t>0830-1030</t>
        </is>
      </c>
      <c r="E51" s="26" t="n"/>
      <c r="F51" s="26" t="n"/>
      <c r="G51" s="27">
        <f>IF(C51="","",IFERROR(VLOOKUP(C51,CodeTable,3,0),1))</f>
        <v/>
      </c>
      <c r="H51" s="27">
        <f>IF(C51="","",IF(E51&lt;&gt;"",E51,IF(IFERROR(VLOOKUP(C51,CodeTable,5,0)&amp;"","")="","All",VLOOKUP(C51,CodeTable,5,0)&amp;"")))</f>
        <v/>
      </c>
      <c r="I51" s="28">
        <f>IF(OR(A51="",C51=""),"",A51&amp;"|"&amp;B51&amp;"|"&amp;(COUNTIFS(FlDate,A51,FlShift,B51,FlCode,"&lt;&gt;",FlOrder,"&lt;"&amp;J51)+COUNTIFS(A$6:A51,A51,B$6:B51,B51,C$6:C51,"&lt;&gt;",J$6:J51,J51)))</f>
        <v/>
      </c>
      <c r="J51" s="28">
        <f>IF(C51="","",IF(D51="","zz","t"&amp;D51))</f>
        <v/>
      </c>
      <c r="K51" s="28">
        <f>IF(OR(A51="",C51=""),"",IF(IFERROR(INDEX(DayStat,A51-DATE(PlanYear,1,1)+1)&amp;"","")&lt;&gt;"",0,1))</f>
        <v/>
      </c>
      <c r="L51" s="28">
        <f>IF(K51="","",K51*IFERROR(VLOOKUP(C51,CodeTable,4,0),0))</f>
        <v/>
      </c>
    </row>
    <row r="52">
      <c r="A52" s="22" t="n">
        <v>46329</v>
      </c>
      <c r="B52" s="23" t="inlineStr">
        <is>
          <t>AM</t>
        </is>
      </c>
      <c r="C52" s="24" t="inlineStr">
        <is>
          <t>FLT-1.5</t>
        </is>
      </c>
      <c r="D52" s="25" t="inlineStr">
        <is>
          <t>1000-1130</t>
        </is>
      </c>
      <c r="E52" s="26" t="n"/>
      <c r="F52" s="26" t="n"/>
      <c r="G52" s="27">
        <f>IF(C52="","",IFERROR(VLOOKUP(C52,CodeTable,3,0),1))</f>
        <v/>
      </c>
      <c r="H52" s="27">
        <f>IF(C52="","",IF(E52&lt;&gt;"",E52,IF(IFERROR(VLOOKUP(C52,CodeTable,5,0)&amp;"","")="","All",VLOOKUP(C52,CodeTable,5,0)&amp;"")))</f>
        <v/>
      </c>
      <c r="I52" s="28">
        <f>IF(OR(A52="",C52=""),"",A52&amp;"|"&amp;B52&amp;"|"&amp;(COUNTIFS(FlDate,A52,FlShift,B52,FlCode,"&lt;&gt;",FlOrder,"&lt;"&amp;J52)+COUNTIFS(A$6:A52,A52,B$6:B52,B52,C$6:C52,"&lt;&gt;",J$6:J52,J52)))</f>
        <v/>
      </c>
      <c r="J52" s="28">
        <f>IF(C52="","",IF(D52="","zz","t"&amp;D52))</f>
        <v/>
      </c>
      <c r="K52" s="28">
        <f>IF(OR(A52="",C52=""),"",IF(IFERROR(INDEX(DayStat,A52-DATE(PlanYear,1,1)+1)&amp;"","")&lt;&gt;"",0,1))</f>
        <v/>
      </c>
      <c r="L52" s="28">
        <f>IF(K52="","",K52*IFERROR(VLOOKUP(C52,CodeTable,4,0),0))</f>
        <v/>
      </c>
    </row>
    <row r="53">
      <c r="A53" s="22" t="n">
        <v>46329</v>
      </c>
      <c r="B53" s="23" t="inlineStr">
        <is>
          <t>NIGHT</t>
        </is>
      </c>
      <c r="C53" s="24" t="inlineStr">
        <is>
          <t>NVG-2.0</t>
        </is>
      </c>
      <c r="D53" s="25" t="inlineStr">
        <is>
          <t>2000-2200</t>
        </is>
      </c>
      <c r="E53" s="26" t="n"/>
      <c r="F53" s="26" t="n"/>
      <c r="G53" s="27">
        <f>IF(C53="","",IFERROR(VLOOKUP(C53,CodeTable,3,0),1))</f>
        <v/>
      </c>
      <c r="H53" s="27">
        <f>IF(C53="","",IF(E53&lt;&gt;"",E53,IF(IFERROR(VLOOKUP(C53,CodeTable,5,0)&amp;"","")="","All",VLOOKUP(C53,CodeTable,5,0)&amp;"")))</f>
        <v/>
      </c>
      <c r="I53" s="28">
        <f>IF(OR(A53="",C53=""),"",A53&amp;"|"&amp;B53&amp;"|"&amp;(COUNTIFS(FlDate,A53,FlShift,B53,FlCode,"&lt;&gt;",FlOrder,"&lt;"&amp;J53)+COUNTIFS(A$6:A53,A53,B$6:B53,B53,C$6:C53,"&lt;&gt;",J$6:J53,J53)))</f>
        <v/>
      </c>
      <c r="J53" s="28">
        <f>IF(C53="","",IF(D53="","zz","t"&amp;D53))</f>
        <v/>
      </c>
      <c r="K53" s="28">
        <f>IF(OR(A53="",C53=""),"",IF(IFERROR(INDEX(DayStat,A53-DATE(PlanYear,1,1)+1)&amp;"","")&lt;&gt;"",0,1))</f>
        <v/>
      </c>
      <c r="L53" s="28">
        <f>IF(K53="","",K53*IFERROR(VLOOKUP(C53,CodeTable,4,0),0))</f>
        <v/>
      </c>
    </row>
    <row r="54">
      <c r="A54" s="22" t="n">
        <v>46330</v>
      </c>
      <c r="B54" s="23" t="inlineStr">
        <is>
          <t>AM</t>
        </is>
      </c>
      <c r="C54" s="24" t="inlineStr">
        <is>
          <t>FLT-2.0</t>
        </is>
      </c>
      <c r="D54" s="25" t="inlineStr">
        <is>
          <t>0830-1030</t>
        </is>
      </c>
      <c r="E54" s="26" t="n"/>
      <c r="F54" s="26" t="n"/>
      <c r="G54" s="27">
        <f>IF(C54="","",IFERROR(VLOOKUP(C54,CodeTable,3,0),1))</f>
        <v/>
      </c>
      <c r="H54" s="27">
        <f>IF(C54="","",IF(E54&lt;&gt;"",E54,IF(IFERROR(VLOOKUP(C54,CodeTable,5,0)&amp;"","")="","All",VLOOKUP(C54,CodeTable,5,0)&amp;"")))</f>
        <v/>
      </c>
      <c r="I54" s="28">
        <f>IF(OR(A54="",C54=""),"",A54&amp;"|"&amp;B54&amp;"|"&amp;(COUNTIFS(FlDate,A54,FlShift,B54,FlCode,"&lt;&gt;",FlOrder,"&lt;"&amp;J54)+COUNTIFS(A$6:A54,A54,B$6:B54,B54,C$6:C54,"&lt;&gt;",J$6:J54,J54)))</f>
        <v/>
      </c>
      <c r="J54" s="28">
        <f>IF(C54="","",IF(D54="","zz","t"&amp;D54))</f>
        <v/>
      </c>
      <c r="K54" s="28">
        <f>IF(OR(A54="",C54=""),"",IF(IFERROR(INDEX(DayStat,A54-DATE(PlanYear,1,1)+1)&amp;"","")&lt;&gt;"",0,1))</f>
        <v/>
      </c>
      <c r="L54" s="28">
        <f>IF(K54="","",K54*IFERROR(VLOOKUP(C54,CodeTable,4,0),0))</f>
        <v/>
      </c>
    </row>
    <row r="55">
      <c r="A55" s="22" t="n">
        <v>46330</v>
      </c>
      <c r="B55" s="23" t="inlineStr">
        <is>
          <t>AM</t>
        </is>
      </c>
      <c r="C55" s="24" t="inlineStr">
        <is>
          <t>FLT-1.5</t>
        </is>
      </c>
      <c r="D55" s="25" t="inlineStr">
        <is>
          <t>1000-1130</t>
        </is>
      </c>
      <c r="E55" s="26" t="n"/>
      <c r="F55" s="26" t="n"/>
      <c r="G55" s="27">
        <f>IF(C55="","",IFERROR(VLOOKUP(C55,CodeTable,3,0),1))</f>
        <v/>
      </c>
      <c r="H55" s="27">
        <f>IF(C55="","",IF(E55&lt;&gt;"",E55,IF(IFERROR(VLOOKUP(C55,CodeTable,5,0)&amp;"","")="","All",VLOOKUP(C55,CodeTable,5,0)&amp;"")))</f>
        <v/>
      </c>
      <c r="I55" s="28">
        <f>IF(OR(A55="",C55=""),"",A55&amp;"|"&amp;B55&amp;"|"&amp;(COUNTIFS(FlDate,A55,FlShift,B55,FlCode,"&lt;&gt;",FlOrder,"&lt;"&amp;J55)+COUNTIFS(A$6:A55,A55,B$6:B55,B55,C$6:C55,"&lt;&gt;",J$6:J55,J55)))</f>
        <v/>
      </c>
      <c r="J55" s="28">
        <f>IF(C55="","",IF(D55="","zz","t"&amp;D55))</f>
        <v/>
      </c>
      <c r="K55" s="28">
        <f>IF(OR(A55="",C55=""),"",IF(IFERROR(INDEX(DayStat,A55-DATE(PlanYear,1,1)+1)&amp;"","")&lt;&gt;"",0,1))</f>
        <v/>
      </c>
      <c r="L55" s="28">
        <f>IF(K55="","",K55*IFERROR(VLOOKUP(C55,CodeTable,4,0),0))</f>
        <v/>
      </c>
    </row>
    <row r="56">
      <c r="A56" s="22" t="n">
        <v>46330</v>
      </c>
      <c r="B56" s="23" t="inlineStr">
        <is>
          <t>PM</t>
        </is>
      </c>
      <c r="C56" s="24" t="inlineStr">
        <is>
          <t>FLT-2.0</t>
        </is>
      </c>
      <c r="D56" s="25" t="inlineStr">
        <is>
          <t>1400-1600</t>
        </is>
      </c>
      <c r="E56" s="26" t="n"/>
      <c r="F56" s="26" t="n"/>
      <c r="G56" s="27">
        <f>IF(C56="","",IFERROR(VLOOKUP(C56,CodeTable,3,0),1))</f>
        <v/>
      </c>
      <c r="H56" s="27">
        <f>IF(C56="","",IF(E56&lt;&gt;"",E56,IF(IFERROR(VLOOKUP(C56,CodeTable,5,0)&amp;"","")="","All",VLOOKUP(C56,CodeTable,5,0)&amp;"")))</f>
        <v/>
      </c>
      <c r="I56" s="28">
        <f>IF(OR(A56="",C56=""),"",A56&amp;"|"&amp;B56&amp;"|"&amp;(COUNTIFS(FlDate,A56,FlShift,B56,FlCode,"&lt;&gt;",FlOrder,"&lt;"&amp;J56)+COUNTIFS(A$6:A56,A56,B$6:B56,B56,C$6:C56,"&lt;&gt;",J$6:J56,J56)))</f>
        <v/>
      </c>
      <c r="J56" s="28">
        <f>IF(C56="","",IF(D56="","zz","t"&amp;D56))</f>
        <v/>
      </c>
      <c r="K56" s="28">
        <f>IF(OR(A56="",C56=""),"",IF(IFERROR(INDEX(DayStat,A56-DATE(PlanYear,1,1)+1)&amp;"","")&lt;&gt;"",0,1))</f>
        <v/>
      </c>
      <c r="L56" s="28">
        <f>IF(K56="","",K56*IFERROR(VLOOKUP(C56,CodeTable,4,0),0))</f>
        <v/>
      </c>
    </row>
    <row r="57">
      <c r="A57" s="22" t="n">
        <v>46331</v>
      </c>
      <c r="B57" s="23" t="inlineStr">
        <is>
          <t>AM</t>
        </is>
      </c>
      <c r="C57" s="24" t="inlineStr">
        <is>
          <t>PLT-TRG</t>
        </is>
      </c>
      <c r="D57" s="25" t="inlineStr">
        <is>
          <t>0830-1030</t>
        </is>
      </c>
      <c r="E57" s="26" t="n"/>
      <c r="F57" s="26" t="n"/>
      <c r="G57" s="27">
        <f>IF(C57="","",IFERROR(VLOOKUP(C57,CodeTable,3,0),1))</f>
        <v/>
      </c>
      <c r="H57" s="27">
        <f>IF(C57="","",IF(E57&lt;&gt;"",E57,IF(IFERROR(VLOOKUP(C57,CodeTable,5,0)&amp;"","")="","All",VLOOKUP(C57,CodeTable,5,0)&amp;"")))</f>
        <v/>
      </c>
      <c r="I57" s="28">
        <f>IF(OR(A57="",C57=""),"",A57&amp;"|"&amp;B57&amp;"|"&amp;(COUNTIFS(FlDate,A57,FlShift,B57,FlCode,"&lt;&gt;",FlOrder,"&lt;"&amp;J57)+COUNTIFS(A$6:A57,A57,B$6:B57,B57,C$6:C57,"&lt;&gt;",J$6:J57,J57)))</f>
        <v/>
      </c>
      <c r="J57" s="28">
        <f>IF(C57="","",IF(D57="","zz","t"&amp;D57))</f>
        <v/>
      </c>
      <c r="K57" s="28">
        <f>IF(OR(A57="",C57=""),"",IF(IFERROR(INDEX(DayStat,A57-DATE(PlanYear,1,1)+1)&amp;"","")&lt;&gt;"",0,1))</f>
        <v/>
      </c>
      <c r="L57" s="28">
        <f>IF(K57="","",K57*IFERROR(VLOOKUP(C57,CodeTable,4,0),0))</f>
        <v/>
      </c>
    </row>
    <row r="58">
      <c r="A58" s="22" t="n">
        <v>46331</v>
      </c>
      <c r="B58" s="23" t="inlineStr">
        <is>
          <t>PM</t>
        </is>
      </c>
      <c r="C58" s="24" t="inlineStr">
        <is>
          <t>FLT-1.5</t>
        </is>
      </c>
      <c r="D58" s="25" t="inlineStr">
        <is>
          <t>1430-1600</t>
        </is>
      </c>
      <c r="E58" s="26" t="n"/>
      <c r="F58" s="26" t="n"/>
      <c r="G58" s="27">
        <f>IF(C58="","",IFERROR(VLOOKUP(C58,CodeTable,3,0),1))</f>
        <v/>
      </c>
      <c r="H58" s="27">
        <f>IF(C58="","",IF(E58&lt;&gt;"",E58,IF(IFERROR(VLOOKUP(C58,CodeTable,5,0)&amp;"","")="","All",VLOOKUP(C58,CodeTable,5,0)&amp;"")))</f>
        <v/>
      </c>
      <c r="I58" s="28">
        <f>IF(OR(A58="",C58=""),"",A58&amp;"|"&amp;B58&amp;"|"&amp;(COUNTIFS(FlDate,A58,FlShift,B58,FlCode,"&lt;&gt;",FlOrder,"&lt;"&amp;J58)+COUNTIFS(A$6:A58,A58,B$6:B58,B58,C$6:C58,"&lt;&gt;",J$6:J58,J58)))</f>
        <v/>
      </c>
      <c r="J58" s="28">
        <f>IF(C58="","",IF(D58="","zz","t"&amp;D58))</f>
        <v/>
      </c>
      <c r="K58" s="28">
        <f>IF(OR(A58="",C58=""),"",IF(IFERROR(INDEX(DayStat,A58-DATE(PlanYear,1,1)+1)&amp;"","")&lt;&gt;"",0,1))</f>
        <v/>
      </c>
      <c r="L58" s="28">
        <f>IF(K58="","",K58*IFERROR(VLOOKUP(C58,CodeTable,4,0),0))</f>
        <v/>
      </c>
    </row>
    <row r="59">
      <c r="A59" s="22" t="n">
        <v>46331</v>
      </c>
      <c r="B59" s="23" t="inlineStr">
        <is>
          <t>NIGHT</t>
        </is>
      </c>
      <c r="C59" s="24" t="inlineStr">
        <is>
          <t>NVG-2.0</t>
        </is>
      </c>
      <c r="D59" s="25" t="inlineStr">
        <is>
          <t>2000-2200</t>
        </is>
      </c>
      <c r="E59" s="26" t="n"/>
      <c r="F59" s="26" t="n"/>
      <c r="G59" s="27">
        <f>IF(C59="","",IFERROR(VLOOKUP(C59,CodeTable,3,0),1))</f>
        <v/>
      </c>
      <c r="H59" s="27">
        <f>IF(C59="","",IF(E59&lt;&gt;"",E59,IF(IFERROR(VLOOKUP(C59,CodeTable,5,0)&amp;"","")="","All",VLOOKUP(C59,CodeTable,5,0)&amp;"")))</f>
        <v/>
      </c>
      <c r="I59" s="28">
        <f>IF(OR(A59="",C59=""),"",A59&amp;"|"&amp;B59&amp;"|"&amp;(COUNTIFS(FlDate,A59,FlShift,B59,FlCode,"&lt;&gt;",FlOrder,"&lt;"&amp;J59)+COUNTIFS(A$6:A59,A59,B$6:B59,B59,C$6:C59,"&lt;&gt;",J$6:J59,J59)))</f>
        <v/>
      </c>
      <c r="J59" s="28">
        <f>IF(C59="","",IF(D59="","zz","t"&amp;D59))</f>
        <v/>
      </c>
      <c r="K59" s="28">
        <f>IF(OR(A59="",C59=""),"",IF(IFERROR(INDEX(DayStat,A59-DATE(PlanYear,1,1)+1)&amp;"","")&lt;&gt;"",0,1))</f>
        <v/>
      </c>
      <c r="L59" s="28">
        <f>IF(K59="","",K59*IFERROR(VLOOKUP(C59,CodeTable,4,0),0))</f>
        <v/>
      </c>
    </row>
    <row r="60">
      <c r="A60" s="22" t="n">
        <v>46332</v>
      </c>
      <c r="B60" s="23" t="inlineStr">
        <is>
          <t>AM</t>
        </is>
      </c>
      <c r="C60" s="24" t="inlineStr">
        <is>
          <t>FLT-2.0</t>
        </is>
      </c>
      <c r="D60" s="25" t="inlineStr">
        <is>
          <t>0830-1030</t>
        </is>
      </c>
      <c r="E60" s="26" t="n"/>
      <c r="F60" s="26" t="n"/>
      <c r="G60" s="27">
        <f>IF(C60="","",IFERROR(VLOOKUP(C60,CodeTable,3,0),1))</f>
        <v/>
      </c>
      <c r="H60" s="27">
        <f>IF(C60="","",IF(E60&lt;&gt;"",E60,IF(IFERROR(VLOOKUP(C60,CodeTable,5,0)&amp;"","")="","All",VLOOKUP(C60,CodeTable,5,0)&amp;"")))</f>
        <v/>
      </c>
      <c r="I60" s="28">
        <f>IF(OR(A60="",C60=""),"",A60&amp;"|"&amp;B60&amp;"|"&amp;(COUNTIFS(FlDate,A60,FlShift,B60,FlCode,"&lt;&gt;",FlOrder,"&lt;"&amp;J60)+COUNTIFS(A$6:A60,A60,B$6:B60,B60,C$6:C60,"&lt;&gt;",J$6:J60,J60)))</f>
        <v/>
      </c>
      <c r="J60" s="28">
        <f>IF(C60="","",IF(D60="","zz","t"&amp;D60))</f>
        <v/>
      </c>
      <c r="K60" s="28">
        <f>IF(OR(A60="",C60=""),"",IF(IFERROR(INDEX(DayStat,A60-DATE(PlanYear,1,1)+1)&amp;"","")&lt;&gt;"",0,1))</f>
        <v/>
      </c>
      <c r="L60" s="28">
        <f>IF(K60="","",K60*IFERROR(VLOOKUP(C60,CodeTable,4,0),0))</f>
        <v/>
      </c>
    </row>
    <row r="61">
      <c r="A61" s="22" t="n">
        <v>46332</v>
      </c>
      <c r="B61" s="23" t="inlineStr">
        <is>
          <t>AM</t>
        </is>
      </c>
      <c r="C61" s="24" t="inlineStr">
        <is>
          <t>FLT-1.5</t>
        </is>
      </c>
      <c r="D61" s="25" t="inlineStr">
        <is>
          <t>1000-1130</t>
        </is>
      </c>
      <c r="E61" s="26" t="n"/>
      <c r="F61" s="26" t="n"/>
      <c r="G61" s="27">
        <f>IF(C61="","",IFERROR(VLOOKUP(C61,CodeTable,3,0),1))</f>
        <v/>
      </c>
      <c r="H61" s="27">
        <f>IF(C61="","",IF(E61&lt;&gt;"",E61,IF(IFERROR(VLOOKUP(C61,CodeTable,5,0)&amp;"","")="","All",VLOOKUP(C61,CodeTable,5,0)&amp;"")))</f>
        <v/>
      </c>
      <c r="I61" s="28">
        <f>IF(OR(A61="",C61=""),"",A61&amp;"|"&amp;B61&amp;"|"&amp;(COUNTIFS(FlDate,A61,FlShift,B61,FlCode,"&lt;&gt;",FlOrder,"&lt;"&amp;J61)+COUNTIFS(A$6:A61,A61,B$6:B61,B61,C$6:C61,"&lt;&gt;",J$6:J61,J61)))</f>
        <v/>
      </c>
      <c r="J61" s="28">
        <f>IF(C61="","",IF(D61="","zz","t"&amp;D61))</f>
        <v/>
      </c>
      <c r="K61" s="28">
        <f>IF(OR(A61="",C61=""),"",IF(IFERROR(INDEX(DayStat,A61-DATE(PlanYear,1,1)+1)&amp;"","")&lt;&gt;"",0,1))</f>
        <v/>
      </c>
      <c r="L61" s="28">
        <f>IF(K61="","",K61*IFERROR(VLOOKUP(C61,CodeTable,4,0),0))</f>
        <v/>
      </c>
    </row>
    <row r="62">
      <c r="A62" s="22" t="n">
        <v>46332</v>
      </c>
      <c r="B62" s="23" t="inlineStr">
        <is>
          <t>PM</t>
        </is>
      </c>
      <c r="C62" s="24" t="inlineStr">
        <is>
          <t>FLT-2.0</t>
        </is>
      </c>
      <c r="D62" s="25" t="inlineStr">
        <is>
          <t>1400-1600</t>
        </is>
      </c>
      <c r="E62" s="26" t="n"/>
      <c r="F62" s="26" t="n"/>
      <c r="G62" s="27">
        <f>IF(C62="","",IFERROR(VLOOKUP(C62,CodeTable,3,0),1))</f>
        <v/>
      </c>
      <c r="H62" s="27">
        <f>IF(C62="","",IF(E62&lt;&gt;"",E62,IF(IFERROR(VLOOKUP(C62,CodeTable,5,0)&amp;"","")="","All",VLOOKUP(C62,CodeTable,5,0)&amp;"")))</f>
        <v/>
      </c>
      <c r="I62" s="28">
        <f>IF(OR(A62="",C62=""),"",A62&amp;"|"&amp;B62&amp;"|"&amp;(COUNTIFS(FlDate,A62,FlShift,B62,FlCode,"&lt;&gt;",FlOrder,"&lt;"&amp;J62)+COUNTIFS(A$6:A62,A62,B$6:B62,B62,C$6:C62,"&lt;&gt;",J$6:J62,J62)))</f>
        <v/>
      </c>
      <c r="J62" s="28">
        <f>IF(C62="","",IF(D62="","zz","t"&amp;D62))</f>
        <v/>
      </c>
      <c r="K62" s="28">
        <f>IF(OR(A62="",C62=""),"",IF(IFERROR(INDEX(DayStat,A62-DATE(PlanYear,1,1)+1)&amp;"","")&lt;&gt;"",0,1))</f>
        <v/>
      </c>
      <c r="L62" s="28">
        <f>IF(K62="","",K62*IFERROR(VLOOKUP(C62,CodeTable,4,0),0))</f>
        <v/>
      </c>
    </row>
    <row r="63">
      <c r="A63" s="22" t="n">
        <v>46336</v>
      </c>
      <c r="B63" s="23" t="inlineStr">
        <is>
          <t>AM</t>
        </is>
      </c>
      <c r="C63" s="24" t="inlineStr">
        <is>
          <t>FLT-2.0</t>
        </is>
      </c>
      <c r="D63" s="25" t="inlineStr">
        <is>
          <t>0830-1030</t>
        </is>
      </c>
      <c r="E63" s="26" t="n"/>
      <c r="F63" s="26" t="n"/>
      <c r="G63" s="27">
        <f>IF(C63="","",IFERROR(VLOOKUP(C63,CodeTable,3,0),1))</f>
        <v/>
      </c>
      <c r="H63" s="27">
        <f>IF(C63="","",IF(E63&lt;&gt;"",E63,IF(IFERROR(VLOOKUP(C63,CodeTable,5,0)&amp;"","")="","All",VLOOKUP(C63,CodeTable,5,0)&amp;"")))</f>
        <v/>
      </c>
      <c r="I63" s="28">
        <f>IF(OR(A63="",C63=""),"",A63&amp;"|"&amp;B63&amp;"|"&amp;(COUNTIFS(FlDate,A63,FlShift,B63,FlCode,"&lt;&gt;",FlOrder,"&lt;"&amp;J63)+COUNTIFS(A$6:A63,A63,B$6:B63,B63,C$6:C63,"&lt;&gt;",J$6:J63,J63)))</f>
        <v/>
      </c>
      <c r="J63" s="28">
        <f>IF(C63="","",IF(D63="","zz","t"&amp;D63))</f>
        <v/>
      </c>
      <c r="K63" s="28">
        <f>IF(OR(A63="",C63=""),"",IF(IFERROR(INDEX(DayStat,A63-DATE(PlanYear,1,1)+1)&amp;"","")&lt;&gt;"",0,1))</f>
        <v/>
      </c>
      <c r="L63" s="28">
        <f>IF(K63="","",K63*IFERROR(VLOOKUP(C63,CodeTable,4,0),0))</f>
        <v/>
      </c>
    </row>
    <row r="64">
      <c r="A64" s="22" t="n">
        <v>46336</v>
      </c>
      <c r="B64" s="23" t="inlineStr">
        <is>
          <t>AM</t>
        </is>
      </c>
      <c r="C64" s="24" t="inlineStr">
        <is>
          <t>FLT-1.5</t>
        </is>
      </c>
      <c r="D64" s="25" t="inlineStr">
        <is>
          <t>1000-1130</t>
        </is>
      </c>
      <c r="E64" s="26" t="n"/>
      <c r="F64" s="26" t="n"/>
      <c r="G64" s="27">
        <f>IF(C64="","",IFERROR(VLOOKUP(C64,CodeTable,3,0),1))</f>
        <v/>
      </c>
      <c r="H64" s="27">
        <f>IF(C64="","",IF(E64&lt;&gt;"",E64,IF(IFERROR(VLOOKUP(C64,CodeTable,5,0)&amp;"","")="","All",VLOOKUP(C64,CodeTable,5,0)&amp;"")))</f>
        <v/>
      </c>
      <c r="I64" s="28">
        <f>IF(OR(A64="",C64=""),"",A64&amp;"|"&amp;B64&amp;"|"&amp;(COUNTIFS(FlDate,A64,FlShift,B64,FlCode,"&lt;&gt;",FlOrder,"&lt;"&amp;J64)+COUNTIFS(A$6:A64,A64,B$6:B64,B64,C$6:C64,"&lt;&gt;",J$6:J64,J64)))</f>
        <v/>
      </c>
      <c r="J64" s="28">
        <f>IF(C64="","",IF(D64="","zz","t"&amp;D64))</f>
        <v/>
      </c>
      <c r="K64" s="28">
        <f>IF(OR(A64="",C64=""),"",IF(IFERROR(INDEX(DayStat,A64-DATE(PlanYear,1,1)+1)&amp;"","")&lt;&gt;"",0,1))</f>
        <v/>
      </c>
      <c r="L64" s="28">
        <f>IF(K64="","",K64*IFERROR(VLOOKUP(C64,CodeTable,4,0),0))</f>
        <v/>
      </c>
    </row>
    <row r="65">
      <c r="A65" s="22" t="n">
        <v>46336</v>
      </c>
      <c r="B65" s="23" t="inlineStr">
        <is>
          <t>PM</t>
        </is>
      </c>
      <c r="C65" s="24" t="inlineStr">
        <is>
          <t>FLT-1.5</t>
        </is>
      </c>
      <c r="D65" s="25" t="inlineStr">
        <is>
          <t>1430-1600</t>
        </is>
      </c>
      <c r="E65" s="26" t="n"/>
      <c r="F65" s="26" t="n"/>
      <c r="G65" s="27">
        <f>IF(C65="","",IFERROR(VLOOKUP(C65,CodeTable,3,0),1))</f>
        <v/>
      </c>
      <c r="H65" s="27">
        <f>IF(C65="","",IF(E65&lt;&gt;"",E65,IF(IFERROR(VLOOKUP(C65,CodeTable,5,0)&amp;"","")="","All",VLOOKUP(C65,CodeTable,5,0)&amp;"")))</f>
        <v/>
      </c>
      <c r="I65" s="28">
        <f>IF(OR(A65="",C65=""),"",A65&amp;"|"&amp;B65&amp;"|"&amp;(COUNTIFS(FlDate,A65,FlShift,B65,FlCode,"&lt;&gt;",FlOrder,"&lt;"&amp;J65)+COUNTIFS(A$6:A65,A65,B$6:B65,B65,C$6:C65,"&lt;&gt;",J$6:J65,J65)))</f>
        <v/>
      </c>
      <c r="J65" s="28">
        <f>IF(C65="","",IF(D65="","zz","t"&amp;D65))</f>
        <v/>
      </c>
      <c r="K65" s="28">
        <f>IF(OR(A65="",C65=""),"",IF(IFERROR(INDEX(DayStat,A65-DATE(PlanYear,1,1)+1)&amp;"","")&lt;&gt;"",0,1))</f>
        <v/>
      </c>
      <c r="L65" s="28">
        <f>IF(K65="","",K65*IFERROR(VLOOKUP(C65,CodeTable,4,0),0))</f>
        <v/>
      </c>
    </row>
    <row r="66">
      <c r="A66" s="22" t="n">
        <v>46336</v>
      </c>
      <c r="B66" s="23" t="inlineStr">
        <is>
          <t>NIGHT</t>
        </is>
      </c>
      <c r="C66" s="24" t="inlineStr">
        <is>
          <t>NVG-2.0</t>
        </is>
      </c>
      <c r="D66" s="25" t="inlineStr">
        <is>
          <t>2000-2200</t>
        </is>
      </c>
      <c r="E66" s="26" t="n"/>
      <c r="F66" s="26" t="n"/>
      <c r="G66" s="27">
        <f>IF(C66="","",IFERROR(VLOOKUP(C66,CodeTable,3,0),1))</f>
        <v/>
      </c>
      <c r="H66" s="27">
        <f>IF(C66="","",IF(E66&lt;&gt;"",E66,IF(IFERROR(VLOOKUP(C66,CodeTable,5,0)&amp;"","")="","All",VLOOKUP(C66,CodeTable,5,0)&amp;"")))</f>
        <v/>
      </c>
      <c r="I66" s="28">
        <f>IF(OR(A66="",C66=""),"",A66&amp;"|"&amp;B66&amp;"|"&amp;(COUNTIFS(FlDate,A66,FlShift,B66,FlCode,"&lt;&gt;",FlOrder,"&lt;"&amp;J66)+COUNTIFS(A$6:A66,A66,B$6:B66,B66,C$6:C66,"&lt;&gt;",J$6:J66,J66)))</f>
        <v/>
      </c>
      <c r="J66" s="28">
        <f>IF(C66="","",IF(D66="","zz","t"&amp;D66))</f>
        <v/>
      </c>
      <c r="K66" s="28">
        <f>IF(OR(A66="",C66=""),"",IF(IFERROR(INDEX(DayStat,A66-DATE(PlanYear,1,1)+1)&amp;"","")&lt;&gt;"",0,1))</f>
        <v/>
      </c>
      <c r="L66" s="28">
        <f>IF(K66="","",K66*IFERROR(VLOOKUP(C66,CodeTable,4,0),0))</f>
        <v/>
      </c>
    </row>
    <row r="67">
      <c r="A67" s="22" t="n">
        <v>46337</v>
      </c>
      <c r="B67" s="23" t="inlineStr">
        <is>
          <t>AM</t>
        </is>
      </c>
      <c r="C67" s="24" t="inlineStr">
        <is>
          <t>FLT-2.0</t>
        </is>
      </c>
      <c r="D67" s="25" t="inlineStr">
        <is>
          <t>0830-1030</t>
        </is>
      </c>
      <c r="E67" s="26" t="n"/>
      <c r="F67" s="26" t="n"/>
      <c r="G67" s="27">
        <f>IF(C67="","",IFERROR(VLOOKUP(C67,CodeTable,3,0),1))</f>
        <v/>
      </c>
      <c r="H67" s="27">
        <f>IF(C67="","",IF(E67&lt;&gt;"",E67,IF(IFERROR(VLOOKUP(C67,CodeTable,5,0)&amp;"","")="","All",VLOOKUP(C67,CodeTable,5,0)&amp;"")))</f>
        <v/>
      </c>
      <c r="I67" s="28">
        <f>IF(OR(A67="",C67=""),"",A67&amp;"|"&amp;B67&amp;"|"&amp;(COUNTIFS(FlDate,A67,FlShift,B67,FlCode,"&lt;&gt;",FlOrder,"&lt;"&amp;J67)+COUNTIFS(A$6:A67,A67,B$6:B67,B67,C$6:C67,"&lt;&gt;",J$6:J67,J67)))</f>
        <v/>
      </c>
      <c r="J67" s="28">
        <f>IF(C67="","",IF(D67="","zz","t"&amp;D67))</f>
        <v/>
      </c>
      <c r="K67" s="28">
        <f>IF(OR(A67="",C67=""),"",IF(IFERROR(INDEX(DayStat,A67-DATE(PlanYear,1,1)+1)&amp;"","")&lt;&gt;"",0,1))</f>
        <v/>
      </c>
      <c r="L67" s="28">
        <f>IF(K67="","",K67*IFERROR(VLOOKUP(C67,CodeTable,4,0),0))</f>
        <v/>
      </c>
    </row>
    <row r="68">
      <c r="A68" s="22" t="n">
        <v>46337</v>
      </c>
      <c r="B68" s="23" t="inlineStr">
        <is>
          <t>AM</t>
        </is>
      </c>
      <c r="C68" s="24" t="inlineStr">
        <is>
          <t>FLT-1.5</t>
        </is>
      </c>
      <c r="D68" s="25" t="inlineStr">
        <is>
          <t>1000-1130</t>
        </is>
      </c>
      <c r="E68" s="26" t="n"/>
      <c r="F68" s="26" t="n"/>
      <c r="G68" s="27">
        <f>IF(C68="","",IFERROR(VLOOKUP(C68,CodeTable,3,0),1))</f>
        <v/>
      </c>
      <c r="H68" s="27">
        <f>IF(C68="","",IF(E68&lt;&gt;"",E68,IF(IFERROR(VLOOKUP(C68,CodeTable,5,0)&amp;"","")="","All",VLOOKUP(C68,CodeTable,5,0)&amp;"")))</f>
        <v/>
      </c>
      <c r="I68" s="28">
        <f>IF(OR(A68="",C68=""),"",A68&amp;"|"&amp;B68&amp;"|"&amp;(COUNTIFS(FlDate,A68,FlShift,B68,FlCode,"&lt;&gt;",FlOrder,"&lt;"&amp;J68)+COUNTIFS(A$6:A68,A68,B$6:B68,B68,C$6:C68,"&lt;&gt;",J$6:J68,J68)))</f>
        <v/>
      </c>
      <c r="J68" s="28">
        <f>IF(C68="","",IF(D68="","zz","t"&amp;D68))</f>
        <v/>
      </c>
      <c r="K68" s="28">
        <f>IF(OR(A68="",C68=""),"",IF(IFERROR(INDEX(DayStat,A68-DATE(PlanYear,1,1)+1)&amp;"","")&lt;&gt;"",0,1))</f>
        <v/>
      </c>
      <c r="L68" s="28">
        <f>IF(K68="","",K68*IFERROR(VLOOKUP(C68,CodeTable,4,0),0))</f>
        <v/>
      </c>
    </row>
    <row r="69">
      <c r="A69" s="22" t="n">
        <v>46337</v>
      </c>
      <c r="B69" s="23" t="inlineStr">
        <is>
          <t>PM</t>
        </is>
      </c>
      <c r="C69" s="24" t="inlineStr">
        <is>
          <t>FLT-2.0</t>
        </is>
      </c>
      <c r="D69" s="25" t="inlineStr">
        <is>
          <t>1400-1600</t>
        </is>
      </c>
      <c r="E69" s="26" t="n"/>
      <c r="F69" s="26" t="n"/>
      <c r="G69" s="27">
        <f>IF(C69="","",IFERROR(VLOOKUP(C69,CodeTable,3,0),1))</f>
        <v/>
      </c>
      <c r="H69" s="27">
        <f>IF(C69="","",IF(E69&lt;&gt;"",E69,IF(IFERROR(VLOOKUP(C69,CodeTable,5,0)&amp;"","")="","All",VLOOKUP(C69,CodeTable,5,0)&amp;"")))</f>
        <v/>
      </c>
      <c r="I69" s="28">
        <f>IF(OR(A69="",C69=""),"",A69&amp;"|"&amp;B69&amp;"|"&amp;(COUNTIFS(FlDate,A69,FlShift,B69,FlCode,"&lt;&gt;",FlOrder,"&lt;"&amp;J69)+COUNTIFS(A$6:A69,A69,B$6:B69,B69,C$6:C69,"&lt;&gt;",J$6:J69,J69)))</f>
        <v/>
      </c>
      <c r="J69" s="28">
        <f>IF(C69="","",IF(D69="","zz","t"&amp;D69))</f>
        <v/>
      </c>
      <c r="K69" s="28">
        <f>IF(OR(A69="",C69=""),"",IF(IFERROR(INDEX(DayStat,A69-DATE(PlanYear,1,1)+1)&amp;"","")&lt;&gt;"",0,1))</f>
        <v/>
      </c>
      <c r="L69" s="28">
        <f>IF(K69="","",K69*IFERROR(VLOOKUP(C69,CodeTable,4,0),0))</f>
        <v/>
      </c>
    </row>
    <row r="70">
      <c r="A70" s="22" t="n">
        <v>46338</v>
      </c>
      <c r="B70" s="23" t="inlineStr">
        <is>
          <t>AM</t>
        </is>
      </c>
      <c r="C70" s="24" t="inlineStr">
        <is>
          <t>FLT-2.0</t>
        </is>
      </c>
      <c r="D70" s="25" t="inlineStr">
        <is>
          <t>0830-1030</t>
        </is>
      </c>
      <c r="E70" s="26" t="n"/>
      <c r="F70" s="26" t="n"/>
      <c r="G70" s="27">
        <f>IF(C70="","",IFERROR(VLOOKUP(C70,CodeTable,3,0),1))</f>
        <v/>
      </c>
      <c r="H70" s="27">
        <f>IF(C70="","",IF(E70&lt;&gt;"",E70,IF(IFERROR(VLOOKUP(C70,CodeTable,5,0)&amp;"","")="","All",VLOOKUP(C70,CodeTable,5,0)&amp;"")))</f>
        <v/>
      </c>
      <c r="I70" s="28">
        <f>IF(OR(A70="",C70=""),"",A70&amp;"|"&amp;B70&amp;"|"&amp;(COUNTIFS(FlDate,A70,FlShift,B70,FlCode,"&lt;&gt;",FlOrder,"&lt;"&amp;J70)+COUNTIFS(A$6:A70,A70,B$6:B70,B70,C$6:C70,"&lt;&gt;",J$6:J70,J70)))</f>
        <v/>
      </c>
      <c r="J70" s="28">
        <f>IF(C70="","",IF(D70="","zz","t"&amp;D70))</f>
        <v/>
      </c>
      <c r="K70" s="28">
        <f>IF(OR(A70="",C70=""),"",IF(IFERROR(INDEX(DayStat,A70-DATE(PlanYear,1,1)+1)&amp;"","")&lt;&gt;"",0,1))</f>
        <v/>
      </c>
      <c r="L70" s="28">
        <f>IF(K70="","",K70*IFERROR(VLOOKUP(C70,CodeTable,4,0),0))</f>
        <v/>
      </c>
    </row>
    <row r="71">
      <c r="A71" s="22" t="n">
        <v>46338</v>
      </c>
      <c r="B71" s="23" t="inlineStr">
        <is>
          <t>NIGHT</t>
        </is>
      </c>
      <c r="C71" s="24" t="inlineStr">
        <is>
          <t>NVG-2.0</t>
        </is>
      </c>
      <c r="D71" s="25" t="inlineStr">
        <is>
          <t>2000-2200</t>
        </is>
      </c>
      <c r="E71" s="26" t="n"/>
      <c r="F71" s="26" t="n"/>
      <c r="G71" s="27">
        <f>IF(C71="","",IFERROR(VLOOKUP(C71,CodeTable,3,0),1))</f>
        <v/>
      </c>
      <c r="H71" s="27">
        <f>IF(C71="","",IF(E71&lt;&gt;"",E71,IF(IFERROR(VLOOKUP(C71,CodeTable,5,0)&amp;"","")="","All",VLOOKUP(C71,CodeTable,5,0)&amp;"")))</f>
        <v/>
      </c>
      <c r="I71" s="28">
        <f>IF(OR(A71="",C71=""),"",A71&amp;"|"&amp;B71&amp;"|"&amp;(COUNTIFS(FlDate,A71,FlShift,B71,FlCode,"&lt;&gt;",FlOrder,"&lt;"&amp;J71)+COUNTIFS(A$6:A71,A71,B$6:B71,B71,C$6:C71,"&lt;&gt;",J$6:J71,J71)))</f>
        <v/>
      </c>
      <c r="J71" s="28">
        <f>IF(C71="","",IF(D71="","zz","t"&amp;D71))</f>
        <v/>
      </c>
      <c r="K71" s="28">
        <f>IF(OR(A71="",C71=""),"",IF(IFERROR(INDEX(DayStat,A71-DATE(PlanYear,1,1)+1)&amp;"","")&lt;&gt;"",0,1))</f>
        <v/>
      </c>
      <c r="L71" s="28">
        <f>IF(K71="","",K71*IFERROR(VLOOKUP(C71,CodeTable,4,0),0))</f>
        <v/>
      </c>
    </row>
    <row r="72">
      <c r="A72" s="22" t="n">
        <v>46339</v>
      </c>
      <c r="B72" s="23" t="inlineStr">
        <is>
          <t>AM</t>
        </is>
      </c>
      <c r="C72" s="24" t="inlineStr">
        <is>
          <t>FLT-2.0</t>
        </is>
      </c>
      <c r="D72" s="25" t="inlineStr">
        <is>
          <t>0830-1030</t>
        </is>
      </c>
      <c r="E72" s="26" t="n"/>
      <c r="F72" s="26" t="n"/>
      <c r="G72" s="27">
        <f>IF(C72="","",IFERROR(VLOOKUP(C72,CodeTable,3,0),1))</f>
        <v/>
      </c>
      <c r="H72" s="27">
        <f>IF(C72="","",IF(E72&lt;&gt;"",E72,IF(IFERROR(VLOOKUP(C72,CodeTable,5,0)&amp;"","")="","All",VLOOKUP(C72,CodeTable,5,0)&amp;"")))</f>
        <v/>
      </c>
      <c r="I72" s="28">
        <f>IF(OR(A72="",C72=""),"",A72&amp;"|"&amp;B72&amp;"|"&amp;(COUNTIFS(FlDate,A72,FlShift,B72,FlCode,"&lt;&gt;",FlOrder,"&lt;"&amp;J72)+COUNTIFS(A$6:A72,A72,B$6:B72,B72,C$6:C72,"&lt;&gt;",J$6:J72,J72)))</f>
        <v/>
      </c>
      <c r="J72" s="28">
        <f>IF(C72="","",IF(D72="","zz","t"&amp;D72))</f>
        <v/>
      </c>
      <c r="K72" s="28">
        <f>IF(OR(A72="",C72=""),"",IF(IFERROR(INDEX(DayStat,A72-DATE(PlanYear,1,1)+1)&amp;"","")&lt;&gt;"",0,1))</f>
        <v/>
      </c>
      <c r="L72" s="28">
        <f>IF(K72="","",K72*IFERROR(VLOOKUP(C72,CodeTable,4,0),0))</f>
        <v/>
      </c>
    </row>
    <row r="73">
      <c r="A73" s="22" t="n">
        <v>46339</v>
      </c>
      <c r="B73" s="23" t="inlineStr">
        <is>
          <t>AM</t>
        </is>
      </c>
      <c r="C73" s="24" t="inlineStr">
        <is>
          <t>FLT-1.5</t>
        </is>
      </c>
      <c r="D73" s="25" t="inlineStr">
        <is>
          <t>1000-1130</t>
        </is>
      </c>
      <c r="E73" s="26" t="n"/>
      <c r="F73" s="26" t="n"/>
      <c r="G73" s="27">
        <f>IF(C73="","",IFERROR(VLOOKUP(C73,CodeTable,3,0),1))</f>
        <v/>
      </c>
      <c r="H73" s="27">
        <f>IF(C73="","",IF(E73&lt;&gt;"",E73,IF(IFERROR(VLOOKUP(C73,CodeTable,5,0)&amp;"","")="","All",VLOOKUP(C73,CodeTable,5,0)&amp;"")))</f>
        <v/>
      </c>
      <c r="I73" s="28">
        <f>IF(OR(A73="",C73=""),"",A73&amp;"|"&amp;B73&amp;"|"&amp;(COUNTIFS(FlDate,A73,FlShift,B73,FlCode,"&lt;&gt;",FlOrder,"&lt;"&amp;J73)+COUNTIFS(A$6:A73,A73,B$6:B73,B73,C$6:C73,"&lt;&gt;",J$6:J73,J73)))</f>
        <v/>
      </c>
      <c r="J73" s="28">
        <f>IF(C73="","",IF(D73="","zz","t"&amp;D73))</f>
        <v/>
      </c>
      <c r="K73" s="28">
        <f>IF(OR(A73="",C73=""),"",IF(IFERROR(INDEX(DayStat,A73-DATE(PlanYear,1,1)+1)&amp;"","")&lt;&gt;"",0,1))</f>
        <v/>
      </c>
      <c r="L73" s="28">
        <f>IF(K73="","",K73*IFERROR(VLOOKUP(C73,CodeTable,4,0),0))</f>
        <v/>
      </c>
    </row>
    <row r="74">
      <c r="A74" s="22" t="n">
        <v>46339</v>
      </c>
      <c r="B74" s="23" t="inlineStr">
        <is>
          <t>PM</t>
        </is>
      </c>
      <c r="C74" s="24" t="inlineStr">
        <is>
          <t>FLT-2.0</t>
        </is>
      </c>
      <c r="D74" s="25" t="inlineStr">
        <is>
          <t>1400-1600</t>
        </is>
      </c>
      <c r="E74" s="26" t="n"/>
      <c r="F74" s="26" t="n"/>
      <c r="G74" s="27">
        <f>IF(C74="","",IFERROR(VLOOKUP(C74,CodeTable,3,0),1))</f>
        <v/>
      </c>
      <c r="H74" s="27">
        <f>IF(C74="","",IF(E74&lt;&gt;"",E74,IF(IFERROR(VLOOKUP(C74,CodeTable,5,0)&amp;"","")="","All",VLOOKUP(C74,CodeTable,5,0)&amp;"")))</f>
        <v/>
      </c>
      <c r="I74" s="28">
        <f>IF(OR(A74="",C74=""),"",A74&amp;"|"&amp;B74&amp;"|"&amp;(COUNTIFS(FlDate,A74,FlShift,B74,FlCode,"&lt;&gt;",FlOrder,"&lt;"&amp;J74)+COUNTIFS(A$6:A74,A74,B$6:B74,B74,C$6:C74,"&lt;&gt;",J$6:J74,J74)))</f>
        <v/>
      </c>
      <c r="J74" s="28">
        <f>IF(C74="","",IF(D74="","zz","t"&amp;D74))</f>
        <v/>
      </c>
      <c r="K74" s="28">
        <f>IF(OR(A74="",C74=""),"",IF(IFERROR(INDEX(DayStat,A74-DATE(PlanYear,1,1)+1)&amp;"","")&lt;&gt;"",0,1))</f>
        <v/>
      </c>
      <c r="L74" s="28">
        <f>IF(K74="","",K74*IFERROR(VLOOKUP(C74,CodeTable,4,0),0))</f>
        <v/>
      </c>
    </row>
    <row r="75">
      <c r="A75" s="22" t="n">
        <v>46342</v>
      </c>
      <c r="B75" s="23" t="inlineStr">
        <is>
          <t>AM</t>
        </is>
      </c>
      <c r="C75" s="24" t="inlineStr">
        <is>
          <t>FLT-2.0</t>
        </is>
      </c>
      <c r="D75" s="25" t="inlineStr">
        <is>
          <t>0830-1030</t>
        </is>
      </c>
      <c r="E75" s="26" t="n"/>
      <c r="F75" s="26" t="n"/>
      <c r="G75" s="27">
        <f>IF(C75="","",IFERROR(VLOOKUP(C75,CodeTable,3,0),1))</f>
        <v/>
      </c>
      <c r="H75" s="27">
        <f>IF(C75="","",IF(E75&lt;&gt;"",E75,IF(IFERROR(VLOOKUP(C75,CodeTable,5,0)&amp;"","")="","All",VLOOKUP(C75,CodeTable,5,0)&amp;"")))</f>
        <v/>
      </c>
      <c r="I75" s="28">
        <f>IF(OR(A75="",C75=""),"",A75&amp;"|"&amp;B75&amp;"|"&amp;(COUNTIFS(FlDate,A75,FlShift,B75,FlCode,"&lt;&gt;",FlOrder,"&lt;"&amp;J75)+COUNTIFS(A$6:A75,A75,B$6:B75,B75,C$6:C75,"&lt;&gt;",J$6:J75,J75)))</f>
        <v/>
      </c>
      <c r="J75" s="28">
        <f>IF(C75="","",IF(D75="","zz","t"&amp;D75))</f>
        <v/>
      </c>
      <c r="K75" s="28">
        <f>IF(OR(A75="",C75=""),"",IF(IFERROR(INDEX(DayStat,A75-DATE(PlanYear,1,1)+1)&amp;"","")&lt;&gt;"",0,1))</f>
        <v/>
      </c>
      <c r="L75" s="28">
        <f>IF(K75="","",K75*IFERROR(VLOOKUP(C75,CodeTable,4,0),0))</f>
        <v/>
      </c>
    </row>
    <row r="76">
      <c r="A76" s="22" t="n">
        <v>46342</v>
      </c>
      <c r="B76" s="23" t="inlineStr">
        <is>
          <t>AM</t>
        </is>
      </c>
      <c r="C76" s="24" t="inlineStr">
        <is>
          <t>FLT-1.5</t>
        </is>
      </c>
      <c r="D76" s="25" t="inlineStr">
        <is>
          <t>1000-1130</t>
        </is>
      </c>
      <c r="E76" s="26" t="n"/>
      <c r="F76" s="26" t="n"/>
      <c r="G76" s="27">
        <f>IF(C76="","",IFERROR(VLOOKUP(C76,CodeTable,3,0),1))</f>
        <v/>
      </c>
      <c r="H76" s="27">
        <f>IF(C76="","",IF(E76&lt;&gt;"",E76,IF(IFERROR(VLOOKUP(C76,CodeTable,5,0)&amp;"","")="","All",VLOOKUP(C76,CodeTable,5,0)&amp;"")))</f>
        <v/>
      </c>
      <c r="I76" s="28">
        <f>IF(OR(A76="",C76=""),"",A76&amp;"|"&amp;B76&amp;"|"&amp;(COUNTIFS(FlDate,A76,FlShift,B76,FlCode,"&lt;&gt;",FlOrder,"&lt;"&amp;J76)+COUNTIFS(A$6:A76,A76,B$6:B76,B76,C$6:C76,"&lt;&gt;",J$6:J76,J76)))</f>
        <v/>
      </c>
      <c r="J76" s="28">
        <f>IF(C76="","",IF(D76="","zz","t"&amp;D76))</f>
        <v/>
      </c>
      <c r="K76" s="28">
        <f>IF(OR(A76="",C76=""),"",IF(IFERROR(INDEX(DayStat,A76-DATE(PlanYear,1,1)+1)&amp;"","")&lt;&gt;"",0,1))</f>
        <v/>
      </c>
      <c r="L76" s="28">
        <f>IF(K76="","",K76*IFERROR(VLOOKUP(C76,CodeTable,4,0),0))</f>
        <v/>
      </c>
    </row>
    <row r="77">
      <c r="A77" s="22" t="n">
        <v>46342</v>
      </c>
      <c r="B77" s="23" t="inlineStr">
        <is>
          <t>PM</t>
        </is>
      </c>
      <c r="C77" s="24" t="inlineStr">
        <is>
          <t>FLT-2.0</t>
        </is>
      </c>
      <c r="D77" s="25" t="inlineStr">
        <is>
          <t>1400-1600</t>
        </is>
      </c>
      <c r="E77" s="26" t="n"/>
      <c r="F77" s="26" t="n"/>
      <c r="G77" s="27">
        <f>IF(C77="","",IFERROR(VLOOKUP(C77,CodeTable,3,0),1))</f>
        <v/>
      </c>
      <c r="H77" s="27">
        <f>IF(C77="","",IF(E77&lt;&gt;"",E77,IF(IFERROR(VLOOKUP(C77,CodeTable,5,0)&amp;"","")="","All",VLOOKUP(C77,CodeTable,5,0)&amp;"")))</f>
        <v/>
      </c>
      <c r="I77" s="28">
        <f>IF(OR(A77="",C77=""),"",A77&amp;"|"&amp;B77&amp;"|"&amp;(COUNTIFS(FlDate,A77,FlShift,B77,FlCode,"&lt;&gt;",FlOrder,"&lt;"&amp;J77)+COUNTIFS(A$6:A77,A77,B$6:B77,B77,C$6:C77,"&lt;&gt;",J$6:J77,J77)))</f>
        <v/>
      </c>
      <c r="J77" s="28">
        <f>IF(C77="","",IF(D77="","zz","t"&amp;D77))</f>
        <v/>
      </c>
      <c r="K77" s="28">
        <f>IF(OR(A77="",C77=""),"",IF(IFERROR(INDEX(DayStat,A77-DATE(PlanYear,1,1)+1)&amp;"","")&lt;&gt;"",0,1))</f>
        <v/>
      </c>
      <c r="L77" s="28">
        <f>IF(K77="","",K77*IFERROR(VLOOKUP(C77,CodeTable,4,0),0))</f>
        <v/>
      </c>
    </row>
    <row r="78">
      <c r="A78" s="22" t="n">
        <v>46343</v>
      </c>
      <c r="B78" s="23" t="inlineStr">
        <is>
          <t>AM</t>
        </is>
      </c>
      <c r="C78" s="24" t="inlineStr">
        <is>
          <t>FLT-3.0</t>
        </is>
      </c>
      <c r="D78" s="25" t="inlineStr">
        <is>
          <t>0800-1100</t>
        </is>
      </c>
      <c r="E78" s="26" t="n"/>
      <c r="F78" s="26" t="n"/>
      <c r="G78" s="27">
        <f>IF(C78="","",IFERROR(VLOOKUP(C78,CodeTable,3,0),1))</f>
        <v/>
      </c>
      <c r="H78" s="27">
        <f>IF(C78="","",IF(E78&lt;&gt;"",E78,IF(IFERROR(VLOOKUP(C78,CodeTable,5,0)&amp;"","")="","All",VLOOKUP(C78,CodeTable,5,0)&amp;"")))</f>
        <v/>
      </c>
      <c r="I78" s="28">
        <f>IF(OR(A78="",C78=""),"",A78&amp;"|"&amp;B78&amp;"|"&amp;(COUNTIFS(FlDate,A78,FlShift,B78,FlCode,"&lt;&gt;",FlOrder,"&lt;"&amp;J78)+COUNTIFS(A$6:A78,A78,B$6:B78,B78,C$6:C78,"&lt;&gt;",J$6:J78,J78)))</f>
        <v/>
      </c>
      <c r="J78" s="28">
        <f>IF(C78="","",IF(D78="","zz","t"&amp;D78))</f>
        <v/>
      </c>
      <c r="K78" s="28">
        <f>IF(OR(A78="",C78=""),"",IF(IFERROR(INDEX(DayStat,A78-DATE(PlanYear,1,1)+1)&amp;"","")&lt;&gt;"",0,1))</f>
        <v/>
      </c>
      <c r="L78" s="28">
        <f>IF(K78="","",K78*IFERROR(VLOOKUP(C78,CodeTable,4,0),0))</f>
        <v/>
      </c>
    </row>
    <row r="79">
      <c r="A79" s="22" t="n">
        <v>46343</v>
      </c>
      <c r="B79" s="23" t="inlineStr">
        <is>
          <t>PM</t>
        </is>
      </c>
      <c r="C79" s="24" t="inlineStr">
        <is>
          <t>MSN-3.0</t>
        </is>
      </c>
      <c r="D79" s="25" t="inlineStr">
        <is>
          <t>1300-1600</t>
        </is>
      </c>
      <c r="E79" s="26" t="n"/>
      <c r="F79" s="26" t="inlineStr">
        <is>
          <t>Long range</t>
        </is>
      </c>
      <c r="G79" s="27">
        <f>IF(C79="","",IFERROR(VLOOKUP(C79,CodeTable,3,0),1))</f>
        <v/>
      </c>
      <c r="H79" s="27">
        <f>IF(C79="","",IF(E79&lt;&gt;"",E79,IF(IFERROR(VLOOKUP(C79,CodeTable,5,0)&amp;"","")="","All",VLOOKUP(C79,CodeTable,5,0)&amp;"")))</f>
        <v/>
      </c>
      <c r="I79" s="28">
        <f>IF(OR(A79="",C79=""),"",A79&amp;"|"&amp;B79&amp;"|"&amp;(COUNTIFS(FlDate,A79,FlShift,B79,FlCode,"&lt;&gt;",FlOrder,"&lt;"&amp;J79)+COUNTIFS(A$6:A79,A79,B$6:B79,B79,C$6:C79,"&lt;&gt;",J$6:J79,J79)))</f>
        <v/>
      </c>
      <c r="J79" s="28">
        <f>IF(C79="","",IF(D79="","zz","t"&amp;D79))</f>
        <v/>
      </c>
      <c r="K79" s="28">
        <f>IF(OR(A79="",C79=""),"",IF(IFERROR(INDEX(DayStat,A79-DATE(PlanYear,1,1)+1)&amp;"","")&lt;&gt;"",0,1))</f>
        <v/>
      </c>
      <c r="L79" s="28">
        <f>IF(K79="","",K79*IFERROR(VLOOKUP(C79,CodeTable,4,0),0))</f>
        <v/>
      </c>
    </row>
    <row r="80">
      <c r="A80" s="22" t="n">
        <v>46343</v>
      </c>
      <c r="B80" s="23" t="inlineStr">
        <is>
          <t>NIGHT</t>
        </is>
      </c>
      <c r="C80" s="24" t="inlineStr">
        <is>
          <t>NVG-2.0</t>
        </is>
      </c>
      <c r="D80" s="25" t="inlineStr">
        <is>
          <t>2000-2200</t>
        </is>
      </c>
      <c r="E80" s="26" t="n"/>
      <c r="F80" s="26" t="n"/>
      <c r="G80" s="27">
        <f>IF(C80="","",IFERROR(VLOOKUP(C80,CodeTable,3,0),1))</f>
        <v/>
      </c>
      <c r="H80" s="27">
        <f>IF(C80="","",IF(E80&lt;&gt;"",E80,IF(IFERROR(VLOOKUP(C80,CodeTable,5,0)&amp;"","")="","All",VLOOKUP(C80,CodeTable,5,0)&amp;"")))</f>
        <v/>
      </c>
      <c r="I80" s="28">
        <f>IF(OR(A80="",C80=""),"",A80&amp;"|"&amp;B80&amp;"|"&amp;(COUNTIFS(FlDate,A80,FlShift,B80,FlCode,"&lt;&gt;",FlOrder,"&lt;"&amp;J80)+COUNTIFS(A$6:A80,A80,B$6:B80,B80,C$6:C80,"&lt;&gt;",J$6:J80,J80)))</f>
        <v/>
      </c>
      <c r="J80" s="28">
        <f>IF(C80="","",IF(D80="","zz","t"&amp;D80))</f>
        <v/>
      </c>
      <c r="K80" s="28">
        <f>IF(OR(A80="",C80=""),"",IF(IFERROR(INDEX(DayStat,A80-DATE(PlanYear,1,1)+1)&amp;"","")&lt;&gt;"",0,1))</f>
        <v/>
      </c>
      <c r="L80" s="28">
        <f>IF(K80="","",K80*IFERROR(VLOOKUP(C80,CodeTable,4,0),0))</f>
        <v/>
      </c>
    </row>
    <row r="81">
      <c r="A81" s="22" t="n">
        <v>46344</v>
      </c>
      <c r="B81" s="23" t="inlineStr">
        <is>
          <t>AM</t>
        </is>
      </c>
      <c r="C81" s="24" t="inlineStr">
        <is>
          <t>FLT-2.0</t>
        </is>
      </c>
      <c r="D81" s="25" t="inlineStr">
        <is>
          <t>0830-1030</t>
        </is>
      </c>
      <c r="E81" s="26" t="n"/>
      <c r="F81" s="26" t="n"/>
      <c r="G81" s="27">
        <f>IF(C81="","",IFERROR(VLOOKUP(C81,CodeTable,3,0),1))</f>
        <v/>
      </c>
      <c r="H81" s="27">
        <f>IF(C81="","",IF(E81&lt;&gt;"",E81,IF(IFERROR(VLOOKUP(C81,CodeTable,5,0)&amp;"","")="","All",VLOOKUP(C81,CodeTable,5,0)&amp;"")))</f>
        <v/>
      </c>
      <c r="I81" s="28">
        <f>IF(OR(A81="",C81=""),"",A81&amp;"|"&amp;B81&amp;"|"&amp;(COUNTIFS(FlDate,A81,FlShift,B81,FlCode,"&lt;&gt;",FlOrder,"&lt;"&amp;J81)+COUNTIFS(A$6:A81,A81,B$6:B81,B81,C$6:C81,"&lt;&gt;",J$6:J81,J81)))</f>
        <v/>
      </c>
      <c r="J81" s="28">
        <f>IF(C81="","",IF(D81="","zz","t"&amp;D81))</f>
        <v/>
      </c>
      <c r="K81" s="28">
        <f>IF(OR(A81="",C81=""),"",IF(IFERROR(INDEX(DayStat,A81-DATE(PlanYear,1,1)+1)&amp;"","")&lt;&gt;"",0,1))</f>
        <v/>
      </c>
      <c r="L81" s="28">
        <f>IF(K81="","",K81*IFERROR(VLOOKUP(C81,CodeTable,4,0),0))</f>
        <v/>
      </c>
    </row>
    <row r="82">
      <c r="A82" s="22" t="n">
        <v>46344</v>
      </c>
      <c r="B82" s="23" t="inlineStr">
        <is>
          <t>AM</t>
        </is>
      </c>
      <c r="C82" s="24" t="inlineStr">
        <is>
          <t>FLT-1.5</t>
        </is>
      </c>
      <c r="D82" s="25" t="inlineStr">
        <is>
          <t>1000-1130</t>
        </is>
      </c>
      <c r="E82" s="26" t="n"/>
      <c r="F82" s="26" t="n"/>
      <c r="G82" s="27">
        <f>IF(C82="","",IFERROR(VLOOKUP(C82,CodeTable,3,0),1))</f>
        <v/>
      </c>
      <c r="H82" s="27">
        <f>IF(C82="","",IF(E82&lt;&gt;"",E82,IF(IFERROR(VLOOKUP(C82,CodeTable,5,0)&amp;"","")="","All",VLOOKUP(C82,CodeTable,5,0)&amp;"")))</f>
        <v/>
      </c>
      <c r="I82" s="28">
        <f>IF(OR(A82="",C82=""),"",A82&amp;"|"&amp;B82&amp;"|"&amp;(COUNTIFS(FlDate,A82,FlShift,B82,FlCode,"&lt;&gt;",FlOrder,"&lt;"&amp;J82)+COUNTIFS(A$6:A82,A82,B$6:B82,B82,C$6:C82,"&lt;&gt;",J$6:J82,J82)))</f>
        <v/>
      </c>
      <c r="J82" s="28">
        <f>IF(C82="","",IF(D82="","zz","t"&amp;D82))</f>
        <v/>
      </c>
      <c r="K82" s="28">
        <f>IF(OR(A82="",C82=""),"",IF(IFERROR(INDEX(DayStat,A82-DATE(PlanYear,1,1)+1)&amp;"","")&lt;&gt;"",0,1))</f>
        <v/>
      </c>
      <c r="L82" s="28">
        <f>IF(K82="","",K82*IFERROR(VLOOKUP(C82,CodeTable,4,0),0))</f>
        <v/>
      </c>
    </row>
    <row r="83">
      <c r="A83" s="22" t="n">
        <v>46344</v>
      </c>
      <c r="B83" s="23" t="inlineStr">
        <is>
          <t>PM</t>
        </is>
      </c>
      <c r="C83" s="24" t="inlineStr">
        <is>
          <t>FLT-2.0</t>
        </is>
      </c>
      <c r="D83" s="25" t="inlineStr">
        <is>
          <t>1400-1600</t>
        </is>
      </c>
      <c r="E83" s="26" t="n"/>
      <c r="F83" s="26" t="n"/>
      <c r="G83" s="27">
        <f>IF(C83="","",IFERROR(VLOOKUP(C83,CodeTable,3,0),1))</f>
        <v/>
      </c>
      <c r="H83" s="27">
        <f>IF(C83="","",IF(E83&lt;&gt;"",E83,IF(IFERROR(VLOOKUP(C83,CodeTable,5,0)&amp;"","")="","All",VLOOKUP(C83,CodeTable,5,0)&amp;"")))</f>
        <v/>
      </c>
      <c r="I83" s="28">
        <f>IF(OR(A83="",C83=""),"",A83&amp;"|"&amp;B83&amp;"|"&amp;(COUNTIFS(FlDate,A83,FlShift,B83,FlCode,"&lt;&gt;",FlOrder,"&lt;"&amp;J83)+COUNTIFS(A$6:A83,A83,B$6:B83,B83,C$6:C83,"&lt;&gt;",J$6:J83,J83)))</f>
        <v/>
      </c>
      <c r="J83" s="28">
        <f>IF(C83="","",IF(D83="","zz","t"&amp;D83))</f>
        <v/>
      </c>
      <c r="K83" s="28">
        <f>IF(OR(A83="",C83=""),"",IF(IFERROR(INDEX(DayStat,A83-DATE(PlanYear,1,1)+1)&amp;"","")&lt;&gt;"",0,1))</f>
        <v/>
      </c>
      <c r="L83" s="28">
        <f>IF(K83="","",K83*IFERROR(VLOOKUP(C83,CodeTable,4,0),0))</f>
        <v/>
      </c>
    </row>
    <row r="84">
      <c r="A84" s="22" t="n">
        <v>46345</v>
      </c>
      <c r="B84" s="23" t="inlineStr">
        <is>
          <t>AM</t>
        </is>
      </c>
      <c r="C84" s="24" t="inlineStr">
        <is>
          <t>FLT-3.0</t>
        </is>
      </c>
      <c r="D84" s="25" t="inlineStr">
        <is>
          <t>0800-1100</t>
        </is>
      </c>
      <c r="E84" s="26" t="n"/>
      <c r="F84" s="26" t="n"/>
      <c r="G84" s="27">
        <f>IF(C84="","",IFERROR(VLOOKUP(C84,CodeTable,3,0),1))</f>
        <v/>
      </c>
      <c r="H84" s="27">
        <f>IF(C84="","",IF(E84&lt;&gt;"",E84,IF(IFERROR(VLOOKUP(C84,CodeTable,5,0)&amp;"","")="","All",VLOOKUP(C84,CodeTable,5,0)&amp;"")))</f>
        <v/>
      </c>
      <c r="I84" s="28">
        <f>IF(OR(A84="",C84=""),"",A84&amp;"|"&amp;B84&amp;"|"&amp;(COUNTIFS(FlDate,A84,FlShift,B84,FlCode,"&lt;&gt;",FlOrder,"&lt;"&amp;J84)+COUNTIFS(A$6:A84,A84,B$6:B84,B84,C$6:C84,"&lt;&gt;",J$6:J84,J84)))</f>
        <v/>
      </c>
      <c r="J84" s="28">
        <f>IF(C84="","",IF(D84="","zz","t"&amp;D84))</f>
        <v/>
      </c>
      <c r="K84" s="28">
        <f>IF(OR(A84="",C84=""),"",IF(IFERROR(INDEX(DayStat,A84-DATE(PlanYear,1,1)+1)&amp;"","")&lt;&gt;"",0,1))</f>
        <v/>
      </c>
      <c r="L84" s="28">
        <f>IF(K84="","",K84*IFERROR(VLOOKUP(C84,CodeTable,4,0),0))</f>
        <v/>
      </c>
    </row>
    <row r="85">
      <c r="A85" s="22" t="n">
        <v>46345</v>
      </c>
      <c r="B85" s="23" t="inlineStr">
        <is>
          <t>PM</t>
        </is>
      </c>
      <c r="C85" s="24" t="inlineStr">
        <is>
          <t>FLT-2.0</t>
        </is>
      </c>
      <c r="D85" s="25" t="inlineStr">
        <is>
          <t>1400-1600</t>
        </is>
      </c>
      <c r="E85" s="26" t="n"/>
      <c r="F85" s="26" t="n"/>
      <c r="G85" s="27">
        <f>IF(C85="","",IFERROR(VLOOKUP(C85,CodeTable,3,0),1))</f>
        <v/>
      </c>
      <c r="H85" s="27">
        <f>IF(C85="","",IF(E85&lt;&gt;"",E85,IF(IFERROR(VLOOKUP(C85,CodeTable,5,0)&amp;"","")="","All",VLOOKUP(C85,CodeTable,5,0)&amp;"")))</f>
        <v/>
      </c>
      <c r="I85" s="28">
        <f>IF(OR(A85="",C85=""),"",A85&amp;"|"&amp;B85&amp;"|"&amp;(COUNTIFS(FlDate,A85,FlShift,B85,FlCode,"&lt;&gt;",FlOrder,"&lt;"&amp;J85)+COUNTIFS(A$6:A85,A85,B$6:B85,B85,C$6:C85,"&lt;&gt;",J$6:J85,J85)))</f>
        <v/>
      </c>
      <c r="J85" s="28">
        <f>IF(C85="","",IF(D85="","zz","t"&amp;D85))</f>
        <v/>
      </c>
      <c r="K85" s="28">
        <f>IF(OR(A85="",C85=""),"",IF(IFERROR(INDEX(DayStat,A85-DATE(PlanYear,1,1)+1)&amp;"","")&lt;&gt;"",0,1))</f>
        <v/>
      </c>
      <c r="L85" s="28">
        <f>IF(K85="","",K85*IFERROR(VLOOKUP(C85,CodeTable,4,0),0))</f>
        <v/>
      </c>
    </row>
    <row r="86">
      <c r="A86" s="22" t="n">
        <v>46345</v>
      </c>
      <c r="B86" s="23" t="inlineStr">
        <is>
          <t>NIGHT</t>
        </is>
      </c>
      <c r="C86" s="24" t="inlineStr">
        <is>
          <t>NVG-2.0</t>
        </is>
      </c>
      <c r="D86" s="25" t="inlineStr">
        <is>
          <t>2000-2200</t>
        </is>
      </c>
      <c r="E86" s="26" t="n"/>
      <c r="F86" s="26" t="n"/>
      <c r="G86" s="27">
        <f>IF(C86="","",IFERROR(VLOOKUP(C86,CodeTable,3,0),1))</f>
        <v/>
      </c>
      <c r="H86" s="27">
        <f>IF(C86="","",IF(E86&lt;&gt;"",E86,IF(IFERROR(VLOOKUP(C86,CodeTable,5,0)&amp;"","")="","All",VLOOKUP(C86,CodeTable,5,0)&amp;"")))</f>
        <v/>
      </c>
      <c r="I86" s="28">
        <f>IF(OR(A86="",C86=""),"",A86&amp;"|"&amp;B86&amp;"|"&amp;(COUNTIFS(FlDate,A86,FlShift,B86,FlCode,"&lt;&gt;",FlOrder,"&lt;"&amp;J86)+COUNTIFS(A$6:A86,A86,B$6:B86,B86,C$6:C86,"&lt;&gt;",J$6:J86,J86)))</f>
        <v/>
      </c>
      <c r="J86" s="28">
        <f>IF(C86="","",IF(D86="","zz","t"&amp;D86))</f>
        <v/>
      </c>
      <c r="K86" s="28">
        <f>IF(OR(A86="",C86=""),"",IF(IFERROR(INDEX(DayStat,A86-DATE(PlanYear,1,1)+1)&amp;"","")&lt;&gt;"",0,1))</f>
        <v/>
      </c>
      <c r="L86" s="28">
        <f>IF(K86="","",K86*IFERROR(VLOOKUP(C86,CodeTable,4,0),0))</f>
        <v/>
      </c>
    </row>
    <row r="87">
      <c r="A87" s="22" t="n">
        <v>46346</v>
      </c>
      <c r="B87" s="23" t="inlineStr">
        <is>
          <t>AM</t>
        </is>
      </c>
      <c r="C87" s="24" t="inlineStr">
        <is>
          <t>FLT-2.0</t>
        </is>
      </c>
      <c r="D87" s="25" t="inlineStr">
        <is>
          <t>0830-1030</t>
        </is>
      </c>
      <c r="E87" s="26" t="n"/>
      <c r="F87" s="26" t="n"/>
      <c r="G87" s="27">
        <f>IF(C87="","",IFERROR(VLOOKUP(C87,CodeTable,3,0),1))</f>
        <v/>
      </c>
      <c r="H87" s="27">
        <f>IF(C87="","",IF(E87&lt;&gt;"",E87,IF(IFERROR(VLOOKUP(C87,CodeTable,5,0)&amp;"","")="","All",VLOOKUP(C87,CodeTable,5,0)&amp;"")))</f>
        <v/>
      </c>
      <c r="I87" s="28">
        <f>IF(OR(A87="",C87=""),"",A87&amp;"|"&amp;B87&amp;"|"&amp;(COUNTIFS(FlDate,A87,FlShift,B87,FlCode,"&lt;&gt;",FlOrder,"&lt;"&amp;J87)+COUNTIFS(A$6:A87,A87,B$6:B87,B87,C$6:C87,"&lt;&gt;",J$6:J87,J87)))</f>
        <v/>
      </c>
      <c r="J87" s="28">
        <f>IF(C87="","",IF(D87="","zz","t"&amp;D87))</f>
        <v/>
      </c>
      <c r="K87" s="28">
        <f>IF(OR(A87="",C87=""),"",IF(IFERROR(INDEX(DayStat,A87-DATE(PlanYear,1,1)+1)&amp;"","")&lt;&gt;"",0,1))</f>
        <v/>
      </c>
      <c r="L87" s="28">
        <f>IF(K87="","",K87*IFERROR(VLOOKUP(C87,CodeTable,4,0),0))</f>
        <v/>
      </c>
    </row>
    <row r="88">
      <c r="A88" s="22" t="n">
        <v>46346</v>
      </c>
      <c r="B88" s="23" t="inlineStr">
        <is>
          <t>PM</t>
        </is>
      </c>
      <c r="C88" s="24" t="inlineStr">
        <is>
          <t>FLT-1.5</t>
        </is>
      </c>
      <c r="D88" s="25" t="inlineStr">
        <is>
          <t>1430-1600</t>
        </is>
      </c>
      <c r="E88" s="26" t="n"/>
      <c r="F88" s="26" t="n"/>
      <c r="G88" s="27">
        <f>IF(C88="","",IFERROR(VLOOKUP(C88,CodeTable,3,0),1))</f>
        <v/>
      </c>
      <c r="H88" s="27">
        <f>IF(C88="","",IF(E88&lt;&gt;"",E88,IF(IFERROR(VLOOKUP(C88,CodeTable,5,0)&amp;"","")="","All",VLOOKUP(C88,CodeTable,5,0)&amp;"")))</f>
        <v/>
      </c>
      <c r="I88" s="28">
        <f>IF(OR(A88="",C88=""),"",A88&amp;"|"&amp;B88&amp;"|"&amp;(COUNTIFS(FlDate,A88,FlShift,B88,FlCode,"&lt;&gt;",FlOrder,"&lt;"&amp;J88)+COUNTIFS(A$6:A88,A88,B$6:B88,B88,C$6:C88,"&lt;&gt;",J$6:J88,J88)))</f>
        <v/>
      </c>
      <c r="J88" s="28">
        <f>IF(C88="","",IF(D88="","zz","t"&amp;D88))</f>
        <v/>
      </c>
      <c r="K88" s="28">
        <f>IF(OR(A88="",C88=""),"",IF(IFERROR(INDEX(DayStat,A88-DATE(PlanYear,1,1)+1)&amp;"","")&lt;&gt;"",0,1))</f>
        <v/>
      </c>
      <c r="L88" s="28">
        <f>IF(K88="","",K88*IFERROR(VLOOKUP(C88,CodeTable,4,0),0))</f>
        <v/>
      </c>
    </row>
    <row r="89">
      <c r="A89" s="22" t="n">
        <v>46349</v>
      </c>
      <c r="B89" s="23" t="inlineStr">
        <is>
          <t>AM</t>
        </is>
      </c>
      <c r="C89" s="24" t="inlineStr">
        <is>
          <t>FLT-2.0</t>
        </is>
      </c>
      <c r="D89" s="25" t="inlineStr">
        <is>
          <t>0830-1030</t>
        </is>
      </c>
      <c r="E89" s="26" t="n"/>
      <c r="F89" s="26" t="n"/>
      <c r="G89" s="27">
        <f>IF(C89="","",IFERROR(VLOOKUP(C89,CodeTable,3,0),1))</f>
        <v/>
      </c>
      <c r="H89" s="27">
        <f>IF(C89="","",IF(E89&lt;&gt;"",E89,IF(IFERROR(VLOOKUP(C89,CodeTable,5,0)&amp;"","")="","All",VLOOKUP(C89,CodeTable,5,0)&amp;"")))</f>
        <v/>
      </c>
      <c r="I89" s="28">
        <f>IF(OR(A89="",C89=""),"",A89&amp;"|"&amp;B89&amp;"|"&amp;(COUNTIFS(FlDate,A89,FlShift,B89,FlCode,"&lt;&gt;",FlOrder,"&lt;"&amp;J89)+COUNTIFS(A$6:A89,A89,B$6:B89,B89,C$6:C89,"&lt;&gt;",J$6:J89,J89)))</f>
        <v/>
      </c>
      <c r="J89" s="28">
        <f>IF(C89="","",IF(D89="","zz","t"&amp;D89))</f>
        <v/>
      </c>
      <c r="K89" s="28">
        <f>IF(OR(A89="",C89=""),"",IF(IFERROR(INDEX(DayStat,A89-DATE(PlanYear,1,1)+1)&amp;"","")&lt;&gt;"",0,1))</f>
        <v/>
      </c>
      <c r="L89" s="28">
        <f>IF(K89="","",K89*IFERROR(VLOOKUP(C89,CodeTable,4,0),0))</f>
        <v/>
      </c>
    </row>
    <row r="90">
      <c r="A90" s="22" t="n">
        <v>46349</v>
      </c>
      <c r="B90" s="23" t="inlineStr">
        <is>
          <t>AM</t>
        </is>
      </c>
      <c r="C90" s="24" t="inlineStr">
        <is>
          <t>FLT-1.5</t>
        </is>
      </c>
      <c r="D90" s="25" t="inlineStr">
        <is>
          <t>1000-1130</t>
        </is>
      </c>
      <c r="E90" s="26" t="n"/>
      <c r="F90" s="26" t="n"/>
      <c r="G90" s="27">
        <f>IF(C90="","",IFERROR(VLOOKUP(C90,CodeTable,3,0),1))</f>
        <v/>
      </c>
      <c r="H90" s="27">
        <f>IF(C90="","",IF(E90&lt;&gt;"",E90,IF(IFERROR(VLOOKUP(C90,CodeTable,5,0)&amp;"","")="","All",VLOOKUP(C90,CodeTable,5,0)&amp;"")))</f>
        <v/>
      </c>
      <c r="I90" s="28">
        <f>IF(OR(A90="",C90=""),"",A90&amp;"|"&amp;B90&amp;"|"&amp;(COUNTIFS(FlDate,A90,FlShift,B90,FlCode,"&lt;&gt;",FlOrder,"&lt;"&amp;J90)+COUNTIFS(A$6:A90,A90,B$6:B90,B90,C$6:C90,"&lt;&gt;",J$6:J90,J90)))</f>
        <v/>
      </c>
      <c r="J90" s="28">
        <f>IF(C90="","",IF(D90="","zz","t"&amp;D90))</f>
        <v/>
      </c>
      <c r="K90" s="28">
        <f>IF(OR(A90="",C90=""),"",IF(IFERROR(INDEX(DayStat,A90-DATE(PlanYear,1,1)+1)&amp;"","")&lt;&gt;"",0,1))</f>
        <v/>
      </c>
      <c r="L90" s="28">
        <f>IF(K90="","",K90*IFERROR(VLOOKUP(C90,CodeTable,4,0),0))</f>
        <v/>
      </c>
    </row>
    <row r="91">
      <c r="A91" s="22" t="n">
        <v>46349</v>
      </c>
      <c r="B91" s="23" t="inlineStr">
        <is>
          <t>PM</t>
        </is>
      </c>
      <c r="C91" s="24" t="inlineStr">
        <is>
          <t>MSN-3.0</t>
        </is>
      </c>
      <c r="D91" s="25" t="inlineStr">
        <is>
          <t>1300-1600</t>
        </is>
      </c>
      <c r="E91" s="26" t="n"/>
      <c r="F91" s="26" t="inlineStr">
        <is>
          <t>Long range</t>
        </is>
      </c>
      <c r="G91" s="27">
        <f>IF(C91="","",IFERROR(VLOOKUP(C91,CodeTable,3,0),1))</f>
        <v/>
      </c>
      <c r="H91" s="27">
        <f>IF(C91="","",IF(E91&lt;&gt;"",E91,IF(IFERROR(VLOOKUP(C91,CodeTable,5,0)&amp;"","")="","All",VLOOKUP(C91,CodeTable,5,0)&amp;"")))</f>
        <v/>
      </c>
      <c r="I91" s="28">
        <f>IF(OR(A91="",C91=""),"",A91&amp;"|"&amp;B91&amp;"|"&amp;(COUNTIFS(FlDate,A91,FlShift,B91,FlCode,"&lt;&gt;",FlOrder,"&lt;"&amp;J91)+COUNTIFS(A$6:A91,A91,B$6:B91,B91,C$6:C91,"&lt;&gt;",J$6:J91,J91)))</f>
        <v/>
      </c>
      <c r="J91" s="28">
        <f>IF(C91="","",IF(D91="","zz","t"&amp;D91))</f>
        <v/>
      </c>
      <c r="K91" s="28">
        <f>IF(OR(A91="",C91=""),"",IF(IFERROR(INDEX(DayStat,A91-DATE(PlanYear,1,1)+1)&amp;"","")&lt;&gt;"",0,1))</f>
        <v/>
      </c>
      <c r="L91" s="28">
        <f>IF(K91="","",K91*IFERROR(VLOOKUP(C91,CodeTable,4,0),0))</f>
        <v/>
      </c>
    </row>
    <row r="92">
      <c r="A92" s="22" t="n">
        <v>46350</v>
      </c>
      <c r="B92" s="23" t="inlineStr">
        <is>
          <t>AM</t>
        </is>
      </c>
      <c r="C92" s="24" t="inlineStr">
        <is>
          <t>2xFLT-2.0</t>
        </is>
      </c>
      <c r="D92" s="25" t="inlineStr">
        <is>
          <t>0830-1030</t>
        </is>
      </c>
      <c r="E92" s="26" t="n"/>
      <c r="F92" s="26" t="n"/>
      <c r="G92" s="27">
        <f>IF(C92="","",IFERROR(VLOOKUP(C92,CodeTable,3,0),1))</f>
        <v/>
      </c>
      <c r="H92" s="27">
        <f>IF(C92="","",IF(E92&lt;&gt;"",E92,IF(IFERROR(VLOOKUP(C92,CodeTable,5,0)&amp;"","")="","All",VLOOKUP(C92,CodeTable,5,0)&amp;"")))</f>
        <v/>
      </c>
      <c r="I92" s="28">
        <f>IF(OR(A92="",C92=""),"",A92&amp;"|"&amp;B92&amp;"|"&amp;(COUNTIFS(FlDate,A92,FlShift,B92,FlCode,"&lt;&gt;",FlOrder,"&lt;"&amp;J92)+COUNTIFS(A$6:A92,A92,B$6:B92,B92,C$6:C92,"&lt;&gt;",J$6:J92,J92)))</f>
        <v/>
      </c>
      <c r="J92" s="28">
        <f>IF(C92="","",IF(D92="","zz","t"&amp;D92))</f>
        <v/>
      </c>
      <c r="K92" s="28">
        <f>IF(OR(A92="",C92=""),"",IF(IFERROR(INDEX(DayStat,A92-DATE(PlanYear,1,1)+1)&amp;"","")&lt;&gt;"",0,1))</f>
        <v/>
      </c>
      <c r="L92" s="28">
        <f>IF(K92="","",K92*IFERROR(VLOOKUP(C92,CodeTable,4,0),0))</f>
        <v/>
      </c>
    </row>
    <row r="93">
      <c r="A93" s="22" t="n">
        <v>46350</v>
      </c>
      <c r="B93" s="23" t="inlineStr">
        <is>
          <t>NIGHT</t>
        </is>
      </c>
      <c r="C93" s="24" t="inlineStr">
        <is>
          <t>NVG-2.0</t>
        </is>
      </c>
      <c r="D93" s="25" t="inlineStr">
        <is>
          <t>2000-2200</t>
        </is>
      </c>
      <c r="E93" s="26" t="n"/>
      <c r="F93" s="26" t="n"/>
      <c r="G93" s="27">
        <f>IF(C93="","",IFERROR(VLOOKUP(C93,CodeTable,3,0),1))</f>
        <v/>
      </c>
      <c r="H93" s="27">
        <f>IF(C93="","",IF(E93&lt;&gt;"",E93,IF(IFERROR(VLOOKUP(C93,CodeTable,5,0)&amp;"","")="","All",VLOOKUP(C93,CodeTable,5,0)&amp;"")))</f>
        <v/>
      </c>
      <c r="I93" s="28">
        <f>IF(OR(A93="",C93=""),"",A93&amp;"|"&amp;B93&amp;"|"&amp;(COUNTIFS(FlDate,A93,FlShift,B93,FlCode,"&lt;&gt;",FlOrder,"&lt;"&amp;J93)+COUNTIFS(A$6:A93,A93,B$6:B93,B93,C$6:C93,"&lt;&gt;",J$6:J93,J93)))</f>
        <v/>
      </c>
      <c r="J93" s="28">
        <f>IF(C93="","",IF(D93="","zz","t"&amp;D93))</f>
        <v/>
      </c>
      <c r="K93" s="28">
        <f>IF(OR(A93="",C93=""),"",IF(IFERROR(INDEX(DayStat,A93-DATE(PlanYear,1,1)+1)&amp;"","")&lt;&gt;"",0,1))</f>
        <v/>
      </c>
      <c r="L93" s="28">
        <f>IF(K93="","",K93*IFERROR(VLOOKUP(C93,CodeTable,4,0),0))</f>
        <v/>
      </c>
    </row>
    <row r="94">
      <c r="A94" s="22" t="n">
        <v>46351</v>
      </c>
      <c r="B94" s="23" t="inlineStr">
        <is>
          <t>AM</t>
        </is>
      </c>
      <c r="C94" s="24" t="inlineStr">
        <is>
          <t>PLT-TRG</t>
        </is>
      </c>
      <c r="D94" s="25" t="inlineStr">
        <is>
          <t>0830-1030</t>
        </is>
      </c>
      <c r="E94" s="26" t="n"/>
      <c r="F94" s="26" t="n"/>
      <c r="G94" s="27">
        <f>IF(C94="","",IFERROR(VLOOKUP(C94,CodeTable,3,0),1))</f>
        <v/>
      </c>
      <c r="H94" s="27">
        <f>IF(C94="","",IF(E94&lt;&gt;"",E94,IF(IFERROR(VLOOKUP(C94,CodeTable,5,0)&amp;"","")="","All",VLOOKUP(C94,CodeTable,5,0)&amp;"")))</f>
        <v/>
      </c>
      <c r="I94" s="28">
        <f>IF(OR(A94="",C94=""),"",A94&amp;"|"&amp;B94&amp;"|"&amp;(COUNTIFS(FlDate,A94,FlShift,B94,FlCode,"&lt;&gt;",FlOrder,"&lt;"&amp;J94)+COUNTIFS(A$6:A94,A94,B$6:B94,B94,C$6:C94,"&lt;&gt;",J$6:J94,J94)))</f>
        <v/>
      </c>
      <c r="J94" s="28">
        <f>IF(C94="","",IF(D94="","zz","t"&amp;D94))</f>
        <v/>
      </c>
      <c r="K94" s="28">
        <f>IF(OR(A94="",C94=""),"",IF(IFERROR(INDEX(DayStat,A94-DATE(PlanYear,1,1)+1)&amp;"","")&lt;&gt;"",0,1))</f>
        <v/>
      </c>
      <c r="L94" s="28">
        <f>IF(K94="","",K94*IFERROR(VLOOKUP(C94,CodeTable,4,0),0))</f>
        <v/>
      </c>
    </row>
    <row r="95">
      <c r="A95" s="22" t="n">
        <v>46351</v>
      </c>
      <c r="B95" s="23" t="inlineStr">
        <is>
          <t>PM</t>
        </is>
      </c>
      <c r="C95" s="24" t="inlineStr">
        <is>
          <t>FLT-1.5</t>
        </is>
      </c>
      <c r="D95" s="25" t="inlineStr">
        <is>
          <t>1430-1600</t>
        </is>
      </c>
      <c r="E95" s="26" t="n"/>
      <c r="F95" s="26" t="n"/>
      <c r="G95" s="27">
        <f>IF(C95="","",IFERROR(VLOOKUP(C95,CodeTable,3,0),1))</f>
        <v/>
      </c>
      <c r="H95" s="27">
        <f>IF(C95="","",IF(E95&lt;&gt;"",E95,IF(IFERROR(VLOOKUP(C95,CodeTable,5,0)&amp;"","")="","All",VLOOKUP(C95,CodeTable,5,0)&amp;"")))</f>
        <v/>
      </c>
      <c r="I95" s="28">
        <f>IF(OR(A95="",C95=""),"",A95&amp;"|"&amp;B95&amp;"|"&amp;(COUNTIFS(FlDate,A95,FlShift,B95,FlCode,"&lt;&gt;",FlOrder,"&lt;"&amp;J95)+COUNTIFS(A$6:A95,A95,B$6:B95,B95,C$6:C95,"&lt;&gt;",J$6:J95,J95)))</f>
        <v/>
      </c>
      <c r="J95" s="28">
        <f>IF(C95="","",IF(D95="","zz","t"&amp;D95))</f>
        <v/>
      </c>
      <c r="K95" s="28">
        <f>IF(OR(A95="",C95=""),"",IF(IFERROR(INDEX(DayStat,A95-DATE(PlanYear,1,1)+1)&amp;"","")&lt;&gt;"",0,1))</f>
        <v/>
      </c>
      <c r="L95" s="28">
        <f>IF(K95="","",K95*IFERROR(VLOOKUP(C95,CodeTable,4,0),0))</f>
        <v/>
      </c>
    </row>
    <row r="96">
      <c r="A96" s="22" t="n">
        <v>46352</v>
      </c>
      <c r="B96" s="23" t="inlineStr">
        <is>
          <t>AM</t>
        </is>
      </c>
      <c r="C96" s="24" t="inlineStr">
        <is>
          <t>FLT-2.0</t>
        </is>
      </c>
      <c r="D96" s="25" t="inlineStr">
        <is>
          <t>0830-1030</t>
        </is>
      </c>
      <c r="E96" s="26" t="n"/>
      <c r="F96" s="26" t="n"/>
      <c r="G96" s="27">
        <f>IF(C96="","",IFERROR(VLOOKUP(C96,CodeTable,3,0),1))</f>
        <v/>
      </c>
      <c r="H96" s="27">
        <f>IF(C96="","",IF(E96&lt;&gt;"",E96,IF(IFERROR(VLOOKUP(C96,CodeTable,5,0)&amp;"","")="","All",VLOOKUP(C96,CodeTable,5,0)&amp;"")))</f>
        <v/>
      </c>
      <c r="I96" s="28">
        <f>IF(OR(A96="",C96=""),"",A96&amp;"|"&amp;B96&amp;"|"&amp;(COUNTIFS(FlDate,A96,FlShift,B96,FlCode,"&lt;&gt;",FlOrder,"&lt;"&amp;J96)+COUNTIFS(A$6:A96,A96,B$6:B96,B96,C$6:C96,"&lt;&gt;",J$6:J96,J96)))</f>
        <v/>
      </c>
      <c r="J96" s="28">
        <f>IF(C96="","",IF(D96="","zz","t"&amp;D96))</f>
        <v/>
      </c>
      <c r="K96" s="28">
        <f>IF(OR(A96="",C96=""),"",IF(IFERROR(INDEX(DayStat,A96-DATE(PlanYear,1,1)+1)&amp;"","")&lt;&gt;"",0,1))</f>
        <v/>
      </c>
      <c r="L96" s="28">
        <f>IF(K96="","",K96*IFERROR(VLOOKUP(C96,CodeTable,4,0),0))</f>
        <v/>
      </c>
    </row>
    <row r="97">
      <c r="A97" s="22" t="n">
        <v>46352</v>
      </c>
      <c r="B97" s="23" t="inlineStr">
        <is>
          <t>AM</t>
        </is>
      </c>
      <c r="C97" s="24" t="inlineStr">
        <is>
          <t>FLT-1.5</t>
        </is>
      </c>
      <c r="D97" s="25" t="inlineStr">
        <is>
          <t>1000-1130</t>
        </is>
      </c>
      <c r="E97" s="26" t="n"/>
      <c r="F97" s="26" t="n"/>
      <c r="G97" s="27">
        <f>IF(C97="","",IFERROR(VLOOKUP(C97,CodeTable,3,0),1))</f>
        <v/>
      </c>
      <c r="H97" s="27">
        <f>IF(C97="","",IF(E97&lt;&gt;"",E97,IF(IFERROR(VLOOKUP(C97,CodeTable,5,0)&amp;"","")="","All",VLOOKUP(C97,CodeTable,5,0)&amp;"")))</f>
        <v/>
      </c>
      <c r="I97" s="28">
        <f>IF(OR(A97="",C97=""),"",A97&amp;"|"&amp;B97&amp;"|"&amp;(COUNTIFS(FlDate,A97,FlShift,B97,FlCode,"&lt;&gt;",FlOrder,"&lt;"&amp;J97)+COUNTIFS(A$6:A97,A97,B$6:B97,B97,C$6:C97,"&lt;&gt;",J$6:J97,J97)))</f>
        <v/>
      </c>
      <c r="J97" s="28">
        <f>IF(C97="","",IF(D97="","zz","t"&amp;D97))</f>
        <v/>
      </c>
      <c r="K97" s="28">
        <f>IF(OR(A97="",C97=""),"",IF(IFERROR(INDEX(DayStat,A97-DATE(PlanYear,1,1)+1)&amp;"","")&lt;&gt;"",0,1))</f>
        <v/>
      </c>
      <c r="L97" s="28">
        <f>IF(K97="","",K97*IFERROR(VLOOKUP(C97,CodeTable,4,0),0))</f>
        <v/>
      </c>
    </row>
    <row r="98">
      <c r="A98" s="22" t="n">
        <v>46352</v>
      </c>
      <c r="B98" s="23" t="inlineStr">
        <is>
          <t>NIGHT</t>
        </is>
      </c>
      <c r="C98" s="24" t="inlineStr">
        <is>
          <t>NVG-2.0</t>
        </is>
      </c>
      <c r="D98" s="25" t="inlineStr">
        <is>
          <t>2000-2200</t>
        </is>
      </c>
      <c r="E98" s="26" t="n"/>
      <c r="F98" s="26" t="n"/>
      <c r="G98" s="27">
        <f>IF(C98="","",IFERROR(VLOOKUP(C98,CodeTable,3,0),1))</f>
        <v/>
      </c>
      <c r="H98" s="27">
        <f>IF(C98="","",IF(E98&lt;&gt;"",E98,IF(IFERROR(VLOOKUP(C98,CodeTable,5,0)&amp;"","")="","All",VLOOKUP(C98,CodeTable,5,0)&amp;"")))</f>
        <v/>
      </c>
      <c r="I98" s="28">
        <f>IF(OR(A98="",C98=""),"",A98&amp;"|"&amp;B98&amp;"|"&amp;(COUNTIFS(FlDate,A98,FlShift,B98,FlCode,"&lt;&gt;",FlOrder,"&lt;"&amp;J98)+COUNTIFS(A$6:A98,A98,B$6:B98,B98,C$6:C98,"&lt;&gt;",J$6:J98,J98)))</f>
        <v/>
      </c>
      <c r="J98" s="28">
        <f>IF(C98="","",IF(D98="","zz","t"&amp;D98))</f>
        <v/>
      </c>
      <c r="K98" s="28">
        <f>IF(OR(A98="",C98=""),"",IF(IFERROR(INDEX(DayStat,A98-DATE(PlanYear,1,1)+1)&amp;"","")&lt;&gt;"",0,1))</f>
        <v/>
      </c>
      <c r="L98" s="28">
        <f>IF(K98="","",K98*IFERROR(VLOOKUP(C98,CodeTable,4,0),0))</f>
        <v/>
      </c>
    </row>
    <row r="99">
      <c r="A99" s="22" t="n">
        <v>46353</v>
      </c>
      <c r="B99" s="23" t="inlineStr">
        <is>
          <t>AM</t>
        </is>
      </c>
      <c r="C99" s="24" t="inlineStr">
        <is>
          <t>PLT-TRG</t>
        </is>
      </c>
      <c r="D99" s="25" t="inlineStr">
        <is>
          <t>0830-1030</t>
        </is>
      </c>
      <c r="E99" s="26" t="n"/>
      <c r="F99" s="26" t="n"/>
      <c r="G99" s="27">
        <f>IF(C99="","",IFERROR(VLOOKUP(C99,CodeTable,3,0),1))</f>
        <v/>
      </c>
      <c r="H99" s="27">
        <f>IF(C99="","",IF(E99&lt;&gt;"",E99,IF(IFERROR(VLOOKUP(C99,CodeTable,5,0)&amp;"","")="","All",VLOOKUP(C99,CodeTable,5,0)&amp;"")))</f>
        <v/>
      </c>
      <c r="I99" s="28">
        <f>IF(OR(A99="",C99=""),"",A99&amp;"|"&amp;B99&amp;"|"&amp;(COUNTIFS(FlDate,A99,FlShift,B99,FlCode,"&lt;&gt;",FlOrder,"&lt;"&amp;J99)+COUNTIFS(A$6:A99,A99,B$6:B99,B99,C$6:C99,"&lt;&gt;",J$6:J99,J99)))</f>
        <v/>
      </c>
      <c r="J99" s="28">
        <f>IF(C99="","",IF(D99="","zz","t"&amp;D99))</f>
        <v/>
      </c>
      <c r="K99" s="28">
        <f>IF(OR(A99="",C99=""),"",IF(IFERROR(INDEX(DayStat,A99-DATE(PlanYear,1,1)+1)&amp;"","")&lt;&gt;"",0,1))</f>
        <v/>
      </c>
      <c r="L99" s="28">
        <f>IF(K99="","",K99*IFERROR(VLOOKUP(C99,CodeTable,4,0),0))</f>
        <v/>
      </c>
    </row>
    <row r="100">
      <c r="A100" s="22" t="n">
        <v>46353</v>
      </c>
      <c r="B100" s="23" t="inlineStr">
        <is>
          <t>PM</t>
        </is>
      </c>
      <c r="C100" s="24" t="inlineStr">
        <is>
          <t>MSN-3.0</t>
        </is>
      </c>
      <c r="D100" s="25" t="inlineStr">
        <is>
          <t>1300-1600</t>
        </is>
      </c>
      <c r="E100" s="26" t="n"/>
      <c r="F100" s="26" t="inlineStr">
        <is>
          <t>Long range</t>
        </is>
      </c>
      <c r="G100" s="27">
        <f>IF(C100="","",IFERROR(VLOOKUP(C100,CodeTable,3,0),1))</f>
        <v/>
      </c>
      <c r="H100" s="27">
        <f>IF(C100="","",IF(E100&lt;&gt;"",E100,IF(IFERROR(VLOOKUP(C100,CodeTable,5,0)&amp;"","")="","All",VLOOKUP(C100,CodeTable,5,0)&amp;"")))</f>
        <v/>
      </c>
      <c r="I100" s="28">
        <f>IF(OR(A100="",C100=""),"",A100&amp;"|"&amp;B100&amp;"|"&amp;(COUNTIFS(FlDate,A100,FlShift,B100,FlCode,"&lt;&gt;",FlOrder,"&lt;"&amp;J100)+COUNTIFS(A$6:A100,A100,B$6:B100,B100,C$6:C100,"&lt;&gt;",J$6:J100,J100)))</f>
        <v/>
      </c>
      <c r="J100" s="28">
        <f>IF(C100="","",IF(D100="","zz","t"&amp;D100))</f>
        <v/>
      </c>
      <c r="K100" s="28">
        <f>IF(OR(A100="",C100=""),"",IF(IFERROR(INDEX(DayStat,A100-DATE(PlanYear,1,1)+1)&amp;"","")&lt;&gt;"",0,1))</f>
        <v/>
      </c>
      <c r="L100" s="28">
        <f>IF(K100="","",K100*IFERROR(VLOOKUP(C100,CodeTable,4,0),0))</f>
        <v/>
      </c>
    </row>
    <row r="101">
      <c r="A101" s="22" t="n">
        <v>46356</v>
      </c>
      <c r="B101" s="23" t="inlineStr">
        <is>
          <t>AM</t>
        </is>
      </c>
      <c r="C101" s="24" t="inlineStr">
        <is>
          <t>FLT-2.0</t>
        </is>
      </c>
      <c r="D101" s="25" t="inlineStr">
        <is>
          <t>0830-1030</t>
        </is>
      </c>
      <c r="E101" s="26" t="n"/>
      <c r="F101" s="26" t="n"/>
      <c r="G101" s="27">
        <f>IF(C101="","",IFERROR(VLOOKUP(C101,CodeTable,3,0),1))</f>
        <v/>
      </c>
      <c r="H101" s="27">
        <f>IF(C101="","",IF(E101&lt;&gt;"",E101,IF(IFERROR(VLOOKUP(C101,CodeTable,5,0)&amp;"","")="","All",VLOOKUP(C101,CodeTable,5,0)&amp;"")))</f>
        <v/>
      </c>
      <c r="I101" s="28">
        <f>IF(OR(A101="",C101=""),"",A101&amp;"|"&amp;B101&amp;"|"&amp;(COUNTIFS(FlDate,A101,FlShift,B101,FlCode,"&lt;&gt;",FlOrder,"&lt;"&amp;J101)+COUNTIFS(A$6:A101,A101,B$6:B101,B101,C$6:C101,"&lt;&gt;",J$6:J101,J101)))</f>
        <v/>
      </c>
      <c r="J101" s="28">
        <f>IF(C101="","",IF(D101="","zz","t"&amp;D101))</f>
        <v/>
      </c>
      <c r="K101" s="28">
        <f>IF(OR(A101="",C101=""),"",IF(IFERROR(INDEX(DayStat,A101-DATE(PlanYear,1,1)+1)&amp;"","")&lt;&gt;"",0,1))</f>
        <v/>
      </c>
      <c r="L101" s="28">
        <f>IF(K101="","",K101*IFERROR(VLOOKUP(C101,CodeTable,4,0),0))</f>
        <v/>
      </c>
    </row>
    <row r="102">
      <c r="A102" s="22" t="n">
        <v>46356</v>
      </c>
      <c r="B102" s="23" t="inlineStr">
        <is>
          <t>AM</t>
        </is>
      </c>
      <c r="C102" s="24" t="inlineStr">
        <is>
          <t>FLT-1.5</t>
        </is>
      </c>
      <c r="D102" s="25" t="inlineStr">
        <is>
          <t>1000-1130</t>
        </is>
      </c>
      <c r="E102" s="26" t="n"/>
      <c r="F102" s="26" t="n"/>
      <c r="G102" s="27">
        <f>IF(C102="","",IFERROR(VLOOKUP(C102,CodeTable,3,0),1))</f>
        <v/>
      </c>
      <c r="H102" s="27">
        <f>IF(C102="","",IF(E102&lt;&gt;"",E102,IF(IFERROR(VLOOKUP(C102,CodeTable,5,0)&amp;"","")="","All",VLOOKUP(C102,CodeTable,5,0)&amp;"")))</f>
        <v/>
      </c>
      <c r="I102" s="28">
        <f>IF(OR(A102="",C102=""),"",A102&amp;"|"&amp;B102&amp;"|"&amp;(COUNTIFS(FlDate,A102,FlShift,B102,FlCode,"&lt;&gt;",FlOrder,"&lt;"&amp;J102)+COUNTIFS(A$6:A102,A102,B$6:B102,B102,C$6:C102,"&lt;&gt;",J$6:J102,J102)))</f>
        <v/>
      </c>
      <c r="J102" s="28">
        <f>IF(C102="","",IF(D102="","zz","t"&amp;D102))</f>
        <v/>
      </c>
      <c r="K102" s="28">
        <f>IF(OR(A102="",C102=""),"",IF(IFERROR(INDEX(DayStat,A102-DATE(PlanYear,1,1)+1)&amp;"","")&lt;&gt;"",0,1))</f>
        <v/>
      </c>
      <c r="L102" s="28">
        <f>IF(K102="","",K102*IFERROR(VLOOKUP(C102,CodeTable,4,0),0))</f>
        <v/>
      </c>
    </row>
    <row r="103">
      <c r="A103" s="22" t="n">
        <v>46356</v>
      </c>
      <c r="B103" s="23" t="inlineStr">
        <is>
          <t>PM</t>
        </is>
      </c>
      <c r="C103" s="24" t="inlineStr">
        <is>
          <t>FLT-2.0</t>
        </is>
      </c>
      <c r="D103" s="25" t="inlineStr">
        <is>
          <t>1400-1600</t>
        </is>
      </c>
      <c r="E103" s="26" t="n"/>
      <c r="F103" s="26" t="n"/>
      <c r="G103" s="27">
        <f>IF(C103="","",IFERROR(VLOOKUP(C103,CodeTable,3,0),1))</f>
        <v/>
      </c>
      <c r="H103" s="27">
        <f>IF(C103="","",IF(E103&lt;&gt;"",E103,IF(IFERROR(VLOOKUP(C103,CodeTable,5,0)&amp;"","")="","All",VLOOKUP(C103,CodeTable,5,0)&amp;"")))</f>
        <v/>
      </c>
      <c r="I103" s="28">
        <f>IF(OR(A103="",C103=""),"",A103&amp;"|"&amp;B103&amp;"|"&amp;(COUNTIFS(FlDate,A103,FlShift,B103,FlCode,"&lt;&gt;",FlOrder,"&lt;"&amp;J103)+COUNTIFS(A$6:A103,A103,B$6:B103,B103,C$6:C103,"&lt;&gt;",J$6:J103,J103)))</f>
        <v/>
      </c>
      <c r="J103" s="28">
        <f>IF(C103="","",IF(D103="","zz","t"&amp;D103))</f>
        <v/>
      </c>
      <c r="K103" s="28">
        <f>IF(OR(A103="",C103=""),"",IF(IFERROR(INDEX(DayStat,A103-DATE(PlanYear,1,1)+1)&amp;"","")&lt;&gt;"",0,1))</f>
        <v/>
      </c>
      <c r="L103" s="28">
        <f>IF(K103="","",K103*IFERROR(VLOOKUP(C103,CodeTable,4,0),0))</f>
        <v/>
      </c>
    </row>
    <row r="104">
      <c r="A104" s="22" t="n">
        <v>46350</v>
      </c>
      <c r="B104" s="23" t="inlineStr">
        <is>
          <t>PM</t>
        </is>
      </c>
      <c r="C104" s="24" t="inlineStr">
        <is>
          <t>FLT-2.0</t>
        </is>
      </c>
      <c r="D104" s="25" t="inlineStr">
        <is>
          <t>1500-1700</t>
        </is>
      </c>
      <c r="E104" s="26" t="inlineStr">
        <is>
          <t>P L S2</t>
        </is>
      </c>
      <c r="F104" s="26" t="inlineStr">
        <is>
          <t>VIP familiarisation</t>
        </is>
      </c>
      <c r="G104" s="27">
        <f>IF(C104="","",IFERROR(VLOOKUP(C104,CodeTable,3,0),1))</f>
        <v/>
      </c>
      <c r="H104" s="27">
        <f>IF(C104="","",IF(E104&lt;&gt;"",E104,IF(IFERROR(VLOOKUP(C104,CodeTable,5,0)&amp;"","")="","All",VLOOKUP(C104,CodeTable,5,0)&amp;"")))</f>
        <v/>
      </c>
      <c r="I104" s="28">
        <f>IF(OR(A104="",C104=""),"",A104&amp;"|"&amp;B104&amp;"|"&amp;(COUNTIFS(FlDate,A104,FlShift,B104,FlCode,"&lt;&gt;",FlOrder,"&lt;"&amp;J104)+COUNTIFS(A$6:A104,A104,B$6:B104,B104,C$6:C104,"&lt;&gt;",J$6:J104,J104)))</f>
        <v/>
      </c>
      <c r="J104" s="28">
        <f>IF(C104="","",IF(D104="","zz","t"&amp;D104))</f>
        <v/>
      </c>
      <c r="K104" s="28">
        <f>IF(OR(A104="",C104=""),"",IF(IFERROR(INDEX(DayStat,A104-DATE(PlanYear,1,1)+1)&amp;"","")&lt;&gt;"",0,1))</f>
        <v/>
      </c>
      <c r="L104" s="28">
        <f>IF(K104="","",K104*IFERROR(VLOOKUP(C104,CodeTable,4,0),0))</f>
        <v/>
      </c>
    </row>
    <row r="105">
      <c r="A105" s="22" t="n">
        <v>46324</v>
      </c>
      <c r="B105" s="23" t="inlineStr">
        <is>
          <t>PM</t>
        </is>
      </c>
      <c r="C105" s="24" t="inlineStr">
        <is>
          <t>EIS</t>
        </is>
      </c>
      <c r="D105" s="25" t="inlineStr">
        <is>
          <t>1400-1600</t>
        </is>
      </c>
      <c r="E105" s="26" t="n"/>
      <c r="F105" s="26" t="inlineStr">
        <is>
          <t>EIS training</t>
        </is>
      </c>
      <c r="G105" s="27">
        <f>IF(C105="","",IFERROR(VLOOKUP(C105,CodeTable,3,0),1))</f>
        <v/>
      </c>
      <c r="H105" s="27">
        <f>IF(C105="","",IF(E105&lt;&gt;"",E105,IF(IFERROR(VLOOKUP(C105,CodeTable,5,0)&amp;"","")="","All",VLOOKUP(C105,CodeTable,5,0)&amp;"")))</f>
        <v/>
      </c>
      <c r="I105" s="28">
        <f>IF(OR(A105="",C105=""),"",A105&amp;"|"&amp;B105&amp;"|"&amp;(COUNTIFS(FlDate,A105,FlShift,B105,FlCode,"&lt;&gt;",FlOrder,"&lt;"&amp;J105)+COUNTIFS(A$6:A105,A105,B$6:B105,B105,C$6:C105,"&lt;&gt;",J$6:J105,J105)))</f>
        <v/>
      </c>
      <c r="J105" s="28">
        <f>IF(C105="","",IF(D105="","zz","t"&amp;D105))</f>
        <v/>
      </c>
      <c r="K105" s="28">
        <f>IF(OR(A105="",C105=""),"",IF(IFERROR(INDEX(DayStat,A105-DATE(PlanYear,1,1)+1)&amp;"","")&lt;&gt;"",0,1))</f>
        <v/>
      </c>
      <c r="L105" s="28">
        <f>IF(K105="","",K105*IFERROR(VLOOKUP(C105,CodeTable,4,0),0))</f>
        <v/>
      </c>
    </row>
    <row r="106">
      <c r="A106" s="22" t="n">
        <v>46329</v>
      </c>
      <c r="B106" s="23" t="inlineStr">
        <is>
          <t>PM</t>
        </is>
      </c>
      <c r="C106" s="24" t="inlineStr">
        <is>
          <t>MAS TRG</t>
        </is>
      </c>
      <c r="D106" s="25" t="inlineStr">
        <is>
          <t>1300-1600</t>
        </is>
      </c>
      <c r="E106" s="26" t="n"/>
      <c r="F106" s="26" t="inlineStr">
        <is>
          <t>MAS tactical training</t>
        </is>
      </c>
      <c r="G106" s="27">
        <f>IF(C106="","",IFERROR(VLOOKUP(C106,CodeTable,3,0),1))</f>
        <v/>
      </c>
      <c r="H106" s="27">
        <f>IF(C106="","",IF(E106&lt;&gt;"",E106,IF(IFERROR(VLOOKUP(C106,CodeTable,5,0)&amp;"","")="","All",VLOOKUP(C106,CodeTable,5,0)&amp;"")))</f>
        <v/>
      </c>
      <c r="I106" s="28">
        <f>IF(OR(A106="",C106=""),"",A106&amp;"|"&amp;B106&amp;"|"&amp;(COUNTIFS(FlDate,A106,FlShift,B106,FlCode,"&lt;&gt;",FlOrder,"&lt;"&amp;J106)+COUNTIFS(A$6:A106,A106,B$6:B106,B106,C$6:C106,"&lt;&gt;",J$6:J106,J106)))</f>
        <v/>
      </c>
      <c r="J106" s="28">
        <f>IF(C106="","",IF(D106="","zz","t"&amp;D106))</f>
        <v/>
      </c>
      <c r="K106" s="28">
        <f>IF(OR(A106="",C106=""),"",IF(IFERROR(INDEX(DayStat,A106-DATE(PlanYear,1,1)+1)&amp;"","")&lt;&gt;"",0,1))</f>
        <v/>
      </c>
      <c r="L106" s="28">
        <f>IF(K106="","",K106*IFERROR(VLOOKUP(C106,CodeTable,4,0),0))</f>
        <v/>
      </c>
    </row>
    <row r="107">
      <c r="A107" s="22" t="n">
        <v>46391</v>
      </c>
      <c r="B107" s="23" t="inlineStr">
        <is>
          <t>AM</t>
        </is>
      </c>
      <c r="C107" s="24" t="inlineStr">
        <is>
          <t>FLT-2.0</t>
        </is>
      </c>
      <c r="D107" s="25" t="inlineStr">
        <is>
          <t>0830-1030</t>
        </is>
      </c>
      <c r="E107" s="26" t="n"/>
      <c r="F107" s="26" t="inlineStr">
        <is>
          <t>First flight of the new year</t>
        </is>
      </c>
      <c r="G107" s="27">
        <f>IF(C107="","",IFERROR(VLOOKUP(C107,CodeTable,3,0),1))</f>
        <v/>
      </c>
      <c r="H107" s="27">
        <f>IF(C107="","",IF(E107&lt;&gt;"",E107,IF(IFERROR(VLOOKUP(C107,CodeTable,5,0)&amp;"","")="","All",VLOOKUP(C107,CodeTable,5,0)&amp;"")))</f>
        <v/>
      </c>
      <c r="I107" s="28">
        <f>IF(OR(A107="",C107=""),"",A107&amp;"|"&amp;B107&amp;"|"&amp;(COUNTIFS(FlDate,A107,FlShift,B107,FlCode,"&lt;&gt;",FlOrder,"&lt;"&amp;J107)+COUNTIFS(A$6:A107,A107,B$6:B107,B107,C$6:C107,"&lt;&gt;",J$6:J107,J107)))</f>
        <v/>
      </c>
      <c r="J107" s="28">
        <f>IF(C107="","",IF(D107="","zz","t"&amp;D107))</f>
        <v/>
      </c>
      <c r="K107" s="28">
        <f>IF(OR(A107="",C107=""),"",IF(IFERROR(INDEX(DayStat,A107-DATE(PlanYear,1,1)+1)&amp;"","")&lt;&gt;"",0,1))</f>
        <v/>
      </c>
      <c r="L107" s="28">
        <f>IF(K107="","",K107*IFERROR(VLOOKUP(C107,CodeTable,4,0),0))</f>
        <v/>
      </c>
    </row>
    <row r="108">
      <c r="A108" s="22" t="n">
        <v>46392</v>
      </c>
      <c r="B108" s="23" t="inlineStr">
        <is>
          <t>PM</t>
        </is>
      </c>
      <c r="C108" s="24" t="inlineStr">
        <is>
          <t>MSN-3.0</t>
        </is>
      </c>
      <c r="D108" s="25" t="inlineStr">
        <is>
          <t>1300-1600</t>
        </is>
      </c>
      <c r="E108" s="26" t="n"/>
      <c r="F108" s="26" t="inlineStr">
        <is>
          <t>Long range</t>
        </is>
      </c>
      <c r="G108" s="27">
        <f>IF(C108="","",IFERROR(VLOOKUP(C108,CodeTable,3,0),1))</f>
        <v/>
      </c>
      <c r="H108" s="27">
        <f>IF(C108="","",IF(E108&lt;&gt;"",E108,IF(IFERROR(VLOOKUP(C108,CodeTable,5,0)&amp;"","")="","All",VLOOKUP(C108,CodeTable,5,0)&amp;"")))</f>
        <v/>
      </c>
      <c r="I108" s="28">
        <f>IF(OR(A108="",C108=""),"",A108&amp;"|"&amp;B108&amp;"|"&amp;(COUNTIFS(FlDate,A108,FlShift,B108,FlCode,"&lt;&gt;",FlOrder,"&lt;"&amp;J108)+COUNTIFS(A$6:A108,A108,B$6:B108,B108,C$6:C108,"&lt;&gt;",J$6:J108,J108)))</f>
        <v/>
      </c>
      <c r="J108" s="28">
        <f>IF(C108="","",IF(D108="","zz","t"&amp;D108))</f>
        <v/>
      </c>
      <c r="K108" s="28">
        <f>IF(OR(A108="",C108=""),"",IF(IFERROR(INDEX(DayStat,A108-DATE(PlanYear,1,1)+1)&amp;"","")&lt;&gt;"",0,1))</f>
        <v/>
      </c>
      <c r="L108" s="28">
        <f>IF(K108="","",K108*IFERROR(VLOOKUP(C108,CodeTable,4,0),0))</f>
        <v/>
      </c>
    </row>
    <row r="109">
      <c r="A109" s="22" t="n"/>
      <c r="B109" s="23" t="n"/>
      <c r="C109" s="24" t="n"/>
      <c r="D109" s="25" t="n"/>
      <c r="E109" s="26" t="n"/>
      <c r="F109" s="26" t="n"/>
      <c r="G109" s="27">
        <f>IF(C109="","",IFERROR(VLOOKUP(C109,CodeTable,3,0),1))</f>
        <v/>
      </c>
      <c r="H109" s="27">
        <f>IF(C109="","",IF(E109&lt;&gt;"",E109,IF(IFERROR(VLOOKUP(C109,CodeTable,5,0)&amp;"","")="","All",VLOOKUP(C109,CodeTable,5,0)&amp;"")))</f>
        <v/>
      </c>
      <c r="I109" s="28">
        <f>IF(OR(A109="",C109=""),"",A109&amp;"|"&amp;B109&amp;"|"&amp;(COUNTIFS(FlDate,A109,FlShift,B109,FlCode,"&lt;&gt;",FlOrder,"&lt;"&amp;J109)+COUNTIFS(A$6:A109,A109,B$6:B109,B109,C$6:C109,"&lt;&gt;",J$6:J109,J109)))</f>
        <v/>
      </c>
      <c r="J109" s="28">
        <f>IF(C109="","",IF(D109="","zz","t"&amp;D109))</f>
        <v/>
      </c>
      <c r="K109" s="28">
        <f>IF(OR(A109="",C109=""),"",IF(IFERROR(INDEX(DayStat,A109-DATE(PlanYear,1,1)+1)&amp;"","")&lt;&gt;"",0,1))</f>
        <v/>
      </c>
      <c r="L109" s="28">
        <f>IF(K109="","",K109*IFERROR(VLOOKUP(C109,CodeTable,4,0),0))</f>
        <v/>
      </c>
    </row>
    <row r="110">
      <c r="A110" s="22" t="n"/>
      <c r="B110" s="23" t="n"/>
      <c r="C110" s="24" t="n"/>
      <c r="D110" s="25" t="n"/>
      <c r="E110" s="26" t="n"/>
      <c r="F110" s="26" t="n"/>
      <c r="G110" s="27">
        <f>IF(C110="","",IFERROR(VLOOKUP(C110,CodeTable,3,0),1))</f>
        <v/>
      </c>
      <c r="H110" s="27">
        <f>IF(C110="","",IF(E110&lt;&gt;"",E110,IF(IFERROR(VLOOKUP(C110,CodeTable,5,0)&amp;"","")="","All",VLOOKUP(C110,CodeTable,5,0)&amp;"")))</f>
        <v/>
      </c>
      <c r="I110" s="28">
        <f>IF(OR(A110="",C110=""),"",A110&amp;"|"&amp;B110&amp;"|"&amp;(COUNTIFS(FlDate,A110,FlShift,B110,FlCode,"&lt;&gt;",FlOrder,"&lt;"&amp;J110)+COUNTIFS(A$6:A110,A110,B$6:B110,B110,C$6:C110,"&lt;&gt;",J$6:J110,J110)))</f>
        <v/>
      </c>
      <c r="J110" s="28">
        <f>IF(C110="","",IF(D110="","zz","t"&amp;D110))</f>
        <v/>
      </c>
      <c r="K110" s="28">
        <f>IF(OR(A110="",C110=""),"",IF(IFERROR(INDEX(DayStat,A110-DATE(PlanYear,1,1)+1)&amp;"","")&lt;&gt;"",0,1))</f>
        <v/>
      </c>
      <c r="L110" s="28">
        <f>IF(K110="","",K110*IFERROR(VLOOKUP(C110,CodeTable,4,0),0))</f>
        <v/>
      </c>
    </row>
    <row r="111">
      <c r="A111" s="22" t="n"/>
      <c r="B111" s="23" t="n"/>
      <c r="C111" s="24" t="n"/>
      <c r="D111" s="25" t="n"/>
      <c r="E111" s="26" t="n"/>
      <c r="F111" s="26" t="n"/>
      <c r="G111" s="27">
        <f>IF(C111="","",IFERROR(VLOOKUP(C111,CodeTable,3,0),1))</f>
        <v/>
      </c>
      <c r="H111" s="27">
        <f>IF(C111="","",IF(E111&lt;&gt;"",E111,IF(IFERROR(VLOOKUP(C111,CodeTable,5,0)&amp;"","")="","All",VLOOKUP(C111,CodeTable,5,0)&amp;"")))</f>
        <v/>
      </c>
      <c r="I111" s="28">
        <f>IF(OR(A111="",C111=""),"",A111&amp;"|"&amp;B111&amp;"|"&amp;(COUNTIFS(FlDate,A111,FlShift,B111,FlCode,"&lt;&gt;",FlOrder,"&lt;"&amp;J111)+COUNTIFS(A$6:A111,A111,B$6:B111,B111,C$6:C111,"&lt;&gt;",J$6:J111,J111)))</f>
        <v/>
      </c>
      <c r="J111" s="28">
        <f>IF(C111="","",IF(D111="","zz","t"&amp;D111))</f>
        <v/>
      </c>
      <c r="K111" s="28">
        <f>IF(OR(A111="",C111=""),"",IF(IFERROR(INDEX(DayStat,A111-DATE(PlanYear,1,1)+1)&amp;"","")&lt;&gt;"",0,1))</f>
        <v/>
      </c>
      <c r="L111" s="28">
        <f>IF(K111="","",K111*IFERROR(VLOOKUP(C111,CodeTable,4,0),0))</f>
        <v/>
      </c>
    </row>
    <row r="112">
      <c r="A112" s="22" t="n"/>
      <c r="B112" s="23" t="n"/>
      <c r="C112" s="24" t="n"/>
      <c r="D112" s="25" t="n"/>
      <c r="E112" s="26" t="n"/>
      <c r="F112" s="26" t="n"/>
      <c r="G112" s="27">
        <f>IF(C112="","",IFERROR(VLOOKUP(C112,CodeTable,3,0),1))</f>
        <v/>
      </c>
      <c r="H112" s="27">
        <f>IF(C112="","",IF(E112&lt;&gt;"",E112,IF(IFERROR(VLOOKUP(C112,CodeTable,5,0)&amp;"","")="","All",VLOOKUP(C112,CodeTable,5,0)&amp;"")))</f>
        <v/>
      </c>
      <c r="I112" s="28">
        <f>IF(OR(A112="",C112=""),"",A112&amp;"|"&amp;B112&amp;"|"&amp;(COUNTIFS(FlDate,A112,FlShift,B112,FlCode,"&lt;&gt;",FlOrder,"&lt;"&amp;J112)+COUNTIFS(A$6:A112,A112,B$6:B112,B112,C$6:C112,"&lt;&gt;",J$6:J112,J112)))</f>
        <v/>
      </c>
      <c r="J112" s="28">
        <f>IF(C112="","",IF(D112="","zz","t"&amp;D112))</f>
        <v/>
      </c>
      <c r="K112" s="28">
        <f>IF(OR(A112="",C112=""),"",IF(IFERROR(INDEX(DayStat,A112-DATE(PlanYear,1,1)+1)&amp;"","")&lt;&gt;"",0,1))</f>
        <v/>
      </c>
      <c r="L112" s="28">
        <f>IF(K112="","",K112*IFERROR(VLOOKUP(C112,CodeTable,4,0),0))</f>
        <v/>
      </c>
    </row>
    <row r="113">
      <c r="A113" s="22" t="n"/>
      <c r="B113" s="23" t="n"/>
      <c r="C113" s="24" t="n"/>
      <c r="D113" s="25" t="n"/>
      <c r="E113" s="26" t="n"/>
      <c r="F113" s="26" t="n"/>
      <c r="G113" s="27">
        <f>IF(C113="","",IFERROR(VLOOKUP(C113,CodeTable,3,0),1))</f>
        <v/>
      </c>
      <c r="H113" s="27">
        <f>IF(C113="","",IF(E113&lt;&gt;"",E113,IF(IFERROR(VLOOKUP(C113,CodeTable,5,0)&amp;"","")="","All",VLOOKUP(C113,CodeTable,5,0)&amp;"")))</f>
        <v/>
      </c>
      <c r="I113" s="28">
        <f>IF(OR(A113="",C113=""),"",A113&amp;"|"&amp;B113&amp;"|"&amp;(COUNTIFS(FlDate,A113,FlShift,B113,FlCode,"&lt;&gt;",FlOrder,"&lt;"&amp;J113)+COUNTIFS(A$6:A113,A113,B$6:B113,B113,C$6:C113,"&lt;&gt;",J$6:J113,J113)))</f>
        <v/>
      </c>
      <c r="J113" s="28">
        <f>IF(C113="","",IF(D113="","zz","t"&amp;D113))</f>
        <v/>
      </c>
      <c r="K113" s="28">
        <f>IF(OR(A113="",C113=""),"",IF(IFERROR(INDEX(DayStat,A113-DATE(PlanYear,1,1)+1)&amp;"","")&lt;&gt;"",0,1))</f>
        <v/>
      </c>
      <c r="L113" s="28">
        <f>IF(K113="","",K113*IFERROR(VLOOKUP(C113,CodeTable,4,0),0))</f>
        <v/>
      </c>
    </row>
    <row r="114">
      <c r="A114" s="22" t="n"/>
      <c r="B114" s="23" t="n"/>
      <c r="C114" s="24" t="n"/>
      <c r="D114" s="25" t="n"/>
      <c r="E114" s="26" t="n"/>
      <c r="F114" s="26" t="n"/>
      <c r="G114" s="27">
        <f>IF(C114="","",IFERROR(VLOOKUP(C114,CodeTable,3,0),1))</f>
        <v/>
      </c>
      <c r="H114" s="27">
        <f>IF(C114="","",IF(E114&lt;&gt;"",E114,IF(IFERROR(VLOOKUP(C114,CodeTable,5,0)&amp;"","")="","All",VLOOKUP(C114,CodeTable,5,0)&amp;"")))</f>
        <v/>
      </c>
      <c r="I114" s="28">
        <f>IF(OR(A114="",C114=""),"",A114&amp;"|"&amp;B114&amp;"|"&amp;(COUNTIFS(FlDate,A114,FlShift,B114,FlCode,"&lt;&gt;",FlOrder,"&lt;"&amp;J114)+COUNTIFS(A$6:A114,A114,B$6:B114,B114,C$6:C114,"&lt;&gt;",J$6:J114,J114)))</f>
        <v/>
      </c>
      <c r="J114" s="28">
        <f>IF(C114="","",IF(D114="","zz","t"&amp;D114))</f>
        <v/>
      </c>
      <c r="K114" s="28">
        <f>IF(OR(A114="",C114=""),"",IF(IFERROR(INDEX(DayStat,A114-DATE(PlanYear,1,1)+1)&amp;"","")&lt;&gt;"",0,1))</f>
        <v/>
      </c>
      <c r="L114" s="28">
        <f>IF(K114="","",K114*IFERROR(VLOOKUP(C114,CodeTable,4,0),0))</f>
        <v/>
      </c>
    </row>
    <row r="115">
      <c r="A115" s="22" t="n"/>
      <c r="B115" s="23" t="n"/>
      <c r="C115" s="24" t="n"/>
      <c r="D115" s="25" t="n"/>
      <c r="E115" s="26" t="n"/>
      <c r="F115" s="26" t="n"/>
      <c r="G115" s="27">
        <f>IF(C115="","",IFERROR(VLOOKUP(C115,CodeTable,3,0),1))</f>
        <v/>
      </c>
      <c r="H115" s="27">
        <f>IF(C115="","",IF(E115&lt;&gt;"",E115,IF(IFERROR(VLOOKUP(C115,CodeTable,5,0)&amp;"","")="","All",VLOOKUP(C115,CodeTable,5,0)&amp;"")))</f>
        <v/>
      </c>
      <c r="I115" s="28">
        <f>IF(OR(A115="",C115=""),"",A115&amp;"|"&amp;B115&amp;"|"&amp;(COUNTIFS(FlDate,A115,FlShift,B115,FlCode,"&lt;&gt;",FlOrder,"&lt;"&amp;J115)+COUNTIFS(A$6:A115,A115,B$6:B115,B115,C$6:C115,"&lt;&gt;",J$6:J115,J115)))</f>
        <v/>
      </c>
      <c r="J115" s="28">
        <f>IF(C115="","",IF(D115="","zz","t"&amp;D115))</f>
        <v/>
      </c>
      <c r="K115" s="28">
        <f>IF(OR(A115="",C115=""),"",IF(IFERROR(INDEX(DayStat,A115-DATE(PlanYear,1,1)+1)&amp;"","")&lt;&gt;"",0,1))</f>
        <v/>
      </c>
      <c r="L115" s="28">
        <f>IF(K115="","",K115*IFERROR(VLOOKUP(C115,CodeTable,4,0),0))</f>
        <v/>
      </c>
    </row>
    <row r="116">
      <c r="A116" s="22" t="n"/>
      <c r="B116" s="23" t="n"/>
      <c r="C116" s="24" t="n"/>
      <c r="D116" s="25" t="n"/>
      <c r="E116" s="26" t="n"/>
      <c r="F116" s="26" t="n"/>
      <c r="G116" s="27">
        <f>IF(C116="","",IFERROR(VLOOKUP(C116,CodeTable,3,0),1))</f>
        <v/>
      </c>
      <c r="H116" s="27">
        <f>IF(C116="","",IF(E116&lt;&gt;"",E116,IF(IFERROR(VLOOKUP(C116,CodeTable,5,0)&amp;"","")="","All",VLOOKUP(C116,CodeTable,5,0)&amp;"")))</f>
        <v/>
      </c>
      <c r="I116" s="28">
        <f>IF(OR(A116="",C116=""),"",A116&amp;"|"&amp;B116&amp;"|"&amp;(COUNTIFS(FlDate,A116,FlShift,B116,FlCode,"&lt;&gt;",FlOrder,"&lt;"&amp;J116)+COUNTIFS(A$6:A116,A116,B$6:B116,B116,C$6:C116,"&lt;&gt;",J$6:J116,J116)))</f>
        <v/>
      </c>
      <c r="J116" s="28">
        <f>IF(C116="","",IF(D116="","zz","t"&amp;D116))</f>
        <v/>
      </c>
      <c r="K116" s="28">
        <f>IF(OR(A116="",C116=""),"",IF(IFERROR(INDEX(DayStat,A116-DATE(PlanYear,1,1)+1)&amp;"","")&lt;&gt;"",0,1))</f>
        <v/>
      </c>
      <c r="L116" s="28">
        <f>IF(K116="","",K116*IFERROR(VLOOKUP(C116,CodeTable,4,0),0))</f>
        <v/>
      </c>
    </row>
    <row r="117">
      <c r="A117" s="22" t="n"/>
      <c r="B117" s="23" t="n"/>
      <c r="C117" s="24" t="n"/>
      <c r="D117" s="25" t="n"/>
      <c r="E117" s="26" t="n"/>
      <c r="F117" s="26" t="n"/>
      <c r="G117" s="27">
        <f>IF(C117="","",IFERROR(VLOOKUP(C117,CodeTable,3,0),1))</f>
        <v/>
      </c>
      <c r="H117" s="27">
        <f>IF(C117="","",IF(E117&lt;&gt;"",E117,IF(IFERROR(VLOOKUP(C117,CodeTable,5,0)&amp;"","")="","All",VLOOKUP(C117,CodeTable,5,0)&amp;"")))</f>
        <v/>
      </c>
      <c r="I117" s="28">
        <f>IF(OR(A117="",C117=""),"",A117&amp;"|"&amp;B117&amp;"|"&amp;(COUNTIFS(FlDate,A117,FlShift,B117,FlCode,"&lt;&gt;",FlOrder,"&lt;"&amp;J117)+COUNTIFS(A$6:A117,A117,B$6:B117,B117,C$6:C117,"&lt;&gt;",J$6:J117,J117)))</f>
        <v/>
      </c>
      <c r="J117" s="28">
        <f>IF(C117="","",IF(D117="","zz","t"&amp;D117))</f>
        <v/>
      </c>
      <c r="K117" s="28">
        <f>IF(OR(A117="",C117=""),"",IF(IFERROR(INDEX(DayStat,A117-DATE(PlanYear,1,1)+1)&amp;"","")&lt;&gt;"",0,1))</f>
        <v/>
      </c>
      <c r="L117" s="28">
        <f>IF(K117="","",K117*IFERROR(VLOOKUP(C117,CodeTable,4,0),0))</f>
        <v/>
      </c>
    </row>
    <row r="118">
      <c r="A118" s="22" t="n"/>
      <c r="B118" s="23" t="n"/>
      <c r="C118" s="24" t="n"/>
      <c r="D118" s="25" t="n"/>
      <c r="E118" s="26" t="n"/>
      <c r="F118" s="26" t="n"/>
      <c r="G118" s="27">
        <f>IF(C118="","",IFERROR(VLOOKUP(C118,CodeTable,3,0),1))</f>
        <v/>
      </c>
      <c r="H118" s="27">
        <f>IF(C118="","",IF(E118&lt;&gt;"",E118,IF(IFERROR(VLOOKUP(C118,CodeTable,5,0)&amp;"","")="","All",VLOOKUP(C118,CodeTable,5,0)&amp;"")))</f>
        <v/>
      </c>
      <c r="I118" s="28">
        <f>IF(OR(A118="",C118=""),"",A118&amp;"|"&amp;B118&amp;"|"&amp;(COUNTIFS(FlDate,A118,FlShift,B118,FlCode,"&lt;&gt;",FlOrder,"&lt;"&amp;J118)+COUNTIFS(A$6:A118,A118,B$6:B118,B118,C$6:C118,"&lt;&gt;",J$6:J118,J118)))</f>
        <v/>
      </c>
      <c r="J118" s="28">
        <f>IF(C118="","",IF(D118="","zz","t"&amp;D118))</f>
        <v/>
      </c>
      <c r="K118" s="28">
        <f>IF(OR(A118="",C118=""),"",IF(IFERROR(INDEX(DayStat,A118-DATE(PlanYear,1,1)+1)&amp;"","")&lt;&gt;"",0,1))</f>
        <v/>
      </c>
      <c r="L118" s="28">
        <f>IF(K118="","",K118*IFERROR(VLOOKUP(C118,CodeTable,4,0),0))</f>
        <v/>
      </c>
    </row>
    <row r="119">
      <c r="A119" s="22" t="n"/>
      <c r="B119" s="23" t="n"/>
      <c r="C119" s="24" t="n"/>
      <c r="D119" s="25" t="n"/>
      <c r="E119" s="26" t="n"/>
      <c r="F119" s="26" t="n"/>
      <c r="G119" s="27">
        <f>IF(C119="","",IFERROR(VLOOKUP(C119,CodeTable,3,0),1))</f>
        <v/>
      </c>
      <c r="H119" s="27">
        <f>IF(C119="","",IF(E119&lt;&gt;"",E119,IF(IFERROR(VLOOKUP(C119,CodeTable,5,0)&amp;"","")="","All",VLOOKUP(C119,CodeTable,5,0)&amp;"")))</f>
        <v/>
      </c>
      <c r="I119" s="28">
        <f>IF(OR(A119="",C119=""),"",A119&amp;"|"&amp;B119&amp;"|"&amp;(COUNTIFS(FlDate,A119,FlShift,B119,FlCode,"&lt;&gt;",FlOrder,"&lt;"&amp;J119)+COUNTIFS(A$6:A119,A119,B$6:B119,B119,C$6:C119,"&lt;&gt;",J$6:J119,J119)))</f>
        <v/>
      </c>
      <c r="J119" s="28">
        <f>IF(C119="","",IF(D119="","zz","t"&amp;D119))</f>
        <v/>
      </c>
      <c r="K119" s="28">
        <f>IF(OR(A119="",C119=""),"",IF(IFERROR(INDEX(DayStat,A119-DATE(PlanYear,1,1)+1)&amp;"","")&lt;&gt;"",0,1))</f>
        <v/>
      </c>
      <c r="L119" s="28">
        <f>IF(K119="","",K119*IFERROR(VLOOKUP(C119,CodeTable,4,0),0))</f>
        <v/>
      </c>
    </row>
    <row r="120">
      <c r="A120" s="22" t="n"/>
      <c r="B120" s="23" t="n"/>
      <c r="C120" s="24" t="n"/>
      <c r="D120" s="25" t="n"/>
      <c r="E120" s="26" t="n"/>
      <c r="F120" s="26" t="n"/>
      <c r="G120" s="27">
        <f>IF(C120="","",IFERROR(VLOOKUP(C120,CodeTable,3,0),1))</f>
        <v/>
      </c>
      <c r="H120" s="27">
        <f>IF(C120="","",IF(E120&lt;&gt;"",E120,IF(IFERROR(VLOOKUP(C120,CodeTable,5,0)&amp;"","")="","All",VLOOKUP(C120,CodeTable,5,0)&amp;"")))</f>
        <v/>
      </c>
      <c r="I120" s="28">
        <f>IF(OR(A120="",C120=""),"",A120&amp;"|"&amp;B120&amp;"|"&amp;(COUNTIFS(FlDate,A120,FlShift,B120,FlCode,"&lt;&gt;",FlOrder,"&lt;"&amp;J120)+COUNTIFS(A$6:A120,A120,B$6:B120,B120,C$6:C120,"&lt;&gt;",J$6:J120,J120)))</f>
        <v/>
      </c>
      <c r="J120" s="28">
        <f>IF(C120="","",IF(D120="","zz","t"&amp;D120))</f>
        <v/>
      </c>
      <c r="K120" s="28">
        <f>IF(OR(A120="",C120=""),"",IF(IFERROR(INDEX(DayStat,A120-DATE(PlanYear,1,1)+1)&amp;"","")&lt;&gt;"",0,1))</f>
        <v/>
      </c>
      <c r="L120" s="28">
        <f>IF(K120="","",K120*IFERROR(VLOOKUP(C120,CodeTable,4,0),0))</f>
        <v/>
      </c>
    </row>
    <row r="121">
      <c r="A121" s="22" t="n"/>
      <c r="B121" s="23" t="n"/>
      <c r="C121" s="24" t="n"/>
      <c r="D121" s="25" t="n"/>
      <c r="E121" s="26" t="n"/>
      <c r="F121" s="26" t="n"/>
      <c r="G121" s="27">
        <f>IF(C121="","",IFERROR(VLOOKUP(C121,CodeTable,3,0),1))</f>
        <v/>
      </c>
      <c r="H121" s="27">
        <f>IF(C121="","",IF(E121&lt;&gt;"",E121,IF(IFERROR(VLOOKUP(C121,CodeTable,5,0)&amp;"","")="","All",VLOOKUP(C121,CodeTable,5,0)&amp;"")))</f>
        <v/>
      </c>
      <c r="I121" s="28">
        <f>IF(OR(A121="",C121=""),"",A121&amp;"|"&amp;B121&amp;"|"&amp;(COUNTIFS(FlDate,A121,FlShift,B121,FlCode,"&lt;&gt;",FlOrder,"&lt;"&amp;J121)+COUNTIFS(A$6:A121,A121,B$6:B121,B121,C$6:C121,"&lt;&gt;",J$6:J121,J121)))</f>
        <v/>
      </c>
      <c r="J121" s="28">
        <f>IF(C121="","",IF(D121="","zz","t"&amp;D121))</f>
        <v/>
      </c>
      <c r="K121" s="28">
        <f>IF(OR(A121="",C121=""),"",IF(IFERROR(INDEX(DayStat,A121-DATE(PlanYear,1,1)+1)&amp;"","")&lt;&gt;"",0,1))</f>
        <v/>
      </c>
      <c r="L121" s="28">
        <f>IF(K121="","",K121*IFERROR(VLOOKUP(C121,CodeTable,4,0),0))</f>
        <v/>
      </c>
    </row>
    <row r="122">
      <c r="A122" s="22" t="n"/>
      <c r="B122" s="23" t="n"/>
      <c r="C122" s="24" t="n"/>
      <c r="D122" s="25" t="n"/>
      <c r="E122" s="26" t="n"/>
      <c r="F122" s="26" t="n"/>
      <c r="G122" s="27">
        <f>IF(C122="","",IFERROR(VLOOKUP(C122,CodeTable,3,0),1))</f>
        <v/>
      </c>
      <c r="H122" s="27">
        <f>IF(C122="","",IF(E122&lt;&gt;"",E122,IF(IFERROR(VLOOKUP(C122,CodeTable,5,0)&amp;"","")="","All",VLOOKUP(C122,CodeTable,5,0)&amp;"")))</f>
        <v/>
      </c>
      <c r="I122" s="28">
        <f>IF(OR(A122="",C122=""),"",A122&amp;"|"&amp;B122&amp;"|"&amp;(COUNTIFS(FlDate,A122,FlShift,B122,FlCode,"&lt;&gt;",FlOrder,"&lt;"&amp;J122)+COUNTIFS(A$6:A122,A122,B$6:B122,B122,C$6:C122,"&lt;&gt;",J$6:J122,J122)))</f>
        <v/>
      </c>
      <c r="J122" s="28">
        <f>IF(C122="","",IF(D122="","zz","t"&amp;D122))</f>
        <v/>
      </c>
      <c r="K122" s="28">
        <f>IF(OR(A122="",C122=""),"",IF(IFERROR(INDEX(DayStat,A122-DATE(PlanYear,1,1)+1)&amp;"","")&lt;&gt;"",0,1))</f>
        <v/>
      </c>
      <c r="L122" s="28">
        <f>IF(K122="","",K122*IFERROR(VLOOKUP(C122,CodeTable,4,0),0))</f>
        <v/>
      </c>
    </row>
    <row r="123">
      <c r="A123" s="22" t="n"/>
      <c r="B123" s="23" t="n"/>
      <c r="C123" s="24" t="n"/>
      <c r="D123" s="25" t="n"/>
      <c r="E123" s="26" t="n"/>
      <c r="F123" s="26" t="n"/>
      <c r="G123" s="27">
        <f>IF(C123="","",IFERROR(VLOOKUP(C123,CodeTable,3,0),1))</f>
        <v/>
      </c>
      <c r="H123" s="27">
        <f>IF(C123="","",IF(E123&lt;&gt;"",E123,IF(IFERROR(VLOOKUP(C123,CodeTable,5,0)&amp;"","")="","All",VLOOKUP(C123,CodeTable,5,0)&amp;"")))</f>
        <v/>
      </c>
      <c r="I123" s="28">
        <f>IF(OR(A123="",C123=""),"",A123&amp;"|"&amp;B123&amp;"|"&amp;(COUNTIFS(FlDate,A123,FlShift,B123,FlCode,"&lt;&gt;",FlOrder,"&lt;"&amp;J123)+COUNTIFS(A$6:A123,A123,B$6:B123,B123,C$6:C123,"&lt;&gt;",J$6:J123,J123)))</f>
        <v/>
      </c>
      <c r="J123" s="28">
        <f>IF(C123="","",IF(D123="","zz","t"&amp;D123))</f>
        <v/>
      </c>
      <c r="K123" s="28">
        <f>IF(OR(A123="",C123=""),"",IF(IFERROR(INDEX(DayStat,A123-DATE(PlanYear,1,1)+1)&amp;"","")&lt;&gt;"",0,1))</f>
        <v/>
      </c>
      <c r="L123" s="28">
        <f>IF(K123="","",K123*IFERROR(VLOOKUP(C123,CodeTable,4,0),0))</f>
        <v/>
      </c>
    </row>
    <row r="124">
      <c r="A124" s="22" t="n"/>
      <c r="B124" s="23" t="n"/>
      <c r="C124" s="24" t="n"/>
      <c r="D124" s="25" t="n"/>
      <c r="E124" s="26" t="n"/>
      <c r="F124" s="26" t="n"/>
      <c r="G124" s="27">
        <f>IF(C124="","",IFERROR(VLOOKUP(C124,CodeTable,3,0),1))</f>
        <v/>
      </c>
      <c r="H124" s="27">
        <f>IF(C124="","",IF(E124&lt;&gt;"",E124,IF(IFERROR(VLOOKUP(C124,CodeTable,5,0)&amp;"","")="","All",VLOOKUP(C124,CodeTable,5,0)&amp;"")))</f>
        <v/>
      </c>
      <c r="I124" s="28">
        <f>IF(OR(A124="",C124=""),"",A124&amp;"|"&amp;B124&amp;"|"&amp;(COUNTIFS(FlDate,A124,FlShift,B124,FlCode,"&lt;&gt;",FlOrder,"&lt;"&amp;J124)+COUNTIFS(A$6:A124,A124,B$6:B124,B124,C$6:C124,"&lt;&gt;",J$6:J124,J124)))</f>
        <v/>
      </c>
      <c r="J124" s="28">
        <f>IF(C124="","",IF(D124="","zz","t"&amp;D124))</f>
        <v/>
      </c>
      <c r="K124" s="28">
        <f>IF(OR(A124="",C124=""),"",IF(IFERROR(INDEX(DayStat,A124-DATE(PlanYear,1,1)+1)&amp;"","")&lt;&gt;"",0,1))</f>
        <v/>
      </c>
      <c r="L124" s="28">
        <f>IF(K124="","",K124*IFERROR(VLOOKUP(C124,CodeTable,4,0),0))</f>
        <v/>
      </c>
    </row>
    <row r="125">
      <c r="A125" s="22" t="n"/>
      <c r="B125" s="23" t="n"/>
      <c r="C125" s="24" t="n"/>
      <c r="D125" s="25" t="n"/>
      <c r="E125" s="26" t="n"/>
      <c r="F125" s="26" t="n"/>
      <c r="G125" s="27">
        <f>IF(C125="","",IFERROR(VLOOKUP(C125,CodeTable,3,0),1))</f>
        <v/>
      </c>
      <c r="H125" s="27">
        <f>IF(C125="","",IF(E125&lt;&gt;"",E125,IF(IFERROR(VLOOKUP(C125,CodeTable,5,0)&amp;"","")="","All",VLOOKUP(C125,CodeTable,5,0)&amp;"")))</f>
        <v/>
      </c>
      <c r="I125" s="28">
        <f>IF(OR(A125="",C125=""),"",A125&amp;"|"&amp;B125&amp;"|"&amp;(COUNTIFS(FlDate,A125,FlShift,B125,FlCode,"&lt;&gt;",FlOrder,"&lt;"&amp;J125)+COUNTIFS(A$6:A125,A125,B$6:B125,B125,C$6:C125,"&lt;&gt;",J$6:J125,J125)))</f>
        <v/>
      </c>
      <c r="J125" s="28">
        <f>IF(C125="","",IF(D125="","zz","t"&amp;D125))</f>
        <v/>
      </c>
      <c r="K125" s="28">
        <f>IF(OR(A125="",C125=""),"",IF(IFERROR(INDEX(DayStat,A125-DATE(PlanYear,1,1)+1)&amp;"","")&lt;&gt;"",0,1))</f>
        <v/>
      </c>
      <c r="L125" s="28">
        <f>IF(K125="","",K125*IFERROR(VLOOKUP(C125,CodeTable,4,0),0))</f>
        <v/>
      </c>
    </row>
    <row r="126">
      <c r="A126" s="22" t="n"/>
      <c r="B126" s="23" t="n"/>
      <c r="C126" s="24" t="n"/>
      <c r="D126" s="25" t="n"/>
      <c r="E126" s="26" t="n"/>
      <c r="F126" s="26" t="n"/>
      <c r="G126" s="27">
        <f>IF(C126="","",IFERROR(VLOOKUP(C126,CodeTable,3,0),1))</f>
        <v/>
      </c>
      <c r="H126" s="27">
        <f>IF(C126="","",IF(E126&lt;&gt;"",E126,IF(IFERROR(VLOOKUP(C126,CodeTable,5,0)&amp;"","")="","All",VLOOKUP(C126,CodeTable,5,0)&amp;"")))</f>
        <v/>
      </c>
      <c r="I126" s="28">
        <f>IF(OR(A126="",C126=""),"",A126&amp;"|"&amp;B126&amp;"|"&amp;(COUNTIFS(FlDate,A126,FlShift,B126,FlCode,"&lt;&gt;",FlOrder,"&lt;"&amp;J126)+COUNTIFS(A$6:A126,A126,B$6:B126,B126,C$6:C126,"&lt;&gt;",J$6:J126,J126)))</f>
        <v/>
      </c>
      <c r="J126" s="28">
        <f>IF(C126="","",IF(D126="","zz","t"&amp;D126))</f>
        <v/>
      </c>
      <c r="K126" s="28">
        <f>IF(OR(A126="",C126=""),"",IF(IFERROR(INDEX(DayStat,A126-DATE(PlanYear,1,1)+1)&amp;"","")&lt;&gt;"",0,1))</f>
        <v/>
      </c>
      <c r="L126" s="28">
        <f>IF(K126="","",K126*IFERROR(VLOOKUP(C126,CodeTable,4,0),0))</f>
        <v/>
      </c>
    </row>
    <row r="127">
      <c r="A127" s="22" t="n"/>
      <c r="B127" s="23" t="n"/>
      <c r="C127" s="24" t="n"/>
      <c r="D127" s="25" t="n"/>
      <c r="E127" s="26" t="n"/>
      <c r="F127" s="26" t="n"/>
      <c r="G127" s="27">
        <f>IF(C127="","",IFERROR(VLOOKUP(C127,CodeTable,3,0),1))</f>
        <v/>
      </c>
      <c r="H127" s="27">
        <f>IF(C127="","",IF(E127&lt;&gt;"",E127,IF(IFERROR(VLOOKUP(C127,CodeTable,5,0)&amp;"","")="","All",VLOOKUP(C127,CodeTable,5,0)&amp;"")))</f>
        <v/>
      </c>
      <c r="I127" s="28">
        <f>IF(OR(A127="",C127=""),"",A127&amp;"|"&amp;B127&amp;"|"&amp;(COUNTIFS(FlDate,A127,FlShift,B127,FlCode,"&lt;&gt;",FlOrder,"&lt;"&amp;J127)+COUNTIFS(A$6:A127,A127,B$6:B127,B127,C$6:C127,"&lt;&gt;",J$6:J127,J127)))</f>
        <v/>
      </c>
      <c r="J127" s="28">
        <f>IF(C127="","",IF(D127="","zz","t"&amp;D127))</f>
        <v/>
      </c>
      <c r="K127" s="28">
        <f>IF(OR(A127="",C127=""),"",IF(IFERROR(INDEX(DayStat,A127-DATE(PlanYear,1,1)+1)&amp;"","")&lt;&gt;"",0,1))</f>
        <v/>
      </c>
      <c r="L127" s="28">
        <f>IF(K127="","",K127*IFERROR(VLOOKUP(C127,CodeTable,4,0),0))</f>
        <v/>
      </c>
    </row>
    <row r="128">
      <c r="A128" s="22" t="n"/>
      <c r="B128" s="23" t="n"/>
      <c r="C128" s="24" t="n"/>
      <c r="D128" s="25" t="n"/>
      <c r="E128" s="26" t="n"/>
      <c r="F128" s="26" t="n"/>
      <c r="G128" s="27">
        <f>IF(C128="","",IFERROR(VLOOKUP(C128,CodeTable,3,0),1))</f>
        <v/>
      </c>
      <c r="H128" s="27">
        <f>IF(C128="","",IF(E128&lt;&gt;"",E128,IF(IFERROR(VLOOKUP(C128,CodeTable,5,0)&amp;"","")="","All",VLOOKUP(C128,CodeTable,5,0)&amp;"")))</f>
        <v/>
      </c>
      <c r="I128" s="28">
        <f>IF(OR(A128="",C128=""),"",A128&amp;"|"&amp;B128&amp;"|"&amp;(COUNTIFS(FlDate,A128,FlShift,B128,FlCode,"&lt;&gt;",FlOrder,"&lt;"&amp;J128)+COUNTIFS(A$6:A128,A128,B$6:B128,B128,C$6:C128,"&lt;&gt;",J$6:J128,J128)))</f>
        <v/>
      </c>
      <c r="J128" s="28">
        <f>IF(C128="","",IF(D128="","zz","t"&amp;D128))</f>
        <v/>
      </c>
      <c r="K128" s="28">
        <f>IF(OR(A128="",C128=""),"",IF(IFERROR(INDEX(DayStat,A128-DATE(PlanYear,1,1)+1)&amp;"","")&lt;&gt;"",0,1))</f>
        <v/>
      </c>
      <c r="L128" s="28">
        <f>IF(K128="","",K128*IFERROR(VLOOKUP(C128,CodeTable,4,0),0))</f>
        <v/>
      </c>
    </row>
    <row r="129">
      <c r="A129" s="22" t="n"/>
      <c r="B129" s="23" t="n"/>
      <c r="C129" s="24" t="n"/>
      <c r="D129" s="25" t="n"/>
      <c r="E129" s="26" t="n"/>
      <c r="F129" s="26" t="n"/>
      <c r="G129" s="27">
        <f>IF(C129="","",IFERROR(VLOOKUP(C129,CodeTable,3,0),1))</f>
        <v/>
      </c>
      <c r="H129" s="27">
        <f>IF(C129="","",IF(E129&lt;&gt;"",E129,IF(IFERROR(VLOOKUP(C129,CodeTable,5,0)&amp;"","")="","All",VLOOKUP(C129,CodeTable,5,0)&amp;"")))</f>
        <v/>
      </c>
      <c r="I129" s="28">
        <f>IF(OR(A129="",C129=""),"",A129&amp;"|"&amp;B129&amp;"|"&amp;(COUNTIFS(FlDate,A129,FlShift,B129,FlCode,"&lt;&gt;",FlOrder,"&lt;"&amp;J129)+COUNTIFS(A$6:A129,A129,B$6:B129,B129,C$6:C129,"&lt;&gt;",J$6:J129,J129)))</f>
        <v/>
      </c>
      <c r="J129" s="28">
        <f>IF(C129="","",IF(D129="","zz","t"&amp;D129))</f>
        <v/>
      </c>
      <c r="K129" s="28">
        <f>IF(OR(A129="",C129=""),"",IF(IFERROR(INDEX(DayStat,A129-DATE(PlanYear,1,1)+1)&amp;"","")&lt;&gt;"",0,1))</f>
        <v/>
      </c>
      <c r="L129" s="28">
        <f>IF(K129="","",K129*IFERROR(VLOOKUP(C129,CodeTable,4,0),0))</f>
        <v/>
      </c>
    </row>
    <row r="130">
      <c r="A130" s="22" t="n"/>
      <c r="B130" s="23" t="n"/>
      <c r="C130" s="24" t="n"/>
      <c r="D130" s="25" t="n"/>
      <c r="E130" s="26" t="n"/>
      <c r="F130" s="26" t="n"/>
      <c r="G130" s="27">
        <f>IF(C130="","",IFERROR(VLOOKUP(C130,CodeTable,3,0),1))</f>
        <v/>
      </c>
      <c r="H130" s="27">
        <f>IF(C130="","",IF(E130&lt;&gt;"",E130,IF(IFERROR(VLOOKUP(C130,CodeTable,5,0)&amp;"","")="","All",VLOOKUP(C130,CodeTable,5,0)&amp;"")))</f>
        <v/>
      </c>
      <c r="I130" s="28">
        <f>IF(OR(A130="",C130=""),"",A130&amp;"|"&amp;B130&amp;"|"&amp;(COUNTIFS(FlDate,A130,FlShift,B130,FlCode,"&lt;&gt;",FlOrder,"&lt;"&amp;J130)+COUNTIFS(A$6:A130,A130,B$6:B130,B130,C$6:C130,"&lt;&gt;",J$6:J130,J130)))</f>
        <v/>
      </c>
      <c r="J130" s="28">
        <f>IF(C130="","",IF(D130="","zz","t"&amp;D130))</f>
        <v/>
      </c>
      <c r="K130" s="28">
        <f>IF(OR(A130="",C130=""),"",IF(IFERROR(INDEX(DayStat,A130-DATE(PlanYear,1,1)+1)&amp;"","")&lt;&gt;"",0,1))</f>
        <v/>
      </c>
      <c r="L130" s="28">
        <f>IF(K130="","",K130*IFERROR(VLOOKUP(C130,CodeTable,4,0),0))</f>
        <v/>
      </c>
    </row>
    <row r="131">
      <c r="A131" s="22" t="n"/>
      <c r="B131" s="23" t="n"/>
      <c r="C131" s="24" t="n"/>
      <c r="D131" s="25" t="n"/>
      <c r="E131" s="26" t="n"/>
      <c r="F131" s="26" t="n"/>
      <c r="G131" s="27">
        <f>IF(C131="","",IFERROR(VLOOKUP(C131,CodeTable,3,0),1))</f>
        <v/>
      </c>
      <c r="H131" s="27">
        <f>IF(C131="","",IF(E131&lt;&gt;"",E131,IF(IFERROR(VLOOKUP(C131,CodeTable,5,0)&amp;"","")="","All",VLOOKUP(C131,CodeTable,5,0)&amp;"")))</f>
        <v/>
      </c>
      <c r="I131" s="28">
        <f>IF(OR(A131="",C131=""),"",A131&amp;"|"&amp;B131&amp;"|"&amp;(COUNTIFS(FlDate,A131,FlShift,B131,FlCode,"&lt;&gt;",FlOrder,"&lt;"&amp;J131)+COUNTIFS(A$6:A131,A131,B$6:B131,B131,C$6:C131,"&lt;&gt;",J$6:J131,J131)))</f>
        <v/>
      </c>
      <c r="J131" s="28">
        <f>IF(C131="","",IF(D131="","zz","t"&amp;D131))</f>
        <v/>
      </c>
      <c r="K131" s="28">
        <f>IF(OR(A131="",C131=""),"",IF(IFERROR(INDEX(DayStat,A131-DATE(PlanYear,1,1)+1)&amp;"","")&lt;&gt;"",0,1))</f>
        <v/>
      </c>
      <c r="L131" s="28">
        <f>IF(K131="","",K131*IFERROR(VLOOKUP(C131,CodeTable,4,0),0))</f>
        <v/>
      </c>
    </row>
    <row r="132">
      <c r="A132" s="22" t="n"/>
      <c r="B132" s="23" t="n"/>
      <c r="C132" s="24" t="n"/>
      <c r="D132" s="25" t="n"/>
      <c r="E132" s="26" t="n"/>
      <c r="F132" s="26" t="n"/>
      <c r="G132" s="27">
        <f>IF(C132="","",IFERROR(VLOOKUP(C132,CodeTable,3,0),1))</f>
        <v/>
      </c>
      <c r="H132" s="27">
        <f>IF(C132="","",IF(E132&lt;&gt;"",E132,IF(IFERROR(VLOOKUP(C132,CodeTable,5,0)&amp;"","")="","All",VLOOKUP(C132,CodeTable,5,0)&amp;"")))</f>
        <v/>
      </c>
      <c r="I132" s="28">
        <f>IF(OR(A132="",C132=""),"",A132&amp;"|"&amp;B132&amp;"|"&amp;(COUNTIFS(FlDate,A132,FlShift,B132,FlCode,"&lt;&gt;",FlOrder,"&lt;"&amp;J132)+COUNTIFS(A$6:A132,A132,B$6:B132,B132,C$6:C132,"&lt;&gt;",J$6:J132,J132)))</f>
        <v/>
      </c>
      <c r="J132" s="28">
        <f>IF(C132="","",IF(D132="","zz","t"&amp;D132))</f>
        <v/>
      </c>
      <c r="K132" s="28">
        <f>IF(OR(A132="",C132=""),"",IF(IFERROR(INDEX(DayStat,A132-DATE(PlanYear,1,1)+1)&amp;"","")&lt;&gt;"",0,1))</f>
        <v/>
      </c>
      <c r="L132" s="28">
        <f>IF(K132="","",K132*IFERROR(VLOOKUP(C132,CodeTable,4,0),0))</f>
        <v/>
      </c>
    </row>
    <row r="133">
      <c r="A133" s="22" t="n"/>
      <c r="B133" s="23" t="n"/>
      <c r="C133" s="24" t="n"/>
      <c r="D133" s="25" t="n"/>
      <c r="E133" s="26" t="n"/>
      <c r="F133" s="26" t="n"/>
      <c r="G133" s="27">
        <f>IF(C133="","",IFERROR(VLOOKUP(C133,CodeTable,3,0),1))</f>
        <v/>
      </c>
      <c r="H133" s="27">
        <f>IF(C133="","",IF(E133&lt;&gt;"",E133,IF(IFERROR(VLOOKUP(C133,CodeTable,5,0)&amp;"","")="","All",VLOOKUP(C133,CodeTable,5,0)&amp;"")))</f>
        <v/>
      </c>
      <c r="I133" s="28">
        <f>IF(OR(A133="",C133=""),"",A133&amp;"|"&amp;B133&amp;"|"&amp;(COUNTIFS(FlDate,A133,FlShift,B133,FlCode,"&lt;&gt;",FlOrder,"&lt;"&amp;J133)+COUNTIFS(A$6:A133,A133,B$6:B133,B133,C$6:C133,"&lt;&gt;",J$6:J133,J133)))</f>
        <v/>
      </c>
      <c r="J133" s="28">
        <f>IF(C133="","",IF(D133="","zz","t"&amp;D133))</f>
        <v/>
      </c>
      <c r="K133" s="28">
        <f>IF(OR(A133="",C133=""),"",IF(IFERROR(INDEX(DayStat,A133-DATE(PlanYear,1,1)+1)&amp;"","")&lt;&gt;"",0,1))</f>
        <v/>
      </c>
      <c r="L133" s="28">
        <f>IF(K133="","",K133*IFERROR(VLOOKUP(C133,CodeTable,4,0),0))</f>
        <v/>
      </c>
    </row>
    <row r="134">
      <c r="A134" s="22" t="n"/>
      <c r="B134" s="23" t="n"/>
      <c r="C134" s="24" t="n"/>
      <c r="D134" s="25" t="n"/>
      <c r="E134" s="26" t="n"/>
      <c r="F134" s="26" t="n"/>
      <c r="G134" s="27">
        <f>IF(C134="","",IFERROR(VLOOKUP(C134,CodeTable,3,0),1))</f>
        <v/>
      </c>
      <c r="H134" s="27">
        <f>IF(C134="","",IF(E134&lt;&gt;"",E134,IF(IFERROR(VLOOKUP(C134,CodeTable,5,0)&amp;"","")="","All",VLOOKUP(C134,CodeTable,5,0)&amp;"")))</f>
        <v/>
      </c>
      <c r="I134" s="28">
        <f>IF(OR(A134="",C134=""),"",A134&amp;"|"&amp;B134&amp;"|"&amp;(COUNTIFS(FlDate,A134,FlShift,B134,FlCode,"&lt;&gt;",FlOrder,"&lt;"&amp;J134)+COUNTIFS(A$6:A134,A134,B$6:B134,B134,C$6:C134,"&lt;&gt;",J$6:J134,J134)))</f>
        <v/>
      </c>
      <c r="J134" s="28">
        <f>IF(C134="","",IF(D134="","zz","t"&amp;D134))</f>
        <v/>
      </c>
      <c r="K134" s="28">
        <f>IF(OR(A134="",C134=""),"",IF(IFERROR(INDEX(DayStat,A134-DATE(PlanYear,1,1)+1)&amp;"","")&lt;&gt;"",0,1))</f>
        <v/>
      </c>
      <c r="L134" s="28">
        <f>IF(K134="","",K134*IFERROR(VLOOKUP(C134,CodeTable,4,0),0))</f>
        <v/>
      </c>
    </row>
    <row r="135">
      <c r="A135" s="22" t="n"/>
      <c r="B135" s="23" t="n"/>
      <c r="C135" s="24" t="n"/>
      <c r="D135" s="25" t="n"/>
      <c r="E135" s="26" t="n"/>
      <c r="F135" s="26" t="n"/>
      <c r="G135" s="27">
        <f>IF(C135="","",IFERROR(VLOOKUP(C135,CodeTable,3,0),1))</f>
        <v/>
      </c>
      <c r="H135" s="27">
        <f>IF(C135="","",IF(E135&lt;&gt;"",E135,IF(IFERROR(VLOOKUP(C135,CodeTable,5,0)&amp;"","")="","All",VLOOKUP(C135,CodeTable,5,0)&amp;"")))</f>
        <v/>
      </c>
      <c r="I135" s="28">
        <f>IF(OR(A135="",C135=""),"",A135&amp;"|"&amp;B135&amp;"|"&amp;(COUNTIFS(FlDate,A135,FlShift,B135,FlCode,"&lt;&gt;",FlOrder,"&lt;"&amp;J135)+COUNTIFS(A$6:A135,A135,B$6:B135,B135,C$6:C135,"&lt;&gt;",J$6:J135,J135)))</f>
        <v/>
      </c>
      <c r="J135" s="28">
        <f>IF(C135="","",IF(D135="","zz","t"&amp;D135))</f>
        <v/>
      </c>
      <c r="K135" s="28">
        <f>IF(OR(A135="",C135=""),"",IF(IFERROR(INDEX(DayStat,A135-DATE(PlanYear,1,1)+1)&amp;"","")&lt;&gt;"",0,1))</f>
        <v/>
      </c>
      <c r="L135" s="28">
        <f>IF(K135="","",K135*IFERROR(VLOOKUP(C135,CodeTable,4,0),0))</f>
        <v/>
      </c>
    </row>
    <row r="136">
      <c r="A136" s="22" t="n"/>
      <c r="B136" s="23" t="n"/>
      <c r="C136" s="24" t="n"/>
      <c r="D136" s="25" t="n"/>
      <c r="E136" s="26" t="n"/>
      <c r="F136" s="26" t="n"/>
      <c r="G136" s="27">
        <f>IF(C136="","",IFERROR(VLOOKUP(C136,CodeTable,3,0),1))</f>
        <v/>
      </c>
      <c r="H136" s="27">
        <f>IF(C136="","",IF(E136&lt;&gt;"",E136,IF(IFERROR(VLOOKUP(C136,CodeTable,5,0)&amp;"","")="","All",VLOOKUP(C136,CodeTable,5,0)&amp;"")))</f>
        <v/>
      </c>
      <c r="I136" s="28">
        <f>IF(OR(A136="",C136=""),"",A136&amp;"|"&amp;B136&amp;"|"&amp;(COUNTIFS(FlDate,A136,FlShift,B136,FlCode,"&lt;&gt;",FlOrder,"&lt;"&amp;J136)+COUNTIFS(A$6:A136,A136,B$6:B136,B136,C$6:C136,"&lt;&gt;",J$6:J136,J136)))</f>
        <v/>
      </c>
      <c r="J136" s="28">
        <f>IF(C136="","",IF(D136="","zz","t"&amp;D136))</f>
        <v/>
      </c>
      <c r="K136" s="28">
        <f>IF(OR(A136="",C136=""),"",IF(IFERROR(INDEX(DayStat,A136-DATE(PlanYear,1,1)+1)&amp;"","")&lt;&gt;"",0,1))</f>
        <v/>
      </c>
      <c r="L136" s="28">
        <f>IF(K136="","",K136*IFERROR(VLOOKUP(C136,CodeTable,4,0),0))</f>
        <v/>
      </c>
    </row>
    <row r="137">
      <c r="A137" s="22" t="n"/>
      <c r="B137" s="23" t="n"/>
      <c r="C137" s="24" t="n"/>
      <c r="D137" s="25" t="n"/>
      <c r="E137" s="26" t="n"/>
      <c r="F137" s="26" t="n"/>
      <c r="G137" s="27">
        <f>IF(C137="","",IFERROR(VLOOKUP(C137,CodeTable,3,0),1))</f>
        <v/>
      </c>
      <c r="H137" s="27">
        <f>IF(C137="","",IF(E137&lt;&gt;"",E137,IF(IFERROR(VLOOKUP(C137,CodeTable,5,0)&amp;"","")="","All",VLOOKUP(C137,CodeTable,5,0)&amp;"")))</f>
        <v/>
      </c>
      <c r="I137" s="28">
        <f>IF(OR(A137="",C137=""),"",A137&amp;"|"&amp;B137&amp;"|"&amp;(COUNTIFS(FlDate,A137,FlShift,B137,FlCode,"&lt;&gt;",FlOrder,"&lt;"&amp;J137)+COUNTIFS(A$6:A137,A137,B$6:B137,B137,C$6:C137,"&lt;&gt;",J$6:J137,J137)))</f>
        <v/>
      </c>
      <c r="J137" s="28">
        <f>IF(C137="","",IF(D137="","zz","t"&amp;D137))</f>
        <v/>
      </c>
      <c r="K137" s="28">
        <f>IF(OR(A137="",C137=""),"",IF(IFERROR(INDEX(DayStat,A137-DATE(PlanYear,1,1)+1)&amp;"","")&lt;&gt;"",0,1))</f>
        <v/>
      </c>
      <c r="L137" s="28">
        <f>IF(K137="","",K137*IFERROR(VLOOKUP(C137,CodeTable,4,0),0))</f>
        <v/>
      </c>
    </row>
    <row r="138">
      <c r="A138" s="22" t="n"/>
      <c r="B138" s="23" t="n"/>
      <c r="C138" s="24" t="n"/>
      <c r="D138" s="25" t="n"/>
      <c r="E138" s="26" t="n"/>
      <c r="F138" s="26" t="n"/>
      <c r="G138" s="27">
        <f>IF(C138="","",IFERROR(VLOOKUP(C138,CodeTable,3,0),1))</f>
        <v/>
      </c>
      <c r="H138" s="27">
        <f>IF(C138="","",IF(E138&lt;&gt;"",E138,IF(IFERROR(VLOOKUP(C138,CodeTable,5,0)&amp;"","")="","All",VLOOKUP(C138,CodeTable,5,0)&amp;"")))</f>
        <v/>
      </c>
      <c r="I138" s="28">
        <f>IF(OR(A138="",C138=""),"",A138&amp;"|"&amp;B138&amp;"|"&amp;(COUNTIFS(FlDate,A138,FlShift,B138,FlCode,"&lt;&gt;",FlOrder,"&lt;"&amp;J138)+COUNTIFS(A$6:A138,A138,B$6:B138,B138,C$6:C138,"&lt;&gt;",J$6:J138,J138)))</f>
        <v/>
      </c>
      <c r="J138" s="28">
        <f>IF(C138="","",IF(D138="","zz","t"&amp;D138))</f>
        <v/>
      </c>
      <c r="K138" s="28">
        <f>IF(OR(A138="",C138=""),"",IF(IFERROR(INDEX(DayStat,A138-DATE(PlanYear,1,1)+1)&amp;"","")&lt;&gt;"",0,1))</f>
        <v/>
      </c>
      <c r="L138" s="28">
        <f>IF(K138="","",K138*IFERROR(VLOOKUP(C138,CodeTable,4,0),0))</f>
        <v/>
      </c>
    </row>
    <row r="139">
      <c r="A139" s="22" t="n"/>
      <c r="B139" s="23" t="n"/>
      <c r="C139" s="24" t="n"/>
      <c r="D139" s="25" t="n"/>
      <c r="E139" s="26" t="n"/>
      <c r="F139" s="26" t="n"/>
      <c r="G139" s="27">
        <f>IF(C139="","",IFERROR(VLOOKUP(C139,CodeTable,3,0),1))</f>
        <v/>
      </c>
      <c r="H139" s="27">
        <f>IF(C139="","",IF(E139&lt;&gt;"",E139,IF(IFERROR(VLOOKUP(C139,CodeTable,5,0)&amp;"","")="","All",VLOOKUP(C139,CodeTable,5,0)&amp;"")))</f>
        <v/>
      </c>
      <c r="I139" s="28">
        <f>IF(OR(A139="",C139=""),"",A139&amp;"|"&amp;B139&amp;"|"&amp;(COUNTIFS(FlDate,A139,FlShift,B139,FlCode,"&lt;&gt;",FlOrder,"&lt;"&amp;J139)+COUNTIFS(A$6:A139,A139,B$6:B139,B139,C$6:C139,"&lt;&gt;",J$6:J139,J139)))</f>
        <v/>
      </c>
      <c r="J139" s="28">
        <f>IF(C139="","",IF(D139="","zz","t"&amp;D139))</f>
        <v/>
      </c>
      <c r="K139" s="28">
        <f>IF(OR(A139="",C139=""),"",IF(IFERROR(INDEX(DayStat,A139-DATE(PlanYear,1,1)+1)&amp;"","")&lt;&gt;"",0,1))</f>
        <v/>
      </c>
      <c r="L139" s="28">
        <f>IF(K139="","",K139*IFERROR(VLOOKUP(C139,CodeTable,4,0),0))</f>
        <v/>
      </c>
    </row>
    <row r="140">
      <c r="A140" s="22" t="n"/>
      <c r="B140" s="23" t="n"/>
      <c r="C140" s="24" t="n"/>
      <c r="D140" s="25" t="n"/>
      <c r="E140" s="26" t="n"/>
      <c r="F140" s="26" t="n"/>
      <c r="G140" s="27">
        <f>IF(C140="","",IFERROR(VLOOKUP(C140,CodeTable,3,0),1))</f>
        <v/>
      </c>
      <c r="H140" s="27">
        <f>IF(C140="","",IF(E140&lt;&gt;"",E140,IF(IFERROR(VLOOKUP(C140,CodeTable,5,0)&amp;"","")="","All",VLOOKUP(C140,CodeTable,5,0)&amp;"")))</f>
        <v/>
      </c>
      <c r="I140" s="28">
        <f>IF(OR(A140="",C140=""),"",A140&amp;"|"&amp;B140&amp;"|"&amp;(COUNTIFS(FlDate,A140,FlShift,B140,FlCode,"&lt;&gt;",FlOrder,"&lt;"&amp;J140)+COUNTIFS(A$6:A140,A140,B$6:B140,B140,C$6:C140,"&lt;&gt;",J$6:J140,J140)))</f>
        <v/>
      </c>
      <c r="J140" s="28">
        <f>IF(C140="","",IF(D140="","zz","t"&amp;D140))</f>
        <v/>
      </c>
      <c r="K140" s="28">
        <f>IF(OR(A140="",C140=""),"",IF(IFERROR(INDEX(DayStat,A140-DATE(PlanYear,1,1)+1)&amp;"","")&lt;&gt;"",0,1))</f>
        <v/>
      </c>
      <c r="L140" s="28">
        <f>IF(K140="","",K140*IFERROR(VLOOKUP(C140,CodeTable,4,0),0))</f>
        <v/>
      </c>
    </row>
    <row r="141">
      <c r="A141" s="22" t="n"/>
      <c r="B141" s="23" t="n"/>
      <c r="C141" s="24" t="n"/>
      <c r="D141" s="25" t="n"/>
      <c r="E141" s="26" t="n"/>
      <c r="F141" s="26" t="n"/>
      <c r="G141" s="27">
        <f>IF(C141="","",IFERROR(VLOOKUP(C141,CodeTable,3,0),1))</f>
        <v/>
      </c>
      <c r="H141" s="27">
        <f>IF(C141="","",IF(E141&lt;&gt;"",E141,IF(IFERROR(VLOOKUP(C141,CodeTable,5,0)&amp;"","")="","All",VLOOKUP(C141,CodeTable,5,0)&amp;"")))</f>
        <v/>
      </c>
      <c r="I141" s="28">
        <f>IF(OR(A141="",C141=""),"",A141&amp;"|"&amp;B141&amp;"|"&amp;(COUNTIFS(FlDate,A141,FlShift,B141,FlCode,"&lt;&gt;",FlOrder,"&lt;"&amp;J141)+COUNTIFS(A$6:A141,A141,B$6:B141,B141,C$6:C141,"&lt;&gt;",J$6:J141,J141)))</f>
        <v/>
      </c>
      <c r="J141" s="28">
        <f>IF(C141="","",IF(D141="","zz","t"&amp;D141))</f>
        <v/>
      </c>
      <c r="K141" s="28">
        <f>IF(OR(A141="",C141=""),"",IF(IFERROR(INDEX(DayStat,A141-DATE(PlanYear,1,1)+1)&amp;"","")&lt;&gt;"",0,1))</f>
        <v/>
      </c>
      <c r="L141" s="28">
        <f>IF(K141="","",K141*IFERROR(VLOOKUP(C141,CodeTable,4,0),0))</f>
        <v/>
      </c>
    </row>
    <row r="142">
      <c r="A142" s="22" t="n"/>
      <c r="B142" s="23" t="n"/>
      <c r="C142" s="24" t="n"/>
      <c r="D142" s="25" t="n"/>
      <c r="E142" s="26" t="n"/>
      <c r="F142" s="26" t="n"/>
      <c r="G142" s="27">
        <f>IF(C142="","",IFERROR(VLOOKUP(C142,CodeTable,3,0),1))</f>
        <v/>
      </c>
      <c r="H142" s="27">
        <f>IF(C142="","",IF(E142&lt;&gt;"",E142,IF(IFERROR(VLOOKUP(C142,CodeTable,5,0)&amp;"","")="","All",VLOOKUP(C142,CodeTable,5,0)&amp;"")))</f>
        <v/>
      </c>
      <c r="I142" s="28">
        <f>IF(OR(A142="",C142=""),"",A142&amp;"|"&amp;B142&amp;"|"&amp;(COUNTIFS(FlDate,A142,FlShift,B142,FlCode,"&lt;&gt;",FlOrder,"&lt;"&amp;J142)+COUNTIFS(A$6:A142,A142,B$6:B142,B142,C$6:C142,"&lt;&gt;",J$6:J142,J142)))</f>
        <v/>
      </c>
      <c r="J142" s="28">
        <f>IF(C142="","",IF(D142="","zz","t"&amp;D142))</f>
        <v/>
      </c>
      <c r="K142" s="28">
        <f>IF(OR(A142="",C142=""),"",IF(IFERROR(INDEX(DayStat,A142-DATE(PlanYear,1,1)+1)&amp;"","")&lt;&gt;"",0,1))</f>
        <v/>
      </c>
      <c r="L142" s="28">
        <f>IF(K142="","",K142*IFERROR(VLOOKUP(C142,CodeTable,4,0),0))</f>
        <v/>
      </c>
    </row>
    <row r="143">
      <c r="A143" s="22" t="n"/>
      <c r="B143" s="23" t="n"/>
      <c r="C143" s="24" t="n"/>
      <c r="D143" s="25" t="n"/>
      <c r="E143" s="26" t="n"/>
      <c r="F143" s="26" t="n"/>
      <c r="G143" s="27">
        <f>IF(C143="","",IFERROR(VLOOKUP(C143,CodeTable,3,0),1))</f>
        <v/>
      </c>
      <c r="H143" s="27">
        <f>IF(C143="","",IF(E143&lt;&gt;"",E143,IF(IFERROR(VLOOKUP(C143,CodeTable,5,0)&amp;"","")="","All",VLOOKUP(C143,CodeTable,5,0)&amp;"")))</f>
        <v/>
      </c>
      <c r="I143" s="28">
        <f>IF(OR(A143="",C143=""),"",A143&amp;"|"&amp;B143&amp;"|"&amp;(COUNTIFS(FlDate,A143,FlShift,B143,FlCode,"&lt;&gt;",FlOrder,"&lt;"&amp;J143)+COUNTIFS(A$6:A143,A143,B$6:B143,B143,C$6:C143,"&lt;&gt;",J$6:J143,J143)))</f>
        <v/>
      </c>
      <c r="J143" s="28">
        <f>IF(C143="","",IF(D143="","zz","t"&amp;D143))</f>
        <v/>
      </c>
      <c r="K143" s="28">
        <f>IF(OR(A143="",C143=""),"",IF(IFERROR(INDEX(DayStat,A143-DATE(PlanYear,1,1)+1)&amp;"","")&lt;&gt;"",0,1))</f>
        <v/>
      </c>
      <c r="L143" s="28">
        <f>IF(K143="","",K143*IFERROR(VLOOKUP(C143,CodeTable,4,0),0))</f>
        <v/>
      </c>
    </row>
    <row r="144">
      <c r="A144" s="22" t="n"/>
      <c r="B144" s="23" t="n"/>
      <c r="C144" s="24" t="n"/>
      <c r="D144" s="25" t="n"/>
      <c r="E144" s="26" t="n"/>
      <c r="F144" s="26" t="n"/>
      <c r="G144" s="27">
        <f>IF(C144="","",IFERROR(VLOOKUP(C144,CodeTable,3,0),1))</f>
        <v/>
      </c>
      <c r="H144" s="27">
        <f>IF(C144="","",IF(E144&lt;&gt;"",E144,IF(IFERROR(VLOOKUP(C144,CodeTable,5,0)&amp;"","")="","All",VLOOKUP(C144,CodeTable,5,0)&amp;"")))</f>
        <v/>
      </c>
      <c r="I144" s="28">
        <f>IF(OR(A144="",C144=""),"",A144&amp;"|"&amp;B144&amp;"|"&amp;(COUNTIFS(FlDate,A144,FlShift,B144,FlCode,"&lt;&gt;",FlOrder,"&lt;"&amp;J144)+COUNTIFS(A$6:A144,A144,B$6:B144,B144,C$6:C144,"&lt;&gt;",J$6:J144,J144)))</f>
        <v/>
      </c>
      <c r="J144" s="28">
        <f>IF(C144="","",IF(D144="","zz","t"&amp;D144))</f>
        <v/>
      </c>
      <c r="K144" s="28">
        <f>IF(OR(A144="",C144=""),"",IF(IFERROR(INDEX(DayStat,A144-DATE(PlanYear,1,1)+1)&amp;"","")&lt;&gt;"",0,1))</f>
        <v/>
      </c>
      <c r="L144" s="28">
        <f>IF(K144="","",K144*IFERROR(VLOOKUP(C144,CodeTable,4,0),0))</f>
        <v/>
      </c>
    </row>
    <row r="145">
      <c r="A145" s="22" t="n"/>
      <c r="B145" s="23" t="n"/>
      <c r="C145" s="24" t="n"/>
      <c r="D145" s="25" t="n"/>
      <c r="E145" s="26" t="n"/>
      <c r="F145" s="26" t="n"/>
      <c r="G145" s="27">
        <f>IF(C145="","",IFERROR(VLOOKUP(C145,CodeTable,3,0),1))</f>
        <v/>
      </c>
      <c r="H145" s="27">
        <f>IF(C145="","",IF(E145&lt;&gt;"",E145,IF(IFERROR(VLOOKUP(C145,CodeTable,5,0)&amp;"","")="","All",VLOOKUP(C145,CodeTable,5,0)&amp;"")))</f>
        <v/>
      </c>
      <c r="I145" s="28">
        <f>IF(OR(A145="",C145=""),"",A145&amp;"|"&amp;B145&amp;"|"&amp;(COUNTIFS(FlDate,A145,FlShift,B145,FlCode,"&lt;&gt;",FlOrder,"&lt;"&amp;J145)+COUNTIFS(A$6:A145,A145,B$6:B145,B145,C$6:C145,"&lt;&gt;",J$6:J145,J145)))</f>
        <v/>
      </c>
      <c r="J145" s="28">
        <f>IF(C145="","",IF(D145="","zz","t"&amp;D145))</f>
        <v/>
      </c>
      <c r="K145" s="28">
        <f>IF(OR(A145="",C145=""),"",IF(IFERROR(INDEX(DayStat,A145-DATE(PlanYear,1,1)+1)&amp;"","")&lt;&gt;"",0,1))</f>
        <v/>
      </c>
      <c r="L145" s="28">
        <f>IF(K145="","",K145*IFERROR(VLOOKUP(C145,CodeTable,4,0),0))</f>
        <v/>
      </c>
    </row>
    <row r="146">
      <c r="A146" s="22" t="n"/>
      <c r="B146" s="23" t="n"/>
      <c r="C146" s="24" t="n"/>
      <c r="D146" s="25" t="n"/>
      <c r="E146" s="26" t="n"/>
      <c r="F146" s="26" t="n"/>
      <c r="G146" s="27">
        <f>IF(C146="","",IFERROR(VLOOKUP(C146,CodeTable,3,0),1))</f>
        <v/>
      </c>
      <c r="H146" s="27">
        <f>IF(C146="","",IF(E146&lt;&gt;"",E146,IF(IFERROR(VLOOKUP(C146,CodeTable,5,0)&amp;"","")="","All",VLOOKUP(C146,CodeTable,5,0)&amp;"")))</f>
        <v/>
      </c>
      <c r="I146" s="28">
        <f>IF(OR(A146="",C146=""),"",A146&amp;"|"&amp;B146&amp;"|"&amp;(COUNTIFS(FlDate,A146,FlShift,B146,FlCode,"&lt;&gt;",FlOrder,"&lt;"&amp;J146)+COUNTIFS(A$6:A146,A146,B$6:B146,B146,C$6:C146,"&lt;&gt;",J$6:J146,J146)))</f>
        <v/>
      </c>
      <c r="J146" s="28">
        <f>IF(C146="","",IF(D146="","zz","t"&amp;D146))</f>
        <v/>
      </c>
      <c r="K146" s="28">
        <f>IF(OR(A146="",C146=""),"",IF(IFERROR(INDEX(DayStat,A146-DATE(PlanYear,1,1)+1)&amp;"","")&lt;&gt;"",0,1))</f>
        <v/>
      </c>
      <c r="L146" s="28">
        <f>IF(K146="","",K146*IFERROR(VLOOKUP(C146,CodeTable,4,0),0))</f>
        <v/>
      </c>
    </row>
    <row r="147">
      <c r="A147" s="22" t="n"/>
      <c r="B147" s="23" t="n"/>
      <c r="C147" s="24" t="n"/>
      <c r="D147" s="25" t="n"/>
      <c r="E147" s="26" t="n"/>
      <c r="F147" s="26" t="n"/>
      <c r="G147" s="27">
        <f>IF(C147="","",IFERROR(VLOOKUP(C147,CodeTable,3,0),1))</f>
        <v/>
      </c>
      <c r="H147" s="27">
        <f>IF(C147="","",IF(E147&lt;&gt;"",E147,IF(IFERROR(VLOOKUP(C147,CodeTable,5,0)&amp;"","")="","All",VLOOKUP(C147,CodeTable,5,0)&amp;"")))</f>
        <v/>
      </c>
      <c r="I147" s="28">
        <f>IF(OR(A147="",C147=""),"",A147&amp;"|"&amp;B147&amp;"|"&amp;(COUNTIFS(FlDate,A147,FlShift,B147,FlCode,"&lt;&gt;",FlOrder,"&lt;"&amp;J147)+COUNTIFS(A$6:A147,A147,B$6:B147,B147,C$6:C147,"&lt;&gt;",J$6:J147,J147)))</f>
        <v/>
      </c>
      <c r="J147" s="28">
        <f>IF(C147="","",IF(D147="","zz","t"&amp;D147))</f>
        <v/>
      </c>
      <c r="K147" s="28">
        <f>IF(OR(A147="",C147=""),"",IF(IFERROR(INDEX(DayStat,A147-DATE(PlanYear,1,1)+1)&amp;"","")&lt;&gt;"",0,1))</f>
        <v/>
      </c>
      <c r="L147" s="28">
        <f>IF(K147="","",K147*IFERROR(VLOOKUP(C147,CodeTable,4,0),0))</f>
        <v/>
      </c>
    </row>
    <row r="148">
      <c r="A148" s="22" t="n"/>
      <c r="B148" s="23" t="n"/>
      <c r="C148" s="24" t="n"/>
      <c r="D148" s="25" t="n"/>
      <c r="E148" s="26" t="n"/>
      <c r="F148" s="26" t="n"/>
      <c r="G148" s="27">
        <f>IF(C148="","",IFERROR(VLOOKUP(C148,CodeTable,3,0),1))</f>
        <v/>
      </c>
      <c r="H148" s="27">
        <f>IF(C148="","",IF(E148&lt;&gt;"",E148,IF(IFERROR(VLOOKUP(C148,CodeTable,5,0)&amp;"","")="","All",VLOOKUP(C148,CodeTable,5,0)&amp;"")))</f>
        <v/>
      </c>
      <c r="I148" s="28">
        <f>IF(OR(A148="",C148=""),"",A148&amp;"|"&amp;B148&amp;"|"&amp;(COUNTIFS(FlDate,A148,FlShift,B148,FlCode,"&lt;&gt;",FlOrder,"&lt;"&amp;J148)+COUNTIFS(A$6:A148,A148,B$6:B148,B148,C$6:C148,"&lt;&gt;",J$6:J148,J148)))</f>
        <v/>
      </c>
      <c r="J148" s="28">
        <f>IF(C148="","",IF(D148="","zz","t"&amp;D148))</f>
        <v/>
      </c>
      <c r="K148" s="28">
        <f>IF(OR(A148="",C148=""),"",IF(IFERROR(INDEX(DayStat,A148-DATE(PlanYear,1,1)+1)&amp;"","")&lt;&gt;"",0,1))</f>
        <v/>
      </c>
      <c r="L148" s="28">
        <f>IF(K148="","",K148*IFERROR(VLOOKUP(C148,CodeTable,4,0),0))</f>
        <v/>
      </c>
    </row>
    <row r="149">
      <c r="A149" s="22" t="n"/>
      <c r="B149" s="23" t="n"/>
      <c r="C149" s="24" t="n"/>
      <c r="D149" s="25" t="n"/>
      <c r="E149" s="26" t="n"/>
      <c r="F149" s="26" t="n"/>
      <c r="G149" s="27">
        <f>IF(C149="","",IFERROR(VLOOKUP(C149,CodeTable,3,0),1))</f>
        <v/>
      </c>
      <c r="H149" s="27">
        <f>IF(C149="","",IF(E149&lt;&gt;"",E149,IF(IFERROR(VLOOKUP(C149,CodeTable,5,0)&amp;"","")="","All",VLOOKUP(C149,CodeTable,5,0)&amp;"")))</f>
        <v/>
      </c>
      <c r="I149" s="28">
        <f>IF(OR(A149="",C149=""),"",A149&amp;"|"&amp;B149&amp;"|"&amp;(COUNTIFS(FlDate,A149,FlShift,B149,FlCode,"&lt;&gt;",FlOrder,"&lt;"&amp;J149)+COUNTIFS(A$6:A149,A149,B$6:B149,B149,C$6:C149,"&lt;&gt;",J$6:J149,J149)))</f>
        <v/>
      </c>
      <c r="J149" s="28">
        <f>IF(C149="","",IF(D149="","zz","t"&amp;D149))</f>
        <v/>
      </c>
      <c r="K149" s="28">
        <f>IF(OR(A149="",C149=""),"",IF(IFERROR(INDEX(DayStat,A149-DATE(PlanYear,1,1)+1)&amp;"","")&lt;&gt;"",0,1))</f>
        <v/>
      </c>
      <c r="L149" s="28">
        <f>IF(K149="","",K149*IFERROR(VLOOKUP(C149,CodeTable,4,0),0))</f>
        <v/>
      </c>
    </row>
    <row r="150">
      <c r="A150" s="22" t="n"/>
      <c r="B150" s="23" t="n"/>
      <c r="C150" s="24" t="n"/>
      <c r="D150" s="25" t="n"/>
      <c r="E150" s="26" t="n"/>
      <c r="F150" s="26" t="n"/>
      <c r="G150" s="27">
        <f>IF(C150="","",IFERROR(VLOOKUP(C150,CodeTable,3,0),1))</f>
        <v/>
      </c>
      <c r="H150" s="27">
        <f>IF(C150="","",IF(E150&lt;&gt;"",E150,IF(IFERROR(VLOOKUP(C150,CodeTable,5,0)&amp;"","")="","All",VLOOKUP(C150,CodeTable,5,0)&amp;"")))</f>
        <v/>
      </c>
      <c r="I150" s="28">
        <f>IF(OR(A150="",C150=""),"",A150&amp;"|"&amp;B150&amp;"|"&amp;(COUNTIFS(FlDate,A150,FlShift,B150,FlCode,"&lt;&gt;",FlOrder,"&lt;"&amp;J150)+COUNTIFS(A$6:A150,A150,B$6:B150,B150,C$6:C150,"&lt;&gt;",J$6:J150,J150)))</f>
        <v/>
      </c>
      <c r="J150" s="28">
        <f>IF(C150="","",IF(D150="","zz","t"&amp;D150))</f>
        <v/>
      </c>
      <c r="K150" s="28">
        <f>IF(OR(A150="",C150=""),"",IF(IFERROR(INDEX(DayStat,A150-DATE(PlanYear,1,1)+1)&amp;"","")&lt;&gt;"",0,1))</f>
        <v/>
      </c>
      <c r="L150" s="28">
        <f>IF(K150="","",K150*IFERROR(VLOOKUP(C150,CodeTable,4,0),0))</f>
        <v/>
      </c>
    </row>
    <row r="151">
      <c r="A151" s="22" t="n"/>
      <c r="B151" s="23" t="n"/>
      <c r="C151" s="24" t="n"/>
      <c r="D151" s="25" t="n"/>
      <c r="E151" s="26" t="n"/>
      <c r="F151" s="26" t="n"/>
      <c r="G151" s="27">
        <f>IF(C151="","",IFERROR(VLOOKUP(C151,CodeTable,3,0),1))</f>
        <v/>
      </c>
      <c r="H151" s="27">
        <f>IF(C151="","",IF(E151&lt;&gt;"",E151,IF(IFERROR(VLOOKUP(C151,CodeTable,5,0)&amp;"","")="","All",VLOOKUP(C151,CodeTable,5,0)&amp;"")))</f>
        <v/>
      </c>
      <c r="I151" s="28">
        <f>IF(OR(A151="",C151=""),"",A151&amp;"|"&amp;B151&amp;"|"&amp;(COUNTIFS(FlDate,A151,FlShift,B151,FlCode,"&lt;&gt;",FlOrder,"&lt;"&amp;J151)+COUNTIFS(A$6:A151,A151,B$6:B151,B151,C$6:C151,"&lt;&gt;",J$6:J151,J151)))</f>
        <v/>
      </c>
      <c r="J151" s="28">
        <f>IF(C151="","",IF(D151="","zz","t"&amp;D151))</f>
        <v/>
      </c>
      <c r="K151" s="28">
        <f>IF(OR(A151="",C151=""),"",IF(IFERROR(INDEX(DayStat,A151-DATE(PlanYear,1,1)+1)&amp;"","")&lt;&gt;"",0,1))</f>
        <v/>
      </c>
      <c r="L151" s="28">
        <f>IF(K151="","",K151*IFERROR(VLOOKUP(C151,CodeTable,4,0),0))</f>
        <v/>
      </c>
    </row>
    <row r="152">
      <c r="A152" s="22" t="n"/>
      <c r="B152" s="23" t="n"/>
      <c r="C152" s="24" t="n"/>
      <c r="D152" s="25" t="n"/>
      <c r="E152" s="26" t="n"/>
      <c r="F152" s="26" t="n"/>
      <c r="G152" s="27">
        <f>IF(C152="","",IFERROR(VLOOKUP(C152,CodeTable,3,0),1))</f>
        <v/>
      </c>
      <c r="H152" s="27">
        <f>IF(C152="","",IF(E152&lt;&gt;"",E152,IF(IFERROR(VLOOKUP(C152,CodeTable,5,0)&amp;"","")="","All",VLOOKUP(C152,CodeTable,5,0)&amp;"")))</f>
        <v/>
      </c>
      <c r="I152" s="28">
        <f>IF(OR(A152="",C152=""),"",A152&amp;"|"&amp;B152&amp;"|"&amp;(COUNTIFS(FlDate,A152,FlShift,B152,FlCode,"&lt;&gt;",FlOrder,"&lt;"&amp;J152)+COUNTIFS(A$6:A152,A152,B$6:B152,B152,C$6:C152,"&lt;&gt;",J$6:J152,J152)))</f>
        <v/>
      </c>
      <c r="J152" s="28">
        <f>IF(C152="","",IF(D152="","zz","t"&amp;D152))</f>
        <v/>
      </c>
      <c r="K152" s="28">
        <f>IF(OR(A152="",C152=""),"",IF(IFERROR(INDEX(DayStat,A152-DATE(PlanYear,1,1)+1)&amp;"","")&lt;&gt;"",0,1))</f>
        <v/>
      </c>
      <c r="L152" s="28">
        <f>IF(K152="","",K152*IFERROR(VLOOKUP(C152,CodeTable,4,0),0))</f>
        <v/>
      </c>
    </row>
    <row r="153">
      <c r="A153" s="22" t="n"/>
      <c r="B153" s="23" t="n"/>
      <c r="C153" s="24" t="n"/>
      <c r="D153" s="25" t="n"/>
      <c r="E153" s="26" t="n"/>
      <c r="F153" s="26" t="n"/>
      <c r="G153" s="27">
        <f>IF(C153="","",IFERROR(VLOOKUP(C153,CodeTable,3,0),1))</f>
        <v/>
      </c>
      <c r="H153" s="27">
        <f>IF(C153="","",IF(E153&lt;&gt;"",E153,IF(IFERROR(VLOOKUP(C153,CodeTable,5,0)&amp;"","")="","All",VLOOKUP(C153,CodeTable,5,0)&amp;"")))</f>
        <v/>
      </c>
      <c r="I153" s="28">
        <f>IF(OR(A153="",C153=""),"",A153&amp;"|"&amp;B153&amp;"|"&amp;(COUNTIFS(FlDate,A153,FlShift,B153,FlCode,"&lt;&gt;",FlOrder,"&lt;"&amp;J153)+COUNTIFS(A$6:A153,A153,B$6:B153,B153,C$6:C153,"&lt;&gt;",J$6:J153,J153)))</f>
        <v/>
      </c>
      <c r="J153" s="28">
        <f>IF(C153="","",IF(D153="","zz","t"&amp;D153))</f>
        <v/>
      </c>
      <c r="K153" s="28">
        <f>IF(OR(A153="",C153=""),"",IF(IFERROR(INDEX(DayStat,A153-DATE(PlanYear,1,1)+1)&amp;"","")&lt;&gt;"",0,1))</f>
        <v/>
      </c>
      <c r="L153" s="28">
        <f>IF(K153="","",K153*IFERROR(VLOOKUP(C153,CodeTable,4,0),0))</f>
        <v/>
      </c>
    </row>
    <row r="154">
      <c r="A154" s="22" t="n"/>
      <c r="B154" s="23" t="n"/>
      <c r="C154" s="24" t="n"/>
      <c r="D154" s="25" t="n"/>
      <c r="E154" s="26" t="n"/>
      <c r="F154" s="26" t="n"/>
      <c r="G154" s="27">
        <f>IF(C154="","",IFERROR(VLOOKUP(C154,CodeTable,3,0),1))</f>
        <v/>
      </c>
      <c r="H154" s="27">
        <f>IF(C154="","",IF(E154&lt;&gt;"",E154,IF(IFERROR(VLOOKUP(C154,CodeTable,5,0)&amp;"","")="","All",VLOOKUP(C154,CodeTable,5,0)&amp;"")))</f>
        <v/>
      </c>
      <c r="I154" s="28">
        <f>IF(OR(A154="",C154=""),"",A154&amp;"|"&amp;B154&amp;"|"&amp;(COUNTIFS(FlDate,A154,FlShift,B154,FlCode,"&lt;&gt;",FlOrder,"&lt;"&amp;J154)+COUNTIFS(A$6:A154,A154,B$6:B154,B154,C$6:C154,"&lt;&gt;",J$6:J154,J154)))</f>
        <v/>
      </c>
      <c r="J154" s="28">
        <f>IF(C154="","",IF(D154="","zz","t"&amp;D154))</f>
        <v/>
      </c>
      <c r="K154" s="28">
        <f>IF(OR(A154="",C154=""),"",IF(IFERROR(INDEX(DayStat,A154-DATE(PlanYear,1,1)+1)&amp;"","")&lt;&gt;"",0,1))</f>
        <v/>
      </c>
      <c r="L154" s="28">
        <f>IF(K154="","",K154*IFERROR(VLOOKUP(C154,CodeTable,4,0),0))</f>
        <v/>
      </c>
    </row>
    <row r="155">
      <c r="A155" s="22" t="n"/>
      <c r="B155" s="23" t="n"/>
      <c r="C155" s="24" t="n"/>
      <c r="D155" s="25" t="n"/>
      <c r="E155" s="26" t="n"/>
      <c r="F155" s="26" t="n"/>
      <c r="G155" s="27">
        <f>IF(C155="","",IFERROR(VLOOKUP(C155,CodeTable,3,0),1))</f>
        <v/>
      </c>
      <c r="H155" s="27">
        <f>IF(C155="","",IF(E155&lt;&gt;"",E155,IF(IFERROR(VLOOKUP(C155,CodeTable,5,0)&amp;"","")="","All",VLOOKUP(C155,CodeTable,5,0)&amp;"")))</f>
        <v/>
      </c>
      <c r="I155" s="28">
        <f>IF(OR(A155="",C155=""),"",A155&amp;"|"&amp;B155&amp;"|"&amp;(COUNTIFS(FlDate,A155,FlShift,B155,FlCode,"&lt;&gt;",FlOrder,"&lt;"&amp;J155)+COUNTIFS(A$6:A155,A155,B$6:B155,B155,C$6:C155,"&lt;&gt;",J$6:J155,J155)))</f>
        <v/>
      </c>
      <c r="J155" s="28">
        <f>IF(C155="","",IF(D155="","zz","t"&amp;D155))</f>
        <v/>
      </c>
      <c r="K155" s="28">
        <f>IF(OR(A155="",C155=""),"",IF(IFERROR(INDEX(DayStat,A155-DATE(PlanYear,1,1)+1)&amp;"","")&lt;&gt;"",0,1))</f>
        <v/>
      </c>
      <c r="L155" s="28">
        <f>IF(K155="","",K155*IFERROR(VLOOKUP(C155,CodeTable,4,0),0))</f>
        <v/>
      </c>
    </row>
    <row r="156">
      <c r="A156" s="22" t="n"/>
      <c r="B156" s="23" t="n"/>
      <c r="C156" s="24" t="n"/>
      <c r="D156" s="25" t="n"/>
      <c r="E156" s="26" t="n"/>
      <c r="F156" s="26" t="n"/>
      <c r="G156" s="27">
        <f>IF(C156="","",IFERROR(VLOOKUP(C156,CodeTable,3,0),1))</f>
        <v/>
      </c>
      <c r="H156" s="27">
        <f>IF(C156="","",IF(E156&lt;&gt;"",E156,IF(IFERROR(VLOOKUP(C156,CodeTable,5,0)&amp;"","")="","All",VLOOKUP(C156,CodeTable,5,0)&amp;"")))</f>
        <v/>
      </c>
      <c r="I156" s="28">
        <f>IF(OR(A156="",C156=""),"",A156&amp;"|"&amp;B156&amp;"|"&amp;(COUNTIFS(FlDate,A156,FlShift,B156,FlCode,"&lt;&gt;",FlOrder,"&lt;"&amp;J156)+COUNTIFS(A$6:A156,A156,B$6:B156,B156,C$6:C156,"&lt;&gt;",J$6:J156,J156)))</f>
        <v/>
      </c>
      <c r="J156" s="28">
        <f>IF(C156="","",IF(D156="","zz","t"&amp;D156))</f>
        <v/>
      </c>
      <c r="K156" s="28">
        <f>IF(OR(A156="",C156=""),"",IF(IFERROR(INDEX(DayStat,A156-DATE(PlanYear,1,1)+1)&amp;"","")&lt;&gt;"",0,1))</f>
        <v/>
      </c>
      <c r="L156" s="28">
        <f>IF(K156="","",K156*IFERROR(VLOOKUP(C156,CodeTable,4,0),0))</f>
        <v/>
      </c>
    </row>
    <row r="157">
      <c r="A157" s="22" t="n"/>
      <c r="B157" s="23" t="n"/>
      <c r="C157" s="24" t="n"/>
      <c r="D157" s="25" t="n"/>
      <c r="E157" s="26" t="n"/>
      <c r="F157" s="26" t="n"/>
      <c r="G157" s="27">
        <f>IF(C157="","",IFERROR(VLOOKUP(C157,CodeTable,3,0),1))</f>
        <v/>
      </c>
      <c r="H157" s="27">
        <f>IF(C157="","",IF(E157&lt;&gt;"",E157,IF(IFERROR(VLOOKUP(C157,CodeTable,5,0)&amp;"","")="","All",VLOOKUP(C157,CodeTable,5,0)&amp;"")))</f>
        <v/>
      </c>
      <c r="I157" s="28">
        <f>IF(OR(A157="",C157=""),"",A157&amp;"|"&amp;B157&amp;"|"&amp;(COUNTIFS(FlDate,A157,FlShift,B157,FlCode,"&lt;&gt;",FlOrder,"&lt;"&amp;J157)+COUNTIFS(A$6:A157,A157,B$6:B157,B157,C$6:C157,"&lt;&gt;",J$6:J157,J157)))</f>
        <v/>
      </c>
      <c r="J157" s="28">
        <f>IF(C157="","",IF(D157="","zz","t"&amp;D157))</f>
        <v/>
      </c>
      <c r="K157" s="28">
        <f>IF(OR(A157="",C157=""),"",IF(IFERROR(INDEX(DayStat,A157-DATE(PlanYear,1,1)+1)&amp;"","")&lt;&gt;"",0,1))</f>
        <v/>
      </c>
      <c r="L157" s="28">
        <f>IF(K157="","",K157*IFERROR(VLOOKUP(C157,CodeTable,4,0),0))</f>
        <v/>
      </c>
    </row>
    <row r="158">
      <c r="A158" s="22" t="n"/>
      <c r="B158" s="23" t="n"/>
      <c r="C158" s="24" t="n"/>
      <c r="D158" s="25" t="n"/>
      <c r="E158" s="26" t="n"/>
      <c r="F158" s="26" t="n"/>
      <c r="G158" s="27">
        <f>IF(C158="","",IFERROR(VLOOKUP(C158,CodeTable,3,0),1))</f>
        <v/>
      </c>
      <c r="H158" s="27">
        <f>IF(C158="","",IF(E158&lt;&gt;"",E158,IF(IFERROR(VLOOKUP(C158,CodeTable,5,0)&amp;"","")="","All",VLOOKUP(C158,CodeTable,5,0)&amp;"")))</f>
        <v/>
      </c>
      <c r="I158" s="28">
        <f>IF(OR(A158="",C158=""),"",A158&amp;"|"&amp;B158&amp;"|"&amp;(COUNTIFS(FlDate,A158,FlShift,B158,FlCode,"&lt;&gt;",FlOrder,"&lt;"&amp;J158)+COUNTIFS(A$6:A158,A158,B$6:B158,B158,C$6:C158,"&lt;&gt;",J$6:J158,J158)))</f>
        <v/>
      </c>
      <c r="J158" s="28">
        <f>IF(C158="","",IF(D158="","zz","t"&amp;D158))</f>
        <v/>
      </c>
      <c r="K158" s="28">
        <f>IF(OR(A158="",C158=""),"",IF(IFERROR(INDEX(DayStat,A158-DATE(PlanYear,1,1)+1)&amp;"","")&lt;&gt;"",0,1))</f>
        <v/>
      </c>
      <c r="L158" s="28">
        <f>IF(K158="","",K158*IFERROR(VLOOKUP(C158,CodeTable,4,0),0))</f>
        <v/>
      </c>
    </row>
    <row r="159">
      <c r="A159" s="22" t="n"/>
      <c r="B159" s="23" t="n"/>
      <c r="C159" s="24" t="n"/>
      <c r="D159" s="25" t="n"/>
      <c r="E159" s="26" t="n"/>
      <c r="F159" s="26" t="n"/>
      <c r="G159" s="27">
        <f>IF(C159="","",IFERROR(VLOOKUP(C159,CodeTable,3,0),1))</f>
        <v/>
      </c>
      <c r="H159" s="27">
        <f>IF(C159="","",IF(E159&lt;&gt;"",E159,IF(IFERROR(VLOOKUP(C159,CodeTable,5,0)&amp;"","")="","All",VLOOKUP(C159,CodeTable,5,0)&amp;"")))</f>
        <v/>
      </c>
      <c r="I159" s="28">
        <f>IF(OR(A159="",C159=""),"",A159&amp;"|"&amp;B159&amp;"|"&amp;(COUNTIFS(FlDate,A159,FlShift,B159,FlCode,"&lt;&gt;",FlOrder,"&lt;"&amp;J159)+COUNTIFS(A$6:A159,A159,B$6:B159,B159,C$6:C159,"&lt;&gt;",J$6:J159,J159)))</f>
        <v/>
      </c>
      <c r="J159" s="28">
        <f>IF(C159="","",IF(D159="","zz","t"&amp;D159))</f>
        <v/>
      </c>
      <c r="K159" s="28">
        <f>IF(OR(A159="",C159=""),"",IF(IFERROR(INDEX(DayStat,A159-DATE(PlanYear,1,1)+1)&amp;"","")&lt;&gt;"",0,1))</f>
        <v/>
      </c>
      <c r="L159" s="28">
        <f>IF(K159="","",K159*IFERROR(VLOOKUP(C159,CodeTable,4,0),0))</f>
        <v/>
      </c>
    </row>
    <row r="160">
      <c r="A160" s="22" t="n"/>
      <c r="B160" s="23" t="n"/>
      <c r="C160" s="24" t="n"/>
      <c r="D160" s="25" t="n"/>
      <c r="E160" s="26" t="n"/>
      <c r="F160" s="26" t="n"/>
      <c r="G160" s="27">
        <f>IF(C160="","",IFERROR(VLOOKUP(C160,CodeTable,3,0),1))</f>
        <v/>
      </c>
      <c r="H160" s="27">
        <f>IF(C160="","",IF(E160&lt;&gt;"",E160,IF(IFERROR(VLOOKUP(C160,CodeTable,5,0)&amp;"","")="","All",VLOOKUP(C160,CodeTable,5,0)&amp;"")))</f>
        <v/>
      </c>
      <c r="I160" s="28">
        <f>IF(OR(A160="",C160=""),"",A160&amp;"|"&amp;B160&amp;"|"&amp;(COUNTIFS(FlDate,A160,FlShift,B160,FlCode,"&lt;&gt;",FlOrder,"&lt;"&amp;J160)+COUNTIFS(A$6:A160,A160,B$6:B160,B160,C$6:C160,"&lt;&gt;",J$6:J160,J160)))</f>
        <v/>
      </c>
      <c r="J160" s="28">
        <f>IF(C160="","",IF(D160="","zz","t"&amp;D160))</f>
        <v/>
      </c>
      <c r="K160" s="28">
        <f>IF(OR(A160="",C160=""),"",IF(IFERROR(INDEX(DayStat,A160-DATE(PlanYear,1,1)+1)&amp;"","")&lt;&gt;"",0,1))</f>
        <v/>
      </c>
      <c r="L160" s="28">
        <f>IF(K160="","",K160*IFERROR(VLOOKUP(C160,CodeTable,4,0),0))</f>
        <v/>
      </c>
    </row>
    <row r="161">
      <c r="A161" s="22" t="n"/>
      <c r="B161" s="23" t="n"/>
      <c r="C161" s="24" t="n"/>
      <c r="D161" s="25" t="n"/>
      <c r="E161" s="26" t="n"/>
      <c r="F161" s="26" t="n"/>
      <c r="G161" s="27">
        <f>IF(C161="","",IFERROR(VLOOKUP(C161,CodeTable,3,0),1))</f>
        <v/>
      </c>
      <c r="H161" s="27">
        <f>IF(C161="","",IF(E161&lt;&gt;"",E161,IF(IFERROR(VLOOKUP(C161,CodeTable,5,0)&amp;"","")="","All",VLOOKUP(C161,CodeTable,5,0)&amp;"")))</f>
        <v/>
      </c>
      <c r="I161" s="28">
        <f>IF(OR(A161="",C161=""),"",A161&amp;"|"&amp;B161&amp;"|"&amp;(COUNTIFS(FlDate,A161,FlShift,B161,FlCode,"&lt;&gt;",FlOrder,"&lt;"&amp;J161)+COUNTIFS(A$6:A161,A161,B$6:B161,B161,C$6:C161,"&lt;&gt;",J$6:J161,J161)))</f>
        <v/>
      </c>
      <c r="J161" s="28">
        <f>IF(C161="","",IF(D161="","zz","t"&amp;D161))</f>
        <v/>
      </c>
      <c r="K161" s="28">
        <f>IF(OR(A161="",C161=""),"",IF(IFERROR(INDEX(DayStat,A161-DATE(PlanYear,1,1)+1)&amp;"","")&lt;&gt;"",0,1))</f>
        <v/>
      </c>
      <c r="L161" s="28">
        <f>IF(K161="","",K161*IFERROR(VLOOKUP(C161,CodeTable,4,0),0))</f>
        <v/>
      </c>
    </row>
    <row r="162">
      <c r="A162" s="22" t="n"/>
      <c r="B162" s="23" t="n"/>
      <c r="C162" s="24" t="n"/>
      <c r="D162" s="25" t="n"/>
      <c r="E162" s="26" t="n"/>
      <c r="F162" s="26" t="n"/>
      <c r="G162" s="27">
        <f>IF(C162="","",IFERROR(VLOOKUP(C162,CodeTable,3,0),1))</f>
        <v/>
      </c>
      <c r="H162" s="27">
        <f>IF(C162="","",IF(E162&lt;&gt;"",E162,IF(IFERROR(VLOOKUP(C162,CodeTable,5,0)&amp;"","")="","All",VLOOKUP(C162,CodeTable,5,0)&amp;"")))</f>
        <v/>
      </c>
      <c r="I162" s="28">
        <f>IF(OR(A162="",C162=""),"",A162&amp;"|"&amp;B162&amp;"|"&amp;(COUNTIFS(FlDate,A162,FlShift,B162,FlCode,"&lt;&gt;",FlOrder,"&lt;"&amp;J162)+COUNTIFS(A$6:A162,A162,B$6:B162,B162,C$6:C162,"&lt;&gt;",J$6:J162,J162)))</f>
        <v/>
      </c>
      <c r="J162" s="28">
        <f>IF(C162="","",IF(D162="","zz","t"&amp;D162))</f>
        <v/>
      </c>
      <c r="K162" s="28">
        <f>IF(OR(A162="",C162=""),"",IF(IFERROR(INDEX(DayStat,A162-DATE(PlanYear,1,1)+1)&amp;"","")&lt;&gt;"",0,1))</f>
        <v/>
      </c>
      <c r="L162" s="28">
        <f>IF(K162="","",K162*IFERROR(VLOOKUP(C162,CodeTable,4,0),0))</f>
        <v/>
      </c>
    </row>
    <row r="163">
      <c r="A163" s="22" t="n"/>
      <c r="B163" s="23" t="n"/>
      <c r="C163" s="24" t="n"/>
      <c r="D163" s="25" t="n"/>
      <c r="E163" s="26" t="n"/>
      <c r="F163" s="26" t="n"/>
      <c r="G163" s="27">
        <f>IF(C163="","",IFERROR(VLOOKUP(C163,CodeTable,3,0),1))</f>
        <v/>
      </c>
      <c r="H163" s="27">
        <f>IF(C163="","",IF(E163&lt;&gt;"",E163,IF(IFERROR(VLOOKUP(C163,CodeTable,5,0)&amp;"","")="","All",VLOOKUP(C163,CodeTable,5,0)&amp;"")))</f>
        <v/>
      </c>
      <c r="I163" s="28">
        <f>IF(OR(A163="",C163=""),"",A163&amp;"|"&amp;B163&amp;"|"&amp;(COUNTIFS(FlDate,A163,FlShift,B163,FlCode,"&lt;&gt;",FlOrder,"&lt;"&amp;J163)+COUNTIFS(A$6:A163,A163,B$6:B163,B163,C$6:C163,"&lt;&gt;",J$6:J163,J163)))</f>
        <v/>
      </c>
      <c r="J163" s="28">
        <f>IF(C163="","",IF(D163="","zz","t"&amp;D163))</f>
        <v/>
      </c>
      <c r="K163" s="28">
        <f>IF(OR(A163="",C163=""),"",IF(IFERROR(INDEX(DayStat,A163-DATE(PlanYear,1,1)+1)&amp;"","")&lt;&gt;"",0,1))</f>
        <v/>
      </c>
      <c r="L163" s="28">
        <f>IF(K163="","",K163*IFERROR(VLOOKUP(C163,CodeTable,4,0),0))</f>
        <v/>
      </c>
    </row>
    <row r="164">
      <c r="A164" s="22" t="n"/>
      <c r="B164" s="23" t="n"/>
      <c r="C164" s="24" t="n"/>
      <c r="D164" s="25" t="n"/>
      <c r="E164" s="26" t="n"/>
      <c r="F164" s="26" t="n"/>
      <c r="G164" s="27">
        <f>IF(C164="","",IFERROR(VLOOKUP(C164,CodeTable,3,0),1))</f>
        <v/>
      </c>
      <c r="H164" s="27">
        <f>IF(C164="","",IF(E164&lt;&gt;"",E164,IF(IFERROR(VLOOKUP(C164,CodeTable,5,0)&amp;"","")="","All",VLOOKUP(C164,CodeTable,5,0)&amp;"")))</f>
        <v/>
      </c>
      <c r="I164" s="28">
        <f>IF(OR(A164="",C164=""),"",A164&amp;"|"&amp;B164&amp;"|"&amp;(COUNTIFS(FlDate,A164,FlShift,B164,FlCode,"&lt;&gt;",FlOrder,"&lt;"&amp;J164)+COUNTIFS(A$6:A164,A164,B$6:B164,B164,C$6:C164,"&lt;&gt;",J$6:J164,J164)))</f>
        <v/>
      </c>
      <c r="J164" s="28">
        <f>IF(C164="","",IF(D164="","zz","t"&amp;D164))</f>
        <v/>
      </c>
      <c r="K164" s="28">
        <f>IF(OR(A164="",C164=""),"",IF(IFERROR(INDEX(DayStat,A164-DATE(PlanYear,1,1)+1)&amp;"","")&lt;&gt;"",0,1))</f>
        <v/>
      </c>
      <c r="L164" s="28">
        <f>IF(K164="","",K164*IFERROR(VLOOKUP(C164,CodeTable,4,0),0))</f>
        <v/>
      </c>
    </row>
    <row r="165">
      <c r="A165" s="22" t="n"/>
      <c r="B165" s="23" t="n"/>
      <c r="C165" s="24" t="n"/>
      <c r="D165" s="25" t="n"/>
      <c r="E165" s="26" t="n"/>
      <c r="F165" s="26" t="n"/>
      <c r="G165" s="27">
        <f>IF(C165="","",IFERROR(VLOOKUP(C165,CodeTable,3,0),1))</f>
        <v/>
      </c>
      <c r="H165" s="27">
        <f>IF(C165="","",IF(E165&lt;&gt;"",E165,IF(IFERROR(VLOOKUP(C165,CodeTable,5,0)&amp;"","")="","All",VLOOKUP(C165,CodeTable,5,0)&amp;"")))</f>
        <v/>
      </c>
      <c r="I165" s="28">
        <f>IF(OR(A165="",C165=""),"",A165&amp;"|"&amp;B165&amp;"|"&amp;(COUNTIFS(FlDate,A165,FlShift,B165,FlCode,"&lt;&gt;",FlOrder,"&lt;"&amp;J165)+COUNTIFS(A$6:A165,A165,B$6:B165,B165,C$6:C165,"&lt;&gt;",J$6:J165,J165)))</f>
        <v/>
      </c>
      <c r="J165" s="28">
        <f>IF(C165="","",IF(D165="","zz","t"&amp;D165))</f>
        <v/>
      </c>
      <c r="K165" s="28">
        <f>IF(OR(A165="",C165=""),"",IF(IFERROR(INDEX(DayStat,A165-DATE(PlanYear,1,1)+1)&amp;"","")&lt;&gt;"",0,1))</f>
        <v/>
      </c>
      <c r="L165" s="28">
        <f>IF(K165="","",K165*IFERROR(VLOOKUP(C165,CodeTable,4,0),0))</f>
        <v/>
      </c>
    </row>
    <row r="166">
      <c r="A166" s="22" t="n"/>
      <c r="B166" s="23" t="n"/>
      <c r="C166" s="24" t="n"/>
      <c r="D166" s="25" t="n"/>
      <c r="E166" s="26" t="n"/>
      <c r="F166" s="26" t="n"/>
      <c r="G166" s="27">
        <f>IF(C166="","",IFERROR(VLOOKUP(C166,CodeTable,3,0),1))</f>
        <v/>
      </c>
      <c r="H166" s="27">
        <f>IF(C166="","",IF(E166&lt;&gt;"",E166,IF(IFERROR(VLOOKUP(C166,CodeTable,5,0)&amp;"","")="","All",VLOOKUP(C166,CodeTable,5,0)&amp;"")))</f>
        <v/>
      </c>
      <c r="I166" s="28">
        <f>IF(OR(A166="",C166=""),"",A166&amp;"|"&amp;B166&amp;"|"&amp;(COUNTIFS(FlDate,A166,FlShift,B166,FlCode,"&lt;&gt;",FlOrder,"&lt;"&amp;J166)+COUNTIFS(A$6:A166,A166,B$6:B166,B166,C$6:C166,"&lt;&gt;",J$6:J166,J166)))</f>
        <v/>
      </c>
      <c r="J166" s="28">
        <f>IF(C166="","",IF(D166="","zz","t"&amp;D166))</f>
        <v/>
      </c>
      <c r="K166" s="28">
        <f>IF(OR(A166="",C166=""),"",IF(IFERROR(INDEX(DayStat,A166-DATE(PlanYear,1,1)+1)&amp;"","")&lt;&gt;"",0,1))</f>
        <v/>
      </c>
      <c r="L166" s="28">
        <f>IF(K166="","",K166*IFERROR(VLOOKUP(C166,CodeTable,4,0),0))</f>
        <v/>
      </c>
    </row>
    <row r="167">
      <c r="A167" s="22" t="n"/>
      <c r="B167" s="23" t="n"/>
      <c r="C167" s="24" t="n"/>
      <c r="D167" s="25" t="n"/>
      <c r="E167" s="26" t="n"/>
      <c r="F167" s="26" t="n"/>
      <c r="G167" s="27">
        <f>IF(C167="","",IFERROR(VLOOKUP(C167,CodeTable,3,0),1))</f>
        <v/>
      </c>
      <c r="H167" s="27">
        <f>IF(C167="","",IF(E167&lt;&gt;"",E167,IF(IFERROR(VLOOKUP(C167,CodeTable,5,0)&amp;"","")="","All",VLOOKUP(C167,CodeTable,5,0)&amp;"")))</f>
        <v/>
      </c>
      <c r="I167" s="28">
        <f>IF(OR(A167="",C167=""),"",A167&amp;"|"&amp;B167&amp;"|"&amp;(COUNTIFS(FlDate,A167,FlShift,B167,FlCode,"&lt;&gt;",FlOrder,"&lt;"&amp;J167)+COUNTIFS(A$6:A167,A167,B$6:B167,B167,C$6:C167,"&lt;&gt;",J$6:J167,J167)))</f>
        <v/>
      </c>
      <c r="J167" s="28">
        <f>IF(C167="","",IF(D167="","zz","t"&amp;D167))</f>
        <v/>
      </c>
      <c r="K167" s="28">
        <f>IF(OR(A167="",C167=""),"",IF(IFERROR(INDEX(DayStat,A167-DATE(PlanYear,1,1)+1)&amp;"","")&lt;&gt;"",0,1))</f>
        <v/>
      </c>
      <c r="L167" s="28">
        <f>IF(K167="","",K167*IFERROR(VLOOKUP(C167,CodeTable,4,0),0))</f>
        <v/>
      </c>
    </row>
    <row r="168">
      <c r="A168" s="22" t="n"/>
      <c r="B168" s="23" t="n"/>
      <c r="C168" s="24" t="n"/>
      <c r="D168" s="25" t="n"/>
      <c r="E168" s="26" t="n"/>
      <c r="F168" s="26" t="n"/>
      <c r="G168" s="27">
        <f>IF(C168="","",IFERROR(VLOOKUP(C168,CodeTable,3,0),1))</f>
        <v/>
      </c>
      <c r="H168" s="27">
        <f>IF(C168="","",IF(E168&lt;&gt;"",E168,IF(IFERROR(VLOOKUP(C168,CodeTable,5,0)&amp;"","")="","All",VLOOKUP(C168,CodeTable,5,0)&amp;"")))</f>
        <v/>
      </c>
      <c r="I168" s="28">
        <f>IF(OR(A168="",C168=""),"",A168&amp;"|"&amp;B168&amp;"|"&amp;(COUNTIFS(FlDate,A168,FlShift,B168,FlCode,"&lt;&gt;",FlOrder,"&lt;"&amp;J168)+COUNTIFS(A$6:A168,A168,B$6:B168,B168,C$6:C168,"&lt;&gt;",J$6:J168,J168)))</f>
        <v/>
      </c>
      <c r="J168" s="28">
        <f>IF(C168="","",IF(D168="","zz","t"&amp;D168))</f>
        <v/>
      </c>
      <c r="K168" s="28">
        <f>IF(OR(A168="",C168=""),"",IF(IFERROR(INDEX(DayStat,A168-DATE(PlanYear,1,1)+1)&amp;"","")&lt;&gt;"",0,1))</f>
        <v/>
      </c>
      <c r="L168" s="28">
        <f>IF(K168="","",K168*IFERROR(VLOOKUP(C168,CodeTable,4,0),0))</f>
        <v/>
      </c>
    </row>
    <row r="169">
      <c r="A169" s="22" t="n"/>
      <c r="B169" s="23" t="n"/>
      <c r="C169" s="24" t="n"/>
      <c r="D169" s="25" t="n"/>
      <c r="E169" s="26" t="n"/>
      <c r="F169" s="26" t="n"/>
      <c r="G169" s="27">
        <f>IF(C169="","",IFERROR(VLOOKUP(C169,CodeTable,3,0),1))</f>
        <v/>
      </c>
      <c r="H169" s="27">
        <f>IF(C169="","",IF(E169&lt;&gt;"",E169,IF(IFERROR(VLOOKUP(C169,CodeTable,5,0)&amp;"","")="","All",VLOOKUP(C169,CodeTable,5,0)&amp;"")))</f>
        <v/>
      </c>
      <c r="I169" s="28">
        <f>IF(OR(A169="",C169=""),"",A169&amp;"|"&amp;B169&amp;"|"&amp;(COUNTIFS(FlDate,A169,FlShift,B169,FlCode,"&lt;&gt;",FlOrder,"&lt;"&amp;J169)+COUNTIFS(A$6:A169,A169,B$6:B169,B169,C$6:C169,"&lt;&gt;",J$6:J169,J169)))</f>
        <v/>
      </c>
      <c r="J169" s="28">
        <f>IF(C169="","",IF(D169="","zz","t"&amp;D169))</f>
        <v/>
      </c>
      <c r="K169" s="28">
        <f>IF(OR(A169="",C169=""),"",IF(IFERROR(INDEX(DayStat,A169-DATE(PlanYear,1,1)+1)&amp;"","")&lt;&gt;"",0,1))</f>
        <v/>
      </c>
      <c r="L169" s="28">
        <f>IF(K169="","",K169*IFERROR(VLOOKUP(C169,CodeTable,4,0),0))</f>
        <v/>
      </c>
    </row>
    <row r="170">
      <c r="A170" s="22" t="n"/>
      <c r="B170" s="23" t="n"/>
      <c r="C170" s="24" t="n"/>
      <c r="D170" s="25" t="n"/>
      <c r="E170" s="26" t="n"/>
      <c r="F170" s="26" t="n"/>
      <c r="G170" s="27">
        <f>IF(C170="","",IFERROR(VLOOKUP(C170,CodeTable,3,0),1))</f>
        <v/>
      </c>
      <c r="H170" s="27">
        <f>IF(C170="","",IF(E170&lt;&gt;"",E170,IF(IFERROR(VLOOKUP(C170,CodeTable,5,0)&amp;"","")="","All",VLOOKUP(C170,CodeTable,5,0)&amp;"")))</f>
        <v/>
      </c>
      <c r="I170" s="28">
        <f>IF(OR(A170="",C170=""),"",A170&amp;"|"&amp;B170&amp;"|"&amp;(COUNTIFS(FlDate,A170,FlShift,B170,FlCode,"&lt;&gt;",FlOrder,"&lt;"&amp;J170)+COUNTIFS(A$6:A170,A170,B$6:B170,B170,C$6:C170,"&lt;&gt;",J$6:J170,J170)))</f>
        <v/>
      </c>
      <c r="J170" s="28">
        <f>IF(C170="","",IF(D170="","zz","t"&amp;D170))</f>
        <v/>
      </c>
      <c r="K170" s="28">
        <f>IF(OR(A170="",C170=""),"",IF(IFERROR(INDEX(DayStat,A170-DATE(PlanYear,1,1)+1)&amp;"","")&lt;&gt;"",0,1))</f>
        <v/>
      </c>
      <c r="L170" s="28">
        <f>IF(K170="","",K170*IFERROR(VLOOKUP(C170,CodeTable,4,0),0))</f>
        <v/>
      </c>
    </row>
    <row r="171">
      <c r="A171" s="22" t="n"/>
      <c r="B171" s="23" t="n"/>
      <c r="C171" s="24" t="n"/>
      <c r="D171" s="25" t="n"/>
      <c r="E171" s="26" t="n"/>
      <c r="F171" s="26" t="n"/>
      <c r="G171" s="27">
        <f>IF(C171="","",IFERROR(VLOOKUP(C171,CodeTable,3,0),1))</f>
        <v/>
      </c>
      <c r="H171" s="27">
        <f>IF(C171="","",IF(E171&lt;&gt;"",E171,IF(IFERROR(VLOOKUP(C171,CodeTable,5,0)&amp;"","")="","All",VLOOKUP(C171,CodeTable,5,0)&amp;"")))</f>
        <v/>
      </c>
      <c r="I171" s="28">
        <f>IF(OR(A171="",C171=""),"",A171&amp;"|"&amp;B171&amp;"|"&amp;(COUNTIFS(FlDate,A171,FlShift,B171,FlCode,"&lt;&gt;",FlOrder,"&lt;"&amp;J171)+COUNTIFS(A$6:A171,A171,B$6:B171,B171,C$6:C171,"&lt;&gt;",J$6:J171,J171)))</f>
        <v/>
      </c>
      <c r="J171" s="28">
        <f>IF(C171="","",IF(D171="","zz","t"&amp;D171))</f>
        <v/>
      </c>
      <c r="K171" s="28">
        <f>IF(OR(A171="",C171=""),"",IF(IFERROR(INDEX(DayStat,A171-DATE(PlanYear,1,1)+1)&amp;"","")&lt;&gt;"",0,1))</f>
        <v/>
      </c>
      <c r="L171" s="28">
        <f>IF(K171="","",K171*IFERROR(VLOOKUP(C171,CodeTable,4,0),0))</f>
        <v/>
      </c>
    </row>
    <row r="172">
      <c r="A172" s="22" t="n"/>
      <c r="B172" s="23" t="n"/>
      <c r="C172" s="24" t="n"/>
      <c r="D172" s="25" t="n"/>
      <c r="E172" s="26" t="n"/>
      <c r="F172" s="26" t="n"/>
      <c r="G172" s="27">
        <f>IF(C172="","",IFERROR(VLOOKUP(C172,CodeTable,3,0),1))</f>
        <v/>
      </c>
      <c r="H172" s="27">
        <f>IF(C172="","",IF(E172&lt;&gt;"",E172,IF(IFERROR(VLOOKUP(C172,CodeTable,5,0)&amp;"","")="","All",VLOOKUP(C172,CodeTable,5,0)&amp;"")))</f>
        <v/>
      </c>
      <c r="I172" s="28">
        <f>IF(OR(A172="",C172=""),"",A172&amp;"|"&amp;B172&amp;"|"&amp;(COUNTIFS(FlDate,A172,FlShift,B172,FlCode,"&lt;&gt;",FlOrder,"&lt;"&amp;J172)+COUNTIFS(A$6:A172,A172,B$6:B172,B172,C$6:C172,"&lt;&gt;",J$6:J172,J172)))</f>
        <v/>
      </c>
      <c r="J172" s="28">
        <f>IF(C172="","",IF(D172="","zz","t"&amp;D172))</f>
        <v/>
      </c>
      <c r="K172" s="28">
        <f>IF(OR(A172="",C172=""),"",IF(IFERROR(INDEX(DayStat,A172-DATE(PlanYear,1,1)+1)&amp;"","")&lt;&gt;"",0,1))</f>
        <v/>
      </c>
      <c r="L172" s="28">
        <f>IF(K172="","",K172*IFERROR(VLOOKUP(C172,CodeTable,4,0),0))</f>
        <v/>
      </c>
    </row>
    <row r="173">
      <c r="A173" s="22" t="n"/>
      <c r="B173" s="23" t="n"/>
      <c r="C173" s="24" t="n"/>
      <c r="D173" s="25" t="n"/>
      <c r="E173" s="26" t="n"/>
      <c r="F173" s="26" t="n"/>
      <c r="G173" s="27">
        <f>IF(C173="","",IFERROR(VLOOKUP(C173,CodeTable,3,0),1))</f>
        <v/>
      </c>
      <c r="H173" s="27">
        <f>IF(C173="","",IF(E173&lt;&gt;"",E173,IF(IFERROR(VLOOKUP(C173,CodeTable,5,0)&amp;"","")="","All",VLOOKUP(C173,CodeTable,5,0)&amp;"")))</f>
        <v/>
      </c>
      <c r="I173" s="28">
        <f>IF(OR(A173="",C173=""),"",A173&amp;"|"&amp;B173&amp;"|"&amp;(COUNTIFS(FlDate,A173,FlShift,B173,FlCode,"&lt;&gt;",FlOrder,"&lt;"&amp;J173)+COUNTIFS(A$6:A173,A173,B$6:B173,B173,C$6:C173,"&lt;&gt;",J$6:J173,J173)))</f>
        <v/>
      </c>
      <c r="J173" s="28">
        <f>IF(C173="","",IF(D173="","zz","t"&amp;D173))</f>
        <v/>
      </c>
      <c r="K173" s="28">
        <f>IF(OR(A173="",C173=""),"",IF(IFERROR(INDEX(DayStat,A173-DATE(PlanYear,1,1)+1)&amp;"","")&lt;&gt;"",0,1))</f>
        <v/>
      </c>
      <c r="L173" s="28">
        <f>IF(K173="","",K173*IFERROR(VLOOKUP(C173,CodeTable,4,0),0))</f>
        <v/>
      </c>
    </row>
    <row r="174">
      <c r="A174" s="22" t="n"/>
      <c r="B174" s="23" t="n"/>
      <c r="C174" s="24" t="n"/>
      <c r="D174" s="25" t="n"/>
      <c r="E174" s="26" t="n"/>
      <c r="F174" s="26" t="n"/>
      <c r="G174" s="27">
        <f>IF(C174="","",IFERROR(VLOOKUP(C174,CodeTable,3,0),1))</f>
        <v/>
      </c>
      <c r="H174" s="27">
        <f>IF(C174="","",IF(E174&lt;&gt;"",E174,IF(IFERROR(VLOOKUP(C174,CodeTable,5,0)&amp;"","")="","All",VLOOKUP(C174,CodeTable,5,0)&amp;"")))</f>
        <v/>
      </c>
      <c r="I174" s="28">
        <f>IF(OR(A174="",C174=""),"",A174&amp;"|"&amp;B174&amp;"|"&amp;(COUNTIFS(FlDate,A174,FlShift,B174,FlCode,"&lt;&gt;",FlOrder,"&lt;"&amp;J174)+COUNTIFS(A$6:A174,A174,B$6:B174,B174,C$6:C174,"&lt;&gt;",J$6:J174,J174)))</f>
        <v/>
      </c>
      <c r="J174" s="28">
        <f>IF(C174="","",IF(D174="","zz","t"&amp;D174))</f>
        <v/>
      </c>
      <c r="K174" s="28">
        <f>IF(OR(A174="",C174=""),"",IF(IFERROR(INDEX(DayStat,A174-DATE(PlanYear,1,1)+1)&amp;"","")&lt;&gt;"",0,1))</f>
        <v/>
      </c>
      <c r="L174" s="28">
        <f>IF(K174="","",K174*IFERROR(VLOOKUP(C174,CodeTable,4,0),0))</f>
        <v/>
      </c>
    </row>
    <row r="175">
      <c r="A175" s="22" t="n"/>
      <c r="B175" s="23" t="n"/>
      <c r="C175" s="24" t="n"/>
      <c r="D175" s="25" t="n"/>
      <c r="E175" s="26" t="n"/>
      <c r="F175" s="26" t="n"/>
      <c r="G175" s="27">
        <f>IF(C175="","",IFERROR(VLOOKUP(C175,CodeTable,3,0),1))</f>
        <v/>
      </c>
      <c r="H175" s="27">
        <f>IF(C175="","",IF(E175&lt;&gt;"",E175,IF(IFERROR(VLOOKUP(C175,CodeTable,5,0)&amp;"","")="","All",VLOOKUP(C175,CodeTable,5,0)&amp;"")))</f>
        <v/>
      </c>
      <c r="I175" s="28">
        <f>IF(OR(A175="",C175=""),"",A175&amp;"|"&amp;B175&amp;"|"&amp;(COUNTIFS(FlDate,A175,FlShift,B175,FlCode,"&lt;&gt;",FlOrder,"&lt;"&amp;J175)+COUNTIFS(A$6:A175,A175,B$6:B175,B175,C$6:C175,"&lt;&gt;",J$6:J175,J175)))</f>
        <v/>
      </c>
      <c r="J175" s="28">
        <f>IF(C175="","",IF(D175="","zz","t"&amp;D175))</f>
        <v/>
      </c>
      <c r="K175" s="28">
        <f>IF(OR(A175="",C175=""),"",IF(IFERROR(INDEX(DayStat,A175-DATE(PlanYear,1,1)+1)&amp;"","")&lt;&gt;"",0,1))</f>
        <v/>
      </c>
      <c r="L175" s="28">
        <f>IF(K175="","",K175*IFERROR(VLOOKUP(C175,CodeTable,4,0),0))</f>
        <v/>
      </c>
    </row>
    <row r="176">
      <c r="A176" s="22" t="n"/>
      <c r="B176" s="23" t="n"/>
      <c r="C176" s="24" t="n"/>
      <c r="D176" s="25" t="n"/>
      <c r="E176" s="26" t="n"/>
      <c r="F176" s="26" t="n"/>
      <c r="G176" s="27">
        <f>IF(C176="","",IFERROR(VLOOKUP(C176,CodeTable,3,0),1))</f>
        <v/>
      </c>
      <c r="H176" s="27">
        <f>IF(C176="","",IF(E176&lt;&gt;"",E176,IF(IFERROR(VLOOKUP(C176,CodeTable,5,0)&amp;"","")="","All",VLOOKUP(C176,CodeTable,5,0)&amp;"")))</f>
        <v/>
      </c>
      <c r="I176" s="28">
        <f>IF(OR(A176="",C176=""),"",A176&amp;"|"&amp;B176&amp;"|"&amp;(COUNTIFS(FlDate,A176,FlShift,B176,FlCode,"&lt;&gt;",FlOrder,"&lt;"&amp;J176)+COUNTIFS(A$6:A176,A176,B$6:B176,B176,C$6:C176,"&lt;&gt;",J$6:J176,J176)))</f>
        <v/>
      </c>
      <c r="J176" s="28">
        <f>IF(C176="","",IF(D176="","zz","t"&amp;D176))</f>
        <v/>
      </c>
      <c r="K176" s="28">
        <f>IF(OR(A176="",C176=""),"",IF(IFERROR(INDEX(DayStat,A176-DATE(PlanYear,1,1)+1)&amp;"","")&lt;&gt;"",0,1))</f>
        <v/>
      </c>
      <c r="L176" s="28">
        <f>IF(K176="","",K176*IFERROR(VLOOKUP(C176,CodeTable,4,0),0))</f>
        <v/>
      </c>
    </row>
    <row r="177">
      <c r="A177" s="22" t="n"/>
      <c r="B177" s="23" t="n"/>
      <c r="C177" s="24" t="n"/>
      <c r="D177" s="25" t="n"/>
      <c r="E177" s="26" t="n"/>
      <c r="F177" s="26" t="n"/>
      <c r="G177" s="27">
        <f>IF(C177="","",IFERROR(VLOOKUP(C177,CodeTable,3,0),1))</f>
        <v/>
      </c>
      <c r="H177" s="27">
        <f>IF(C177="","",IF(E177&lt;&gt;"",E177,IF(IFERROR(VLOOKUP(C177,CodeTable,5,0)&amp;"","")="","All",VLOOKUP(C177,CodeTable,5,0)&amp;"")))</f>
        <v/>
      </c>
      <c r="I177" s="28">
        <f>IF(OR(A177="",C177=""),"",A177&amp;"|"&amp;B177&amp;"|"&amp;(COUNTIFS(FlDate,A177,FlShift,B177,FlCode,"&lt;&gt;",FlOrder,"&lt;"&amp;J177)+COUNTIFS(A$6:A177,A177,B$6:B177,B177,C$6:C177,"&lt;&gt;",J$6:J177,J177)))</f>
        <v/>
      </c>
      <c r="J177" s="28">
        <f>IF(C177="","",IF(D177="","zz","t"&amp;D177))</f>
        <v/>
      </c>
      <c r="K177" s="28">
        <f>IF(OR(A177="",C177=""),"",IF(IFERROR(INDEX(DayStat,A177-DATE(PlanYear,1,1)+1)&amp;"","")&lt;&gt;"",0,1))</f>
        <v/>
      </c>
      <c r="L177" s="28">
        <f>IF(K177="","",K177*IFERROR(VLOOKUP(C177,CodeTable,4,0),0))</f>
        <v/>
      </c>
    </row>
    <row r="178">
      <c r="A178" s="22" t="n"/>
      <c r="B178" s="23" t="n"/>
      <c r="C178" s="24" t="n"/>
      <c r="D178" s="25" t="n"/>
      <c r="E178" s="26" t="n"/>
      <c r="F178" s="26" t="n"/>
      <c r="G178" s="27">
        <f>IF(C178="","",IFERROR(VLOOKUP(C178,CodeTable,3,0),1))</f>
        <v/>
      </c>
      <c r="H178" s="27">
        <f>IF(C178="","",IF(E178&lt;&gt;"",E178,IF(IFERROR(VLOOKUP(C178,CodeTable,5,0)&amp;"","")="","All",VLOOKUP(C178,CodeTable,5,0)&amp;"")))</f>
        <v/>
      </c>
      <c r="I178" s="28">
        <f>IF(OR(A178="",C178=""),"",A178&amp;"|"&amp;B178&amp;"|"&amp;(COUNTIFS(FlDate,A178,FlShift,B178,FlCode,"&lt;&gt;",FlOrder,"&lt;"&amp;J178)+COUNTIFS(A$6:A178,A178,B$6:B178,B178,C$6:C178,"&lt;&gt;",J$6:J178,J178)))</f>
        <v/>
      </c>
      <c r="J178" s="28">
        <f>IF(C178="","",IF(D178="","zz","t"&amp;D178))</f>
        <v/>
      </c>
      <c r="K178" s="28">
        <f>IF(OR(A178="",C178=""),"",IF(IFERROR(INDEX(DayStat,A178-DATE(PlanYear,1,1)+1)&amp;"","")&lt;&gt;"",0,1))</f>
        <v/>
      </c>
      <c r="L178" s="28">
        <f>IF(K178="","",K178*IFERROR(VLOOKUP(C178,CodeTable,4,0),0))</f>
        <v/>
      </c>
    </row>
    <row r="179">
      <c r="A179" s="22" t="n"/>
      <c r="B179" s="23" t="n"/>
      <c r="C179" s="24" t="n"/>
      <c r="D179" s="25" t="n"/>
      <c r="E179" s="26" t="n"/>
      <c r="F179" s="26" t="n"/>
      <c r="G179" s="27">
        <f>IF(C179="","",IFERROR(VLOOKUP(C179,CodeTable,3,0),1))</f>
        <v/>
      </c>
      <c r="H179" s="27">
        <f>IF(C179="","",IF(E179&lt;&gt;"",E179,IF(IFERROR(VLOOKUP(C179,CodeTable,5,0)&amp;"","")="","All",VLOOKUP(C179,CodeTable,5,0)&amp;"")))</f>
        <v/>
      </c>
      <c r="I179" s="28">
        <f>IF(OR(A179="",C179=""),"",A179&amp;"|"&amp;B179&amp;"|"&amp;(COUNTIFS(FlDate,A179,FlShift,B179,FlCode,"&lt;&gt;",FlOrder,"&lt;"&amp;J179)+COUNTIFS(A$6:A179,A179,B$6:B179,B179,C$6:C179,"&lt;&gt;",J$6:J179,J179)))</f>
        <v/>
      </c>
      <c r="J179" s="28">
        <f>IF(C179="","",IF(D179="","zz","t"&amp;D179))</f>
        <v/>
      </c>
      <c r="K179" s="28">
        <f>IF(OR(A179="",C179=""),"",IF(IFERROR(INDEX(DayStat,A179-DATE(PlanYear,1,1)+1)&amp;"","")&lt;&gt;"",0,1))</f>
        <v/>
      </c>
      <c r="L179" s="28">
        <f>IF(K179="","",K179*IFERROR(VLOOKUP(C179,CodeTable,4,0),0))</f>
        <v/>
      </c>
    </row>
    <row r="180">
      <c r="A180" s="22" t="n"/>
      <c r="B180" s="23" t="n"/>
      <c r="C180" s="24" t="n"/>
      <c r="D180" s="25" t="n"/>
      <c r="E180" s="26" t="n"/>
      <c r="F180" s="26" t="n"/>
      <c r="G180" s="27">
        <f>IF(C180="","",IFERROR(VLOOKUP(C180,CodeTable,3,0),1))</f>
        <v/>
      </c>
      <c r="H180" s="27">
        <f>IF(C180="","",IF(E180&lt;&gt;"",E180,IF(IFERROR(VLOOKUP(C180,CodeTable,5,0)&amp;"","")="","All",VLOOKUP(C180,CodeTable,5,0)&amp;"")))</f>
        <v/>
      </c>
      <c r="I180" s="28">
        <f>IF(OR(A180="",C180=""),"",A180&amp;"|"&amp;B180&amp;"|"&amp;(COUNTIFS(FlDate,A180,FlShift,B180,FlCode,"&lt;&gt;",FlOrder,"&lt;"&amp;J180)+COUNTIFS(A$6:A180,A180,B$6:B180,B180,C$6:C180,"&lt;&gt;",J$6:J180,J180)))</f>
        <v/>
      </c>
      <c r="J180" s="28">
        <f>IF(C180="","",IF(D180="","zz","t"&amp;D180))</f>
        <v/>
      </c>
      <c r="K180" s="28">
        <f>IF(OR(A180="",C180=""),"",IF(IFERROR(INDEX(DayStat,A180-DATE(PlanYear,1,1)+1)&amp;"","")&lt;&gt;"",0,1))</f>
        <v/>
      </c>
      <c r="L180" s="28">
        <f>IF(K180="","",K180*IFERROR(VLOOKUP(C180,CodeTable,4,0),0))</f>
        <v/>
      </c>
    </row>
    <row r="181">
      <c r="A181" s="22" t="n"/>
      <c r="B181" s="23" t="n"/>
      <c r="C181" s="24" t="n"/>
      <c r="D181" s="25" t="n"/>
      <c r="E181" s="26" t="n"/>
      <c r="F181" s="26" t="n"/>
      <c r="G181" s="27">
        <f>IF(C181="","",IFERROR(VLOOKUP(C181,CodeTable,3,0),1))</f>
        <v/>
      </c>
      <c r="H181" s="27">
        <f>IF(C181="","",IF(E181&lt;&gt;"",E181,IF(IFERROR(VLOOKUP(C181,CodeTable,5,0)&amp;"","")="","All",VLOOKUP(C181,CodeTable,5,0)&amp;"")))</f>
        <v/>
      </c>
      <c r="I181" s="28">
        <f>IF(OR(A181="",C181=""),"",A181&amp;"|"&amp;B181&amp;"|"&amp;(COUNTIFS(FlDate,A181,FlShift,B181,FlCode,"&lt;&gt;",FlOrder,"&lt;"&amp;J181)+COUNTIFS(A$6:A181,A181,B$6:B181,B181,C$6:C181,"&lt;&gt;",J$6:J181,J181)))</f>
        <v/>
      </c>
      <c r="J181" s="28">
        <f>IF(C181="","",IF(D181="","zz","t"&amp;D181))</f>
        <v/>
      </c>
      <c r="K181" s="28">
        <f>IF(OR(A181="",C181=""),"",IF(IFERROR(INDEX(DayStat,A181-DATE(PlanYear,1,1)+1)&amp;"","")&lt;&gt;"",0,1))</f>
        <v/>
      </c>
      <c r="L181" s="28">
        <f>IF(K181="","",K181*IFERROR(VLOOKUP(C181,CodeTable,4,0),0))</f>
        <v/>
      </c>
    </row>
    <row r="182">
      <c r="A182" s="22" t="n"/>
      <c r="B182" s="23" t="n"/>
      <c r="C182" s="24" t="n"/>
      <c r="D182" s="25" t="n"/>
      <c r="E182" s="26" t="n"/>
      <c r="F182" s="26" t="n"/>
      <c r="G182" s="27">
        <f>IF(C182="","",IFERROR(VLOOKUP(C182,CodeTable,3,0),1))</f>
        <v/>
      </c>
      <c r="H182" s="27">
        <f>IF(C182="","",IF(E182&lt;&gt;"",E182,IF(IFERROR(VLOOKUP(C182,CodeTable,5,0)&amp;"","")="","All",VLOOKUP(C182,CodeTable,5,0)&amp;"")))</f>
        <v/>
      </c>
      <c r="I182" s="28">
        <f>IF(OR(A182="",C182=""),"",A182&amp;"|"&amp;B182&amp;"|"&amp;(COUNTIFS(FlDate,A182,FlShift,B182,FlCode,"&lt;&gt;",FlOrder,"&lt;"&amp;J182)+COUNTIFS(A$6:A182,A182,B$6:B182,B182,C$6:C182,"&lt;&gt;",J$6:J182,J182)))</f>
        <v/>
      </c>
      <c r="J182" s="28">
        <f>IF(C182="","",IF(D182="","zz","t"&amp;D182))</f>
        <v/>
      </c>
      <c r="K182" s="28">
        <f>IF(OR(A182="",C182=""),"",IF(IFERROR(INDEX(DayStat,A182-DATE(PlanYear,1,1)+1)&amp;"","")&lt;&gt;"",0,1))</f>
        <v/>
      </c>
      <c r="L182" s="28">
        <f>IF(K182="","",K182*IFERROR(VLOOKUP(C182,CodeTable,4,0),0))</f>
        <v/>
      </c>
    </row>
    <row r="183">
      <c r="A183" s="22" t="n"/>
      <c r="B183" s="23" t="n"/>
      <c r="C183" s="24" t="n"/>
      <c r="D183" s="25" t="n"/>
      <c r="E183" s="26" t="n"/>
      <c r="F183" s="26" t="n"/>
      <c r="G183" s="27">
        <f>IF(C183="","",IFERROR(VLOOKUP(C183,CodeTable,3,0),1))</f>
        <v/>
      </c>
      <c r="H183" s="27">
        <f>IF(C183="","",IF(E183&lt;&gt;"",E183,IF(IFERROR(VLOOKUP(C183,CodeTable,5,0)&amp;"","")="","All",VLOOKUP(C183,CodeTable,5,0)&amp;"")))</f>
        <v/>
      </c>
      <c r="I183" s="28">
        <f>IF(OR(A183="",C183=""),"",A183&amp;"|"&amp;B183&amp;"|"&amp;(COUNTIFS(FlDate,A183,FlShift,B183,FlCode,"&lt;&gt;",FlOrder,"&lt;"&amp;J183)+COUNTIFS(A$6:A183,A183,B$6:B183,B183,C$6:C183,"&lt;&gt;",J$6:J183,J183)))</f>
        <v/>
      </c>
      <c r="J183" s="28">
        <f>IF(C183="","",IF(D183="","zz","t"&amp;D183))</f>
        <v/>
      </c>
      <c r="K183" s="28">
        <f>IF(OR(A183="",C183=""),"",IF(IFERROR(INDEX(DayStat,A183-DATE(PlanYear,1,1)+1)&amp;"","")&lt;&gt;"",0,1))</f>
        <v/>
      </c>
      <c r="L183" s="28">
        <f>IF(K183="","",K183*IFERROR(VLOOKUP(C183,CodeTable,4,0),0))</f>
        <v/>
      </c>
    </row>
    <row r="184">
      <c r="A184" s="22" t="n"/>
      <c r="B184" s="23" t="n"/>
      <c r="C184" s="24" t="n"/>
      <c r="D184" s="25" t="n"/>
      <c r="E184" s="26" t="n"/>
      <c r="F184" s="26" t="n"/>
      <c r="G184" s="27">
        <f>IF(C184="","",IFERROR(VLOOKUP(C184,CodeTable,3,0),1))</f>
        <v/>
      </c>
      <c r="H184" s="27">
        <f>IF(C184="","",IF(E184&lt;&gt;"",E184,IF(IFERROR(VLOOKUP(C184,CodeTable,5,0)&amp;"","")="","All",VLOOKUP(C184,CodeTable,5,0)&amp;"")))</f>
        <v/>
      </c>
      <c r="I184" s="28">
        <f>IF(OR(A184="",C184=""),"",A184&amp;"|"&amp;B184&amp;"|"&amp;(COUNTIFS(FlDate,A184,FlShift,B184,FlCode,"&lt;&gt;",FlOrder,"&lt;"&amp;J184)+COUNTIFS(A$6:A184,A184,B$6:B184,B184,C$6:C184,"&lt;&gt;",J$6:J184,J184)))</f>
        <v/>
      </c>
      <c r="J184" s="28">
        <f>IF(C184="","",IF(D184="","zz","t"&amp;D184))</f>
        <v/>
      </c>
      <c r="K184" s="28">
        <f>IF(OR(A184="",C184=""),"",IF(IFERROR(INDEX(DayStat,A184-DATE(PlanYear,1,1)+1)&amp;"","")&lt;&gt;"",0,1))</f>
        <v/>
      </c>
      <c r="L184" s="28">
        <f>IF(K184="","",K184*IFERROR(VLOOKUP(C184,CodeTable,4,0),0))</f>
        <v/>
      </c>
    </row>
    <row r="185">
      <c r="A185" s="22" t="n"/>
      <c r="B185" s="23" t="n"/>
      <c r="C185" s="24" t="n"/>
      <c r="D185" s="25" t="n"/>
      <c r="E185" s="26" t="n"/>
      <c r="F185" s="26" t="n"/>
      <c r="G185" s="27">
        <f>IF(C185="","",IFERROR(VLOOKUP(C185,CodeTable,3,0),1))</f>
        <v/>
      </c>
      <c r="H185" s="27">
        <f>IF(C185="","",IF(E185&lt;&gt;"",E185,IF(IFERROR(VLOOKUP(C185,CodeTable,5,0)&amp;"","")="","All",VLOOKUP(C185,CodeTable,5,0)&amp;"")))</f>
        <v/>
      </c>
      <c r="I185" s="28">
        <f>IF(OR(A185="",C185=""),"",A185&amp;"|"&amp;B185&amp;"|"&amp;(COUNTIFS(FlDate,A185,FlShift,B185,FlCode,"&lt;&gt;",FlOrder,"&lt;"&amp;J185)+COUNTIFS(A$6:A185,A185,B$6:B185,B185,C$6:C185,"&lt;&gt;",J$6:J185,J185)))</f>
        <v/>
      </c>
      <c r="J185" s="28">
        <f>IF(C185="","",IF(D185="","zz","t"&amp;D185))</f>
        <v/>
      </c>
      <c r="K185" s="28">
        <f>IF(OR(A185="",C185=""),"",IF(IFERROR(INDEX(DayStat,A185-DATE(PlanYear,1,1)+1)&amp;"","")&lt;&gt;"",0,1))</f>
        <v/>
      </c>
      <c r="L185" s="28">
        <f>IF(K185="","",K185*IFERROR(VLOOKUP(C185,CodeTable,4,0),0))</f>
        <v/>
      </c>
    </row>
    <row r="186">
      <c r="A186" s="22" t="n"/>
      <c r="B186" s="23" t="n"/>
      <c r="C186" s="24" t="n"/>
      <c r="D186" s="25" t="n"/>
      <c r="E186" s="26" t="n"/>
      <c r="F186" s="26" t="n"/>
      <c r="G186" s="27">
        <f>IF(C186="","",IFERROR(VLOOKUP(C186,CodeTable,3,0),1))</f>
        <v/>
      </c>
      <c r="H186" s="27">
        <f>IF(C186="","",IF(E186&lt;&gt;"",E186,IF(IFERROR(VLOOKUP(C186,CodeTable,5,0)&amp;"","")="","All",VLOOKUP(C186,CodeTable,5,0)&amp;"")))</f>
        <v/>
      </c>
      <c r="I186" s="28">
        <f>IF(OR(A186="",C186=""),"",A186&amp;"|"&amp;B186&amp;"|"&amp;(COUNTIFS(FlDate,A186,FlShift,B186,FlCode,"&lt;&gt;",FlOrder,"&lt;"&amp;J186)+COUNTIFS(A$6:A186,A186,B$6:B186,B186,C$6:C186,"&lt;&gt;",J$6:J186,J186)))</f>
        <v/>
      </c>
      <c r="J186" s="28">
        <f>IF(C186="","",IF(D186="","zz","t"&amp;D186))</f>
        <v/>
      </c>
      <c r="K186" s="28">
        <f>IF(OR(A186="",C186=""),"",IF(IFERROR(INDEX(DayStat,A186-DATE(PlanYear,1,1)+1)&amp;"","")&lt;&gt;"",0,1))</f>
        <v/>
      </c>
      <c r="L186" s="28">
        <f>IF(K186="","",K186*IFERROR(VLOOKUP(C186,CodeTable,4,0),0))</f>
        <v/>
      </c>
    </row>
    <row r="187">
      <c r="A187" s="22" t="n"/>
      <c r="B187" s="23" t="n"/>
      <c r="C187" s="24" t="n"/>
      <c r="D187" s="25" t="n"/>
      <c r="E187" s="26" t="n"/>
      <c r="F187" s="26" t="n"/>
      <c r="G187" s="27">
        <f>IF(C187="","",IFERROR(VLOOKUP(C187,CodeTable,3,0),1))</f>
        <v/>
      </c>
      <c r="H187" s="27">
        <f>IF(C187="","",IF(E187&lt;&gt;"",E187,IF(IFERROR(VLOOKUP(C187,CodeTable,5,0)&amp;"","")="","All",VLOOKUP(C187,CodeTable,5,0)&amp;"")))</f>
        <v/>
      </c>
      <c r="I187" s="28">
        <f>IF(OR(A187="",C187=""),"",A187&amp;"|"&amp;B187&amp;"|"&amp;(COUNTIFS(FlDate,A187,FlShift,B187,FlCode,"&lt;&gt;",FlOrder,"&lt;"&amp;J187)+COUNTIFS(A$6:A187,A187,B$6:B187,B187,C$6:C187,"&lt;&gt;",J$6:J187,J187)))</f>
        <v/>
      </c>
      <c r="J187" s="28">
        <f>IF(C187="","",IF(D187="","zz","t"&amp;D187))</f>
        <v/>
      </c>
      <c r="K187" s="28">
        <f>IF(OR(A187="",C187=""),"",IF(IFERROR(INDEX(DayStat,A187-DATE(PlanYear,1,1)+1)&amp;"","")&lt;&gt;"",0,1))</f>
        <v/>
      </c>
      <c r="L187" s="28">
        <f>IF(K187="","",K187*IFERROR(VLOOKUP(C187,CodeTable,4,0),0))</f>
        <v/>
      </c>
    </row>
    <row r="188">
      <c r="A188" s="22" t="n"/>
      <c r="B188" s="23" t="n"/>
      <c r="C188" s="24" t="n"/>
      <c r="D188" s="25" t="n"/>
      <c r="E188" s="26" t="n"/>
      <c r="F188" s="26" t="n"/>
      <c r="G188" s="27">
        <f>IF(C188="","",IFERROR(VLOOKUP(C188,CodeTable,3,0),1))</f>
        <v/>
      </c>
      <c r="H188" s="27">
        <f>IF(C188="","",IF(E188&lt;&gt;"",E188,IF(IFERROR(VLOOKUP(C188,CodeTable,5,0)&amp;"","")="","All",VLOOKUP(C188,CodeTable,5,0)&amp;"")))</f>
        <v/>
      </c>
      <c r="I188" s="28">
        <f>IF(OR(A188="",C188=""),"",A188&amp;"|"&amp;B188&amp;"|"&amp;(COUNTIFS(FlDate,A188,FlShift,B188,FlCode,"&lt;&gt;",FlOrder,"&lt;"&amp;J188)+COUNTIFS(A$6:A188,A188,B$6:B188,B188,C$6:C188,"&lt;&gt;",J$6:J188,J188)))</f>
        <v/>
      </c>
      <c r="J188" s="28">
        <f>IF(C188="","",IF(D188="","zz","t"&amp;D188))</f>
        <v/>
      </c>
      <c r="K188" s="28">
        <f>IF(OR(A188="",C188=""),"",IF(IFERROR(INDEX(DayStat,A188-DATE(PlanYear,1,1)+1)&amp;"","")&lt;&gt;"",0,1))</f>
        <v/>
      </c>
      <c r="L188" s="28">
        <f>IF(K188="","",K188*IFERROR(VLOOKUP(C188,CodeTable,4,0),0))</f>
        <v/>
      </c>
    </row>
    <row r="189">
      <c r="A189" s="22" t="n"/>
      <c r="B189" s="23" t="n"/>
      <c r="C189" s="24" t="n"/>
      <c r="D189" s="25" t="n"/>
      <c r="E189" s="26" t="n"/>
      <c r="F189" s="26" t="n"/>
      <c r="G189" s="27">
        <f>IF(C189="","",IFERROR(VLOOKUP(C189,CodeTable,3,0),1))</f>
        <v/>
      </c>
      <c r="H189" s="27">
        <f>IF(C189="","",IF(E189&lt;&gt;"",E189,IF(IFERROR(VLOOKUP(C189,CodeTable,5,0)&amp;"","")="","All",VLOOKUP(C189,CodeTable,5,0)&amp;"")))</f>
        <v/>
      </c>
      <c r="I189" s="28">
        <f>IF(OR(A189="",C189=""),"",A189&amp;"|"&amp;B189&amp;"|"&amp;(COUNTIFS(FlDate,A189,FlShift,B189,FlCode,"&lt;&gt;",FlOrder,"&lt;"&amp;J189)+COUNTIFS(A$6:A189,A189,B$6:B189,B189,C$6:C189,"&lt;&gt;",J$6:J189,J189)))</f>
        <v/>
      </c>
      <c r="J189" s="28">
        <f>IF(C189="","",IF(D189="","zz","t"&amp;D189))</f>
        <v/>
      </c>
      <c r="K189" s="28">
        <f>IF(OR(A189="",C189=""),"",IF(IFERROR(INDEX(DayStat,A189-DATE(PlanYear,1,1)+1)&amp;"","")&lt;&gt;"",0,1))</f>
        <v/>
      </c>
      <c r="L189" s="28">
        <f>IF(K189="","",K189*IFERROR(VLOOKUP(C189,CodeTable,4,0),0))</f>
        <v/>
      </c>
    </row>
    <row r="190">
      <c r="A190" s="22" t="n"/>
      <c r="B190" s="23" t="n"/>
      <c r="C190" s="24" t="n"/>
      <c r="D190" s="25" t="n"/>
      <c r="E190" s="26" t="n"/>
      <c r="F190" s="26" t="n"/>
      <c r="G190" s="27">
        <f>IF(C190="","",IFERROR(VLOOKUP(C190,CodeTable,3,0),1))</f>
        <v/>
      </c>
      <c r="H190" s="27">
        <f>IF(C190="","",IF(E190&lt;&gt;"",E190,IF(IFERROR(VLOOKUP(C190,CodeTable,5,0)&amp;"","")="","All",VLOOKUP(C190,CodeTable,5,0)&amp;"")))</f>
        <v/>
      </c>
      <c r="I190" s="28">
        <f>IF(OR(A190="",C190=""),"",A190&amp;"|"&amp;B190&amp;"|"&amp;(COUNTIFS(FlDate,A190,FlShift,B190,FlCode,"&lt;&gt;",FlOrder,"&lt;"&amp;J190)+COUNTIFS(A$6:A190,A190,B$6:B190,B190,C$6:C190,"&lt;&gt;",J$6:J190,J190)))</f>
        <v/>
      </c>
      <c r="J190" s="28">
        <f>IF(C190="","",IF(D190="","zz","t"&amp;D190))</f>
        <v/>
      </c>
      <c r="K190" s="28">
        <f>IF(OR(A190="",C190=""),"",IF(IFERROR(INDEX(DayStat,A190-DATE(PlanYear,1,1)+1)&amp;"","")&lt;&gt;"",0,1))</f>
        <v/>
      </c>
      <c r="L190" s="28">
        <f>IF(K190="","",K190*IFERROR(VLOOKUP(C190,CodeTable,4,0),0))</f>
        <v/>
      </c>
    </row>
    <row r="191">
      <c r="A191" s="22" t="n"/>
      <c r="B191" s="23" t="n"/>
      <c r="C191" s="24" t="n"/>
      <c r="D191" s="25" t="n"/>
      <c r="E191" s="26" t="n"/>
      <c r="F191" s="26" t="n"/>
      <c r="G191" s="27">
        <f>IF(C191="","",IFERROR(VLOOKUP(C191,CodeTable,3,0),1))</f>
        <v/>
      </c>
      <c r="H191" s="27">
        <f>IF(C191="","",IF(E191&lt;&gt;"",E191,IF(IFERROR(VLOOKUP(C191,CodeTable,5,0)&amp;"","")="","All",VLOOKUP(C191,CodeTable,5,0)&amp;"")))</f>
        <v/>
      </c>
      <c r="I191" s="28">
        <f>IF(OR(A191="",C191=""),"",A191&amp;"|"&amp;B191&amp;"|"&amp;(COUNTIFS(FlDate,A191,FlShift,B191,FlCode,"&lt;&gt;",FlOrder,"&lt;"&amp;J191)+COUNTIFS(A$6:A191,A191,B$6:B191,B191,C$6:C191,"&lt;&gt;",J$6:J191,J191)))</f>
        <v/>
      </c>
      <c r="J191" s="28">
        <f>IF(C191="","",IF(D191="","zz","t"&amp;D191))</f>
        <v/>
      </c>
      <c r="K191" s="28">
        <f>IF(OR(A191="",C191=""),"",IF(IFERROR(INDEX(DayStat,A191-DATE(PlanYear,1,1)+1)&amp;"","")&lt;&gt;"",0,1))</f>
        <v/>
      </c>
      <c r="L191" s="28">
        <f>IF(K191="","",K191*IFERROR(VLOOKUP(C191,CodeTable,4,0),0))</f>
        <v/>
      </c>
    </row>
    <row r="192">
      <c r="A192" s="22" t="n"/>
      <c r="B192" s="23" t="n"/>
      <c r="C192" s="24" t="n"/>
      <c r="D192" s="25" t="n"/>
      <c r="E192" s="26" t="n"/>
      <c r="F192" s="26" t="n"/>
      <c r="G192" s="27">
        <f>IF(C192="","",IFERROR(VLOOKUP(C192,CodeTable,3,0),1))</f>
        <v/>
      </c>
      <c r="H192" s="27">
        <f>IF(C192="","",IF(E192&lt;&gt;"",E192,IF(IFERROR(VLOOKUP(C192,CodeTable,5,0)&amp;"","")="","All",VLOOKUP(C192,CodeTable,5,0)&amp;"")))</f>
        <v/>
      </c>
      <c r="I192" s="28">
        <f>IF(OR(A192="",C192=""),"",A192&amp;"|"&amp;B192&amp;"|"&amp;(COUNTIFS(FlDate,A192,FlShift,B192,FlCode,"&lt;&gt;",FlOrder,"&lt;"&amp;J192)+COUNTIFS(A$6:A192,A192,B$6:B192,B192,C$6:C192,"&lt;&gt;",J$6:J192,J192)))</f>
        <v/>
      </c>
      <c r="J192" s="28">
        <f>IF(C192="","",IF(D192="","zz","t"&amp;D192))</f>
        <v/>
      </c>
      <c r="K192" s="28">
        <f>IF(OR(A192="",C192=""),"",IF(IFERROR(INDEX(DayStat,A192-DATE(PlanYear,1,1)+1)&amp;"","")&lt;&gt;"",0,1))</f>
        <v/>
      </c>
      <c r="L192" s="28">
        <f>IF(K192="","",K192*IFERROR(VLOOKUP(C192,CodeTable,4,0),0))</f>
        <v/>
      </c>
    </row>
    <row r="193">
      <c r="A193" s="22" t="n"/>
      <c r="B193" s="23" t="n"/>
      <c r="C193" s="24" t="n"/>
      <c r="D193" s="25" t="n"/>
      <c r="E193" s="26" t="n"/>
      <c r="F193" s="26" t="n"/>
      <c r="G193" s="27">
        <f>IF(C193="","",IFERROR(VLOOKUP(C193,CodeTable,3,0),1))</f>
        <v/>
      </c>
      <c r="H193" s="27">
        <f>IF(C193="","",IF(E193&lt;&gt;"",E193,IF(IFERROR(VLOOKUP(C193,CodeTable,5,0)&amp;"","")="","All",VLOOKUP(C193,CodeTable,5,0)&amp;"")))</f>
        <v/>
      </c>
      <c r="I193" s="28">
        <f>IF(OR(A193="",C193=""),"",A193&amp;"|"&amp;B193&amp;"|"&amp;(COUNTIFS(FlDate,A193,FlShift,B193,FlCode,"&lt;&gt;",FlOrder,"&lt;"&amp;J193)+COUNTIFS(A$6:A193,A193,B$6:B193,B193,C$6:C193,"&lt;&gt;",J$6:J193,J193)))</f>
        <v/>
      </c>
      <c r="J193" s="28">
        <f>IF(C193="","",IF(D193="","zz","t"&amp;D193))</f>
        <v/>
      </c>
      <c r="K193" s="28">
        <f>IF(OR(A193="",C193=""),"",IF(IFERROR(INDEX(DayStat,A193-DATE(PlanYear,1,1)+1)&amp;"","")&lt;&gt;"",0,1))</f>
        <v/>
      </c>
      <c r="L193" s="28">
        <f>IF(K193="","",K193*IFERROR(VLOOKUP(C193,CodeTable,4,0),0))</f>
        <v/>
      </c>
    </row>
    <row r="194">
      <c r="A194" s="22" t="n"/>
      <c r="B194" s="23" t="n"/>
      <c r="C194" s="24" t="n"/>
      <c r="D194" s="25" t="n"/>
      <c r="E194" s="26" t="n"/>
      <c r="F194" s="26" t="n"/>
      <c r="G194" s="27">
        <f>IF(C194="","",IFERROR(VLOOKUP(C194,CodeTable,3,0),1))</f>
        <v/>
      </c>
      <c r="H194" s="27">
        <f>IF(C194="","",IF(E194&lt;&gt;"",E194,IF(IFERROR(VLOOKUP(C194,CodeTable,5,0)&amp;"","")="","All",VLOOKUP(C194,CodeTable,5,0)&amp;"")))</f>
        <v/>
      </c>
      <c r="I194" s="28">
        <f>IF(OR(A194="",C194=""),"",A194&amp;"|"&amp;B194&amp;"|"&amp;(COUNTIFS(FlDate,A194,FlShift,B194,FlCode,"&lt;&gt;",FlOrder,"&lt;"&amp;J194)+COUNTIFS(A$6:A194,A194,B$6:B194,B194,C$6:C194,"&lt;&gt;",J$6:J194,J194)))</f>
        <v/>
      </c>
      <c r="J194" s="28">
        <f>IF(C194="","",IF(D194="","zz","t"&amp;D194))</f>
        <v/>
      </c>
      <c r="K194" s="28">
        <f>IF(OR(A194="",C194=""),"",IF(IFERROR(INDEX(DayStat,A194-DATE(PlanYear,1,1)+1)&amp;"","")&lt;&gt;"",0,1))</f>
        <v/>
      </c>
      <c r="L194" s="28">
        <f>IF(K194="","",K194*IFERROR(VLOOKUP(C194,CodeTable,4,0),0))</f>
        <v/>
      </c>
    </row>
    <row r="195">
      <c r="A195" s="22" t="n"/>
      <c r="B195" s="23" t="n"/>
      <c r="C195" s="24" t="n"/>
      <c r="D195" s="25" t="n"/>
      <c r="E195" s="26" t="n"/>
      <c r="F195" s="26" t="n"/>
      <c r="G195" s="27">
        <f>IF(C195="","",IFERROR(VLOOKUP(C195,CodeTable,3,0),1))</f>
        <v/>
      </c>
      <c r="H195" s="27">
        <f>IF(C195="","",IF(E195&lt;&gt;"",E195,IF(IFERROR(VLOOKUP(C195,CodeTable,5,0)&amp;"","")="","All",VLOOKUP(C195,CodeTable,5,0)&amp;"")))</f>
        <v/>
      </c>
      <c r="I195" s="28">
        <f>IF(OR(A195="",C195=""),"",A195&amp;"|"&amp;B195&amp;"|"&amp;(COUNTIFS(FlDate,A195,FlShift,B195,FlCode,"&lt;&gt;",FlOrder,"&lt;"&amp;J195)+COUNTIFS(A$6:A195,A195,B$6:B195,B195,C$6:C195,"&lt;&gt;",J$6:J195,J195)))</f>
        <v/>
      </c>
      <c r="J195" s="28">
        <f>IF(C195="","",IF(D195="","zz","t"&amp;D195))</f>
        <v/>
      </c>
      <c r="K195" s="28">
        <f>IF(OR(A195="",C195=""),"",IF(IFERROR(INDEX(DayStat,A195-DATE(PlanYear,1,1)+1)&amp;"","")&lt;&gt;"",0,1))</f>
        <v/>
      </c>
      <c r="L195" s="28">
        <f>IF(K195="","",K195*IFERROR(VLOOKUP(C195,CodeTable,4,0),0))</f>
        <v/>
      </c>
    </row>
    <row r="196">
      <c r="A196" s="22" t="n"/>
      <c r="B196" s="23" t="n"/>
      <c r="C196" s="24" t="n"/>
      <c r="D196" s="25" t="n"/>
      <c r="E196" s="26" t="n"/>
      <c r="F196" s="26" t="n"/>
      <c r="G196" s="27">
        <f>IF(C196="","",IFERROR(VLOOKUP(C196,CodeTable,3,0),1))</f>
        <v/>
      </c>
      <c r="H196" s="27">
        <f>IF(C196="","",IF(E196&lt;&gt;"",E196,IF(IFERROR(VLOOKUP(C196,CodeTable,5,0)&amp;"","")="","All",VLOOKUP(C196,CodeTable,5,0)&amp;"")))</f>
        <v/>
      </c>
      <c r="I196" s="28">
        <f>IF(OR(A196="",C196=""),"",A196&amp;"|"&amp;B196&amp;"|"&amp;(COUNTIFS(FlDate,A196,FlShift,B196,FlCode,"&lt;&gt;",FlOrder,"&lt;"&amp;J196)+COUNTIFS(A$6:A196,A196,B$6:B196,B196,C$6:C196,"&lt;&gt;",J$6:J196,J196)))</f>
        <v/>
      </c>
      <c r="J196" s="28">
        <f>IF(C196="","",IF(D196="","zz","t"&amp;D196))</f>
        <v/>
      </c>
      <c r="K196" s="28">
        <f>IF(OR(A196="",C196=""),"",IF(IFERROR(INDEX(DayStat,A196-DATE(PlanYear,1,1)+1)&amp;"","")&lt;&gt;"",0,1))</f>
        <v/>
      </c>
      <c r="L196" s="28">
        <f>IF(K196="","",K196*IFERROR(VLOOKUP(C196,CodeTable,4,0),0))</f>
        <v/>
      </c>
    </row>
    <row r="197">
      <c r="A197" s="22" t="n"/>
      <c r="B197" s="23" t="n"/>
      <c r="C197" s="24" t="n"/>
      <c r="D197" s="25" t="n"/>
      <c r="E197" s="26" t="n"/>
      <c r="F197" s="26" t="n"/>
      <c r="G197" s="27">
        <f>IF(C197="","",IFERROR(VLOOKUP(C197,CodeTable,3,0),1))</f>
        <v/>
      </c>
      <c r="H197" s="27">
        <f>IF(C197="","",IF(E197&lt;&gt;"",E197,IF(IFERROR(VLOOKUP(C197,CodeTable,5,0)&amp;"","")="","All",VLOOKUP(C197,CodeTable,5,0)&amp;"")))</f>
        <v/>
      </c>
      <c r="I197" s="28">
        <f>IF(OR(A197="",C197=""),"",A197&amp;"|"&amp;B197&amp;"|"&amp;(COUNTIFS(FlDate,A197,FlShift,B197,FlCode,"&lt;&gt;",FlOrder,"&lt;"&amp;J197)+COUNTIFS(A$6:A197,A197,B$6:B197,B197,C$6:C197,"&lt;&gt;",J$6:J197,J197)))</f>
        <v/>
      </c>
      <c r="J197" s="28">
        <f>IF(C197="","",IF(D197="","zz","t"&amp;D197))</f>
        <v/>
      </c>
      <c r="K197" s="28">
        <f>IF(OR(A197="",C197=""),"",IF(IFERROR(INDEX(DayStat,A197-DATE(PlanYear,1,1)+1)&amp;"","")&lt;&gt;"",0,1))</f>
        <v/>
      </c>
      <c r="L197" s="28">
        <f>IF(K197="","",K197*IFERROR(VLOOKUP(C197,CodeTable,4,0),0))</f>
        <v/>
      </c>
    </row>
    <row r="198">
      <c r="A198" s="22" t="n"/>
      <c r="B198" s="23" t="n"/>
      <c r="C198" s="24" t="n"/>
      <c r="D198" s="25" t="n"/>
      <c r="E198" s="26" t="n"/>
      <c r="F198" s="26" t="n"/>
      <c r="G198" s="27">
        <f>IF(C198="","",IFERROR(VLOOKUP(C198,CodeTable,3,0),1))</f>
        <v/>
      </c>
      <c r="H198" s="27">
        <f>IF(C198="","",IF(E198&lt;&gt;"",E198,IF(IFERROR(VLOOKUP(C198,CodeTable,5,0)&amp;"","")="","All",VLOOKUP(C198,CodeTable,5,0)&amp;"")))</f>
        <v/>
      </c>
      <c r="I198" s="28">
        <f>IF(OR(A198="",C198=""),"",A198&amp;"|"&amp;B198&amp;"|"&amp;(COUNTIFS(FlDate,A198,FlShift,B198,FlCode,"&lt;&gt;",FlOrder,"&lt;"&amp;J198)+COUNTIFS(A$6:A198,A198,B$6:B198,B198,C$6:C198,"&lt;&gt;",J$6:J198,J198)))</f>
        <v/>
      </c>
      <c r="J198" s="28">
        <f>IF(C198="","",IF(D198="","zz","t"&amp;D198))</f>
        <v/>
      </c>
      <c r="K198" s="28">
        <f>IF(OR(A198="",C198=""),"",IF(IFERROR(INDEX(DayStat,A198-DATE(PlanYear,1,1)+1)&amp;"","")&lt;&gt;"",0,1))</f>
        <v/>
      </c>
      <c r="L198" s="28">
        <f>IF(K198="","",K198*IFERROR(VLOOKUP(C198,CodeTable,4,0),0))</f>
        <v/>
      </c>
    </row>
    <row r="199">
      <c r="A199" s="22" t="n"/>
      <c r="B199" s="23" t="n"/>
      <c r="C199" s="24" t="n"/>
      <c r="D199" s="25" t="n"/>
      <c r="E199" s="26" t="n"/>
      <c r="F199" s="26" t="n"/>
      <c r="G199" s="27">
        <f>IF(C199="","",IFERROR(VLOOKUP(C199,CodeTable,3,0),1))</f>
        <v/>
      </c>
      <c r="H199" s="27">
        <f>IF(C199="","",IF(E199&lt;&gt;"",E199,IF(IFERROR(VLOOKUP(C199,CodeTable,5,0)&amp;"","")="","All",VLOOKUP(C199,CodeTable,5,0)&amp;"")))</f>
        <v/>
      </c>
      <c r="I199" s="28">
        <f>IF(OR(A199="",C199=""),"",A199&amp;"|"&amp;B199&amp;"|"&amp;(COUNTIFS(FlDate,A199,FlShift,B199,FlCode,"&lt;&gt;",FlOrder,"&lt;"&amp;J199)+COUNTIFS(A$6:A199,A199,B$6:B199,B199,C$6:C199,"&lt;&gt;",J$6:J199,J199)))</f>
        <v/>
      </c>
      <c r="J199" s="28">
        <f>IF(C199="","",IF(D199="","zz","t"&amp;D199))</f>
        <v/>
      </c>
      <c r="K199" s="28">
        <f>IF(OR(A199="",C199=""),"",IF(IFERROR(INDEX(DayStat,A199-DATE(PlanYear,1,1)+1)&amp;"","")&lt;&gt;"",0,1))</f>
        <v/>
      </c>
      <c r="L199" s="28">
        <f>IF(K199="","",K199*IFERROR(VLOOKUP(C199,CodeTable,4,0),0))</f>
        <v/>
      </c>
    </row>
    <row r="200">
      <c r="A200" s="22" t="n"/>
      <c r="B200" s="23" t="n"/>
      <c r="C200" s="24" t="n"/>
      <c r="D200" s="25" t="n"/>
      <c r="E200" s="26" t="n"/>
      <c r="F200" s="26" t="n"/>
      <c r="G200" s="27">
        <f>IF(C200="","",IFERROR(VLOOKUP(C200,CodeTable,3,0),1))</f>
        <v/>
      </c>
      <c r="H200" s="27">
        <f>IF(C200="","",IF(E200&lt;&gt;"",E200,IF(IFERROR(VLOOKUP(C200,CodeTable,5,0)&amp;"","")="","All",VLOOKUP(C200,CodeTable,5,0)&amp;"")))</f>
        <v/>
      </c>
      <c r="I200" s="28">
        <f>IF(OR(A200="",C200=""),"",A200&amp;"|"&amp;B200&amp;"|"&amp;(COUNTIFS(FlDate,A200,FlShift,B200,FlCode,"&lt;&gt;",FlOrder,"&lt;"&amp;J200)+COUNTIFS(A$6:A200,A200,B$6:B200,B200,C$6:C200,"&lt;&gt;",J$6:J200,J200)))</f>
        <v/>
      </c>
      <c r="J200" s="28">
        <f>IF(C200="","",IF(D200="","zz","t"&amp;D200))</f>
        <v/>
      </c>
      <c r="K200" s="28">
        <f>IF(OR(A200="",C200=""),"",IF(IFERROR(INDEX(DayStat,A200-DATE(PlanYear,1,1)+1)&amp;"","")&lt;&gt;"",0,1))</f>
        <v/>
      </c>
      <c r="L200" s="28">
        <f>IF(K200="","",K200*IFERROR(VLOOKUP(C200,CodeTable,4,0),0))</f>
        <v/>
      </c>
    </row>
    <row r="201">
      <c r="A201" s="22" t="n"/>
      <c r="B201" s="23" t="n"/>
      <c r="C201" s="24" t="n"/>
      <c r="D201" s="25" t="n"/>
      <c r="E201" s="26" t="n"/>
      <c r="F201" s="26" t="n"/>
      <c r="G201" s="27">
        <f>IF(C201="","",IFERROR(VLOOKUP(C201,CodeTable,3,0),1))</f>
        <v/>
      </c>
      <c r="H201" s="27">
        <f>IF(C201="","",IF(E201&lt;&gt;"",E201,IF(IFERROR(VLOOKUP(C201,CodeTable,5,0)&amp;"","")="","All",VLOOKUP(C201,CodeTable,5,0)&amp;"")))</f>
        <v/>
      </c>
      <c r="I201" s="28">
        <f>IF(OR(A201="",C201=""),"",A201&amp;"|"&amp;B201&amp;"|"&amp;(COUNTIFS(FlDate,A201,FlShift,B201,FlCode,"&lt;&gt;",FlOrder,"&lt;"&amp;J201)+COUNTIFS(A$6:A201,A201,B$6:B201,B201,C$6:C201,"&lt;&gt;",J$6:J201,J201)))</f>
        <v/>
      </c>
      <c r="J201" s="28">
        <f>IF(C201="","",IF(D201="","zz","t"&amp;D201))</f>
        <v/>
      </c>
      <c r="K201" s="28">
        <f>IF(OR(A201="",C201=""),"",IF(IFERROR(INDEX(DayStat,A201-DATE(PlanYear,1,1)+1)&amp;"","")&lt;&gt;"",0,1))</f>
        <v/>
      </c>
      <c r="L201" s="28">
        <f>IF(K201="","",K201*IFERROR(VLOOKUP(C201,CodeTable,4,0),0))</f>
        <v/>
      </c>
    </row>
    <row r="202">
      <c r="A202" s="22" t="n"/>
      <c r="B202" s="23" t="n"/>
      <c r="C202" s="24" t="n"/>
      <c r="D202" s="25" t="n"/>
      <c r="E202" s="26" t="n"/>
      <c r="F202" s="26" t="n"/>
      <c r="G202" s="27">
        <f>IF(C202="","",IFERROR(VLOOKUP(C202,CodeTable,3,0),1))</f>
        <v/>
      </c>
      <c r="H202" s="27">
        <f>IF(C202="","",IF(E202&lt;&gt;"",E202,IF(IFERROR(VLOOKUP(C202,CodeTable,5,0)&amp;"","")="","All",VLOOKUP(C202,CodeTable,5,0)&amp;"")))</f>
        <v/>
      </c>
      <c r="I202" s="28">
        <f>IF(OR(A202="",C202=""),"",A202&amp;"|"&amp;B202&amp;"|"&amp;(COUNTIFS(FlDate,A202,FlShift,B202,FlCode,"&lt;&gt;",FlOrder,"&lt;"&amp;J202)+COUNTIFS(A$6:A202,A202,B$6:B202,B202,C$6:C202,"&lt;&gt;",J$6:J202,J202)))</f>
        <v/>
      </c>
      <c r="J202" s="28">
        <f>IF(C202="","",IF(D202="","zz","t"&amp;D202))</f>
        <v/>
      </c>
      <c r="K202" s="28">
        <f>IF(OR(A202="",C202=""),"",IF(IFERROR(INDEX(DayStat,A202-DATE(PlanYear,1,1)+1)&amp;"","")&lt;&gt;"",0,1))</f>
        <v/>
      </c>
      <c r="L202" s="28">
        <f>IF(K202="","",K202*IFERROR(VLOOKUP(C202,CodeTable,4,0),0))</f>
        <v/>
      </c>
    </row>
    <row r="203">
      <c r="A203" s="22" t="n"/>
      <c r="B203" s="23" t="n"/>
      <c r="C203" s="24" t="n"/>
      <c r="D203" s="25" t="n"/>
      <c r="E203" s="26" t="n"/>
      <c r="F203" s="26" t="n"/>
      <c r="G203" s="27">
        <f>IF(C203="","",IFERROR(VLOOKUP(C203,CodeTable,3,0),1))</f>
        <v/>
      </c>
      <c r="H203" s="27">
        <f>IF(C203="","",IF(E203&lt;&gt;"",E203,IF(IFERROR(VLOOKUP(C203,CodeTable,5,0)&amp;"","")="","All",VLOOKUP(C203,CodeTable,5,0)&amp;"")))</f>
        <v/>
      </c>
      <c r="I203" s="28">
        <f>IF(OR(A203="",C203=""),"",A203&amp;"|"&amp;B203&amp;"|"&amp;(COUNTIFS(FlDate,A203,FlShift,B203,FlCode,"&lt;&gt;",FlOrder,"&lt;"&amp;J203)+COUNTIFS(A$6:A203,A203,B$6:B203,B203,C$6:C203,"&lt;&gt;",J$6:J203,J203)))</f>
        <v/>
      </c>
      <c r="J203" s="28">
        <f>IF(C203="","",IF(D203="","zz","t"&amp;D203))</f>
        <v/>
      </c>
      <c r="K203" s="28">
        <f>IF(OR(A203="",C203=""),"",IF(IFERROR(INDEX(DayStat,A203-DATE(PlanYear,1,1)+1)&amp;"","")&lt;&gt;"",0,1))</f>
        <v/>
      </c>
      <c r="L203" s="28">
        <f>IF(K203="","",K203*IFERROR(VLOOKUP(C203,CodeTable,4,0),0))</f>
        <v/>
      </c>
    </row>
    <row r="204">
      <c r="A204" s="22" t="n"/>
      <c r="B204" s="23" t="n"/>
      <c r="C204" s="24" t="n"/>
      <c r="D204" s="25" t="n"/>
      <c r="E204" s="26" t="n"/>
      <c r="F204" s="26" t="n"/>
      <c r="G204" s="27">
        <f>IF(C204="","",IFERROR(VLOOKUP(C204,CodeTable,3,0),1))</f>
        <v/>
      </c>
      <c r="H204" s="27">
        <f>IF(C204="","",IF(E204&lt;&gt;"",E204,IF(IFERROR(VLOOKUP(C204,CodeTable,5,0)&amp;"","")="","All",VLOOKUP(C204,CodeTable,5,0)&amp;"")))</f>
        <v/>
      </c>
      <c r="I204" s="28">
        <f>IF(OR(A204="",C204=""),"",A204&amp;"|"&amp;B204&amp;"|"&amp;(COUNTIFS(FlDate,A204,FlShift,B204,FlCode,"&lt;&gt;",FlOrder,"&lt;"&amp;J204)+COUNTIFS(A$6:A204,A204,B$6:B204,B204,C$6:C204,"&lt;&gt;",J$6:J204,J204)))</f>
        <v/>
      </c>
      <c r="J204" s="28">
        <f>IF(C204="","",IF(D204="","zz","t"&amp;D204))</f>
        <v/>
      </c>
      <c r="K204" s="28">
        <f>IF(OR(A204="",C204=""),"",IF(IFERROR(INDEX(DayStat,A204-DATE(PlanYear,1,1)+1)&amp;"","")&lt;&gt;"",0,1))</f>
        <v/>
      </c>
      <c r="L204" s="28">
        <f>IF(K204="","",K204*IFERROR(VLOOKUP(C204,CodeTable,4,0),0))</f>
        <v/>
      </c>
    </row>
    <row r="205">
      <c r="A205" s="22" t="n"/>
      <c r="B205" s="23" t="n"/>
      <c r="C205" s="24" t="n"/>
      <c r="D205" s="25" t="n"/>
      <c r="E205" s="26" t="n"/>
      <c r="F205" s="26" t="n"/>
      <c r="G205" s="27">
        <f>IF(C205="","",IFERROR(VLOOKUP(C205,CodeTable,3,0),1))</f>
        <v/>
      </c>
      <c r="H205" s="27">
        <f>IF(C205="","",IF(E205&lt;&gt;"",E205,IF(IFERROR(VLOOKUP(C205,CodeTable,5,0)&amp;"","")="","All",VLOOKUP(C205,CodeTable,5,0)&amp;"")))</f>
        <v/>
      </c>
      <c r="I205" s="28">
        <f>IF(OR(A205="",C205=""),"",A205&amp;"|"&amp;B205&amp;"|"&amp;(COUNTIFS(FlDate,A205,FlShift,B205,FlCode,"&lt;&gt;",FlOrder,"&lt;"&amp;J205)+COUNTIFS(A$6:A205,A205,B$6:B205,B205,C$6:C205,"&lt;&gt;",J$6:J205,J205)))</f>
        <v/>
      </c>
      <c r="J205" s="28">
        <f>IF(C205="","",IF(D205="","zz","t"&amp;D205))</f>
        <v/>
      </c>
      <c r="K205" s="28">
        <f>IF(OR(A205="",C205=""),"",IF(IFERROR(INDEX(DayStat,A205-DATE(PlanYear,1,1)+1)&amp;"","")&lt;&gt;"",0,1))</f>
        <v/>
      </c>
      <c r="L205" s="28">
        <f>IF(K205="","",K205*IFERROR(VLOOKUP(C205,CodeTable,4,0),0))</f>
        <v/>
      </c>
    </row>
    <row r="206">
      <c r="A206" s="22" t="n"/>
      <c r="B206" s="23" t="n"/>
      <c r="C206" s="24" t="n"/>
      <c r="D206" s="25" t="n"/>
      <c r="E206" s="26" t="n"/>
      <c r="F206" s="26" t="n"/>
      <c r="G206" s="27">
        <f>IF(C206="","",IFERROR(VLOOKUP(C206,CodeTable,3,0),1))</f>
        <v/>
      </c>
      <c r="H206" s="27">
        <f>IF(C206="","",IF(E206&lt;&gt;"",E206,IF(IFERROR(VLOOKUP(C206,CodeTable,5,0)&amp;"","")="","All",VLOOKUP(C206,CodeTable,5,0)&amp;"")))</f>
        <v/>
      </c>
      <c r="I206" s="28">
        <f>IF(OR(A206="",C206=""),"",A206&amp;"|"&amp;B206&amp;"|"&amp;(COUNTIFS(FlDate,A206,FlShift,B206,FlCode,"&lt;&gt;",FlOrder,"&lt;"&amp;J206)+COUNTIFS(A$6:A206,A206,B$6:B206,B206,C$6:C206,"&lt;&gt;",J$6:J206,J206)))</f>
        <v/>
      </c>
      <c r="J206" s="28">
        <f>IF(C206="","",IF(D206="","zz","t"&amp;D206))</f>
        <v/>
      </c>
      <c r="K206" s="28">
        <f>IF(OR(A206="",C206=""),"",IF(IFERROR(INDEX(DayStat,A206-DATE(PlanYear,1,1)+1)&amp;"","")&lt;&gt;"",0,1))</f>
        <v/>
      </c>
      <c r="L206" s="28">
        <f>IF(K206="","",K206*IFERROR(VLOOKUP(C206,CodeTable,4,0),0))</f>
        <v/>
      </c>
    </row>
    <row r="207">
      <c r="A207" s="22" t="n"/>
      <c r="B207" s="23" t="n"/>
      <c r="C207" s="24" t="n"/>
      <c r="D207" s="25" t="n"/>
      <c r="E207" s="26" t="n"/>
      <c r="F207" s="26" t="n"/>
      <c r="G207" s="27">
        <f>IF(C207="","",IFERROR(VLOOKUP(C207,CodeTable,3,0),1))</f>
        <v/>
      </c>
      <c r="H207" s="27">
        <f>IF(C207="","",IF(E207&lt;&gt;"",E207,IF(IFERROR(VLOOKUP(C207,CodeTable,5,0)&amp;"","")="","All",VLOOKUP(C207,CodeTable,5,0)&amp;"")))</f>
        <v/>
      </c>
      <c r="I207" s="28">
        <f>IF(OR(A207="",C207=""),"",A207&amp;"|"&amp;B207&amp;"|"&amp;(COUNTIFS(FlDate,A207,FlShift,B207,FlCode,"&lt;&gt;",FlOrder,"&lt;"&amp;J207)+COUNTIFS(A$6:A207,A207,B$6:B207,B207,C$6:C207,"&lt;&gt;",J$6:J207,J207)))</f>
        <v/>
      </c>
      <c r="J207" s="28">
        <f>IF(C207="","",IF(D207="","zz","t"&amp;D207))</f>
        <v/>
      </c>
      <c r="K207" s="28">
        <f>IF(OR(A207="",C207=""),"",IF(IFERROR(INDEX(DayStat,A207-DATE(PlanYear,1,1)+1)&amp;"","")&lt;&gt;"",0,1))</f>
        <v/>
      </c>
      <c r="L207" s="28">
        <f>IF(K207="","",K207*IFERROR(VLOOKUP(C207,CodeTable,4,0),0))</f>
        <v/>
      </c>
    </row>
    <row r="208">
      <c r="A208" s="22" t="n"/>
      <c r="B208" s="23" t="n"/>
      <c r="C208" s="24" t="n"/>
      <c r="D208" s="25" t="n"/>
      <c r="E208" s="26" t="n"/>
      <c r="F208" s="26" t="n"/>
      <c r="G208" s="27">
        <f>IF(C208="","",IFERROR(VLOOKUP(C208,CodeTable,3,0),1))</f>
        <v/>
      </c>
      <c r="H208" s="27">
        <f>IF(C208="","",IF(E208&lt;&gt;"",E208,IF(IFERROR(VLOOKUP(C208,CodeTable,5,0)&amp;"","")="","All",VLOOKUP(C208,CodeTable,5,0)&amp;"")))</f>
        <v/>
      </c>
      <c r="I208" s="28">
        <f>IF(OR(A208="",C208=""),"",A208&amp;"|"&amp;B208&amp;"|"&amp;(COUNTIFS(FlDate,A208,FlShift,B208,FlCode,"&lt;&gt;",FlOrder,"&lt;"&amp;J208)+COUNTIFS(A$6:A208,A208,B$6:B208,B208,C$6:C208,"&lt;&gt;",J$6:J208,J208)))</f>
        <v/>
      </c>
      <c r="J208" s="28">
        <f>IF(C208="","",IF(D208="","zz","t"&amp;D208))</f>
        <v/>
      </c>
      <c r="K208" s="28">
        <f>IF(OR(A208="",C208=""),"",IF(IFERROR(INDEX(DayStat,A208-DATE(PlanYear,1,1)+1)&amp;"","")&lt;&gt;"",0,1))</f>
        <v/>
      </c>
      <c r="L208" s="28">
        <f>IF(K208="","",K208*IFERROR(VLOOKUP(C208,CodeTable,4,0),0))</f>
        <v/>
      </c>
    </row>
    <row r="209">
      <c r="A209" s="22" t="n"/>
      <c r="B209" s="23" t="n"/>
      <c r="C209" s="24" t="n"/>
      <c r="D209" s="25" t="n"/>
      <c r="E209" s="26" t="n"/>
      <c r="F209" s="26" t="n"/>
      <c r="G209" s="27">
        <f>IF(C209="","",IFERROR(VLOOKUP(C209,CodeTable,3,0),1))</f>
        <v/>
      </c>
      <c r="H209" s="27">
        <f>IF(C209="","",IF(E209&lt;&gt;"",E209,IF(IFERROR(VLOOKUP(C209,CodeTable,5,0)&amp;"","")="","All",VLOOKUP(C209,CodeTable,5,0)&amp;"")))</f>
        <v/>
      </c>
      <c r="I209" s="28">
        <f>IF(OR(A209="",C209=""),"",A209&amp;"|"&amp;B209&amp;"|"&amp;(COUNTIFS(FlDate,A209,FlShift,B209,FlCode,"&lt;&gt;",FlOrder,"&lt;"&amp;J209)+COUNTIFS(A$6:A209,A209,B$6:B209,B209,C$6:C209,"&lt;&gt;",J$6:J209,J209)))</f>
        <v/>
      </c>
      <c r="J209" s="28">
        <f>IF(C209="","",IF(D209="","zz","t"&amp;D209))</f>
        <v/>
      </c>
      <c r="K209" s="28">
        <f>IF(OR(A209="",C209=""),"",IF(IFERROR(INDEX(DayStat,A209-DATE(PlanYear,1,1)+1)&amp;"","")&lt;&gt;"",0,1))</f>
        <v/>
      </c>
      <c r="L209" s="28">
        <f>IF(K209="","",K209*IFERROR(VLOOKUP(C209,CodeTable,4,0),0))</f>
        <v/>
      </c>
    </row>
    <row r="210">
      <c r="A210" s="22" t="n"/>
      <c r="B210" s="23" t="n"/>
      <c r="C210" s="24" t="n"/>
      <c r="D210" s="25" t="n"/>
      <c r="E210" s="26" t="n"/>
      <c r="F210" s="26" t="n"/>
      <c r="G210" s="27">
        <f>IF(C210="","",IFERROR(VLOOKUP(C210,CodeTable,3,0),1))</f>
        <v/>
      </c>
      <c r="H210" s="27">
        <f>IF(C210="","",IF(E210&lt;&gt;"",E210,IF(IFERROR(VLOOKUP(C210,CodeTable,5,0)&amp;"","")="","All",VLOOKUP(C210,CodeTable,5,0)&amp;"")))</f>
        <v/>
      </c>
      <c r="I210" s="28">
        <f>IF(OR(A210="",C210=""),"",A210&amp;"|"&amp;B210&amp;"|"&amp;(COUNTIFS(FlDate,A210,FlShift,B210,FlCode,"&lt;&gt;",FlOrder,"&lt;"&amp;J210)+COUNTIFS(A$6:A210,A210,B$6:B210,B210,C$6:C210,"&lt;&gt;",J$6:J210,J210)))</f>
        <v/>
      </c>
      <c r="J210" s="28">
        <f>IF(C210="","",IF(D210="","zz","t"&amp;D210))</f>
        <v/>
      </c>
      <c r="K210" s="28">
        <f>IF(OR(A210="",C210=""),"",IF(IFERROR(INDEX(DayStat,A210-DATE(PlanYear,1,1)+1)&amp;"","")&lt;&gt;"",0,1))</f>
        <v/>
      </c>
      <c r="L210" s="28">
        <f>IF(K210="","",K210*IFERROR(VLOOKUP(C210,CodeTable,4,0),0))</f>
        <v/>
      </c>
    </row>
    <row r="211">
      <c r="A211" s="22" t="n"/>
      <c r="B211" s="23" t="n"/>
      <c r="C211" s="24" t="n"/>
      <c r="D211" s="25" t="n"/>
      <c r="E211" s="26" t="n"/>
      <c r="F211" s="26" t="n"/>
      <c r="G211" s="27">
        <f>IF(C211="","",IFERROR(VLOOKUP(C211,CodeTable,3,0),1))</f>
        <v/>
      </c>
      <c r="H211" s="27">
        <f>IF(C211="","",IF(E211&lt;&gt;"",E211,IF(IFERROR(VLOOKUP(C211,CodeTable,5,0)&amp;"","")="","All",VLOOKUP(C211,CodeTable,5,0)&amp;"")))</f>
        <v/>
      </c>
      <c r="I211" s="28">
        <f>IF(OR(A211="",C211=""),"",A211&amp;"|"&amp;B211&amp;"|"&amp;(COUNTIFS(FlDate,A211,FlShift,B211,FlCode,"&lt;&gt;",FlOrder,"&lt;"&amp;J211)+COUNTIFS(A$6:A211,A211,B$6:B211,B211,C$6:C211,"&lt;&gt;",J$6:J211,J211)))</f>
        <v/>
      </c>
      <c r="J211" s="28">
        <f>IF(C211="","",IF(D211="","zz","t"&amp;D211))</f>
        <v/>
      </c>
      <c r="K211" s="28">
        <f>IF(OR(A211="",C211=""),"",IF(IFERROR(INDEX(DayStat,A211-DATE(PlanYear,1,1)+1)&amp;"","")&lt;&gt;"",0,1))</f>
        <v/>
      </c>
      <c r="L211" s="28">
        <f>IF(K211="","",K211*IFERROR(VLOOKUP(C211,CodeTable,4,0),0))</f>
        <v/>
      </c>
    </row>
    <row r="212">
      <c r="A212" s="22" t="n"/>
      <c r="B212" s="23" t="n"/>
      <c r="C212" s="24" t="n"/>
      <c r="D212" s="25" t="n"/>
      <c r="E212" s="26" t="n"/>
      <c r="F212" s="26" t="n"/>
      <c r="G212" s="27">
        <f>IF(C212="","",IFERROR(VLOOKUP(C212,CodeTable,3,0),1))</f>
        <v/>
      </c>
      <c r="H212" s="27">
        <f>IF(C212="","",IF(E212&lt;&gt;"",E212,IF(IFERROR(VLOOKUP(C212,CodeTable,5,0)&amp;"","")="","All",VLOOKUP(C212,CodeTable,5,0)&amp;"")))</f>
        <v/>
      </c>
      <c r="I212" s="28">
        <f>IF(OR(A212="",C212=""),"",A212&amp;"|"&amp;B212&amp;"|"&amp;(COUNTIFS(FlDate,A212,FlShift,B212,FlCode,"&lt;&gt;",FlOrder,"&lt;"&amp;J212)+COUNTIFS(A$6:A212,A212,B$6:B212,B212,C$6:C212,"&lt;&gt;",J$6:J212,J212)))</f>
        <v/>
      </c>
      <c r="J212" s="28">
        <f>IF(C212="","",IF(D212="","zz","t"&amp;D212))</f>
        <v/>
      </c>
      <c r="K212" s="28">
        <f>IF(OR(A212="",C212=""),"",IF(IFERROR(INDEX(DayStat,A212-DATE(PlanYear,1,1)+1)&amp;"","")&lt;&gt;"",0,1))</f>
        <v/>
      </c>
      <c r="L212" s="28">
        <f>IF(K212="","",K212*IFERROR(VLOOKUP(C212,CodeTable,4,0),0))</f>
        <v/>
      </c>
    </row>
    <row r="213">
      <c r="A213" s="22" t="n"/>
      <c r="B213" s="23" t="n"/>
      <c r="C213" s="24" t="n"/>
      <c r="D213" s="25" t="n"/>
      <c r="E213" s="26" t="n"/>
      <c r="F213" s="26" t="n"/>
      <c r="G213" s="27">
        <f>IF(C213="","",IFERROR(VLOOKUP(C213,CodeTable,3,0),1))</f>
        <v/>
      </c>
      <c r="H213" s="27">
        <f>IF(C213="","",IF(E213&lt;&gt;"",E213,IF(IFERROR(VLOOKUP(C213,CodeTable,5,0)&amp;"","")="","All",VLOOKUP(C213,CodeTable,5,0)&amp;"")))</f>
        <v/>
      </c>
      <c r="I213" s="28">
        <f>IF(OR(A213="",C213=""),"",A213&amp;"|"&amp;B213&amp;"|"&amp;(COUNTIFS(FlDate,A213,FlShift,B213,FlCode,"&lt;&gt;",FlOrder,"&lt;"&amp;J213)+COUNTIFS(A$6:A213,A213,B$6:B213,B213,C$6:C213,"&lt;&gt;",J$6:J213,J213)))</f>
        <v/>
      </c>
      <c r="J213" s="28">
        <f>IF(C213="","",IF(D213="","zz","t"&amp;D213))</f>
        <v/>
      </c>
      <c r="K213" s="28">
        <f>IF(OR(A213="",C213=""),"",IF(IFERROR(INDEX(DayStat,A213-DATE(PlanYear,1,1)+1)&amp;"","")&lt;&gt;"",0,1))</f>
        <v/>
      </c>
      <c r="L213" s="28">
        <f>IF(K213="","",K213*IFERROR(VLOOKUP(C213,CodeTable,4,0),0))</f>
        <v/>
      </c>
    </row>
    <row r="214">
      <c r="A214" s="22" t="n"/>
      <c r="B214" s="23" t="n"/>
      <c r="C214" s="24" t="n"/>
      <c r="D214" s="25" t="n"/>
      <c r="E214" s="26" t="n"/>
      <c r="F214" s="26" t="n"/>
      <c r="G214" s="27">
        <f>IF(C214="","",IFERROR(VLOOKUP(C214,CodeTable,3,0),1))</f>
        <v/>
      </c>
      <c r="H214" s="27">
        <f>IF(C214="","",IF(E214&lt;&gt;"",E214,IF(IFERROR(VLOOKUP(C214,CodeTable,5,0)&amp;"","")="","All",VLOOKUP(C214,CodeTable,5,0)&amp;"")))</f>
        <v/>
      </c>
      <c r="I214" s="28">
        <f>IF(OR(A214="",C214=""),"",A214&amp;"|"&amp;B214&amp;"|"&amp;(COUNTIFS(FlDate,A214,FlShift,B214,FlCode,"&lt;&gt;",FlOrder,"&lt;"&amp;J214)+COUNTIFS(A$6:A214,A214,B$6:B214,B214,C$6:C214,"&lt;&gt;",J$6:J214,J214)))</f>
        <v/>
      </c>
      <c r="J214" s="28">
        <f>IF(C214="","",IF(D214="","zz","t"&amp;D214))</f>
        <v/>
      </c>
      <c r="K214" s="28">
        <f>IF(OR(A214="",C214=""),"",IF(IFERROR(INDEX(DayStat,A214-DATE(PlanYear,1,1)+1)&amp;"","")&lt;&gt;"",0,1))</f>
        <v/>
      </c>
      <c r="L214" s="28">
        <f>IF(K214="","",K214*IFERROR(VLOOKUP(C214,CodeTable,4,0),0))</f>
        <v/>
      </c>
    </row>
    <row r="215">
      <c r="A215" s="22" t="n"/>
      <c r="B215" s="23" t="n"/>
      <c r="C215" s="24" t="n"/>
      <c r="D215" s="25" t="n"/>
      <c r="E215" s="26" t="n"/>
      <c r="F215" s="26" t="n"/>
      <c r="G215" s="27">
        <f>IF(C215="","",IFERROR(VLOOKUP(C215,CodeTable,3,0),1))</f>
        <v/>
      </c>
      <c r="H215" s="27">
        <f>IF(C215="","",IF(E215&lt;&gt;"",E215,IF(IFERROR(VLOOKUP(C215,CodeTable,5,0)&amp;"","")="","All",VLOOKUP(C215,CodeTable,5,0)&amp;"")))</f>
        <v/>
      </c>
      <c r="I215" s="28">
        <f>IF(OR(A215="",C215=""),"",A215&amp;"|"&amp;B215&amp;"|"&amp;(COUNTIFS(FlDate,A215,FlShift,B215,FlCode,"&lt;&gt;",FlOrder,"&lt;"&amp;J215)+COUNTIFS(A$6:A215,A215,B$6:B215,B215,C$6:C215,"&lt;&gt;",J$6:J215,J215)))</f>
        <v/>
      </c>
      <c r="J215" s="28">
        <f>IF(C215="","",IF(D215="","zz","t"&amp;D215))</f>
        <v/>
      </c>
      <c r="K215" s="28">
        <f>IF(OR(A215="",C215=""),"",IF(IFERROR(INDEX(DayStat,A215-DATE(PlanYear,1,1)+1)&amp;"","")&lt;&gt;"",0,1))</f>
        <v/>
      </c>
      <c r="L215" s="28">
        <f>IF(K215="","",K215*IFERROR(VLOOKUP(C215,CodeTable,4,0),0))</f>
        <v/>
      </c>
    </row>
    <row r="216">
      <c r="A216" s="22" t="n"/>
      <c r="B216" s="23" t="n"/>
      <c r="C216" s="24" t="n"/>
      <c r="D216" s="25" t="n"/>
      <c r="E216" s="26" t="n"/>
      <c r="F216" s="26" t="n"/>
      <c r="G216" s="27">
        <f>IF(C216="","",IFERROR(VLOOKUP(C216,CodeTable,3,0),1))</f>
        <v/>
      </c>
      <c r="H216" s="27">
        <f>IF(C216="","",IF(E216&lt;&gt;"",E216,IF(IFERROR(VLOOKUP(C216,CodeTable,5,0)&amp;"","")="","All",VLOOKUP(C216,CodeTable,5,0)&amp;"")))</f>
        <v/>
      </c>
      <c r="I216" s="28">
        <f>IF(OR(A216="",C216=""),"",A216&amp;"|"&amp;B216&amp;"|"&amp;(COUNTIFS(FlDate,A216,FlShift,B216,FlCode,"&lt;&gt;",FlOrder,"&lt;"&amp;J216)+COUNTIFS(A$6:A216,A216,B$6:B216,B216,C$6:C216,"&lt;&gt;",J$6:J216,J216)))</f>
        <v/>
      </c>
      <c r="J216" s="28">
        <f>IF(C216="","",IF(D216="","zz","t"&amp;D216))</f>
        <v/>
      </c>
      <c r="K216" s="28">
        <f>IF(OR(A216="",C216=""),"",IF(IFERROR(INDEX(DayStat,A216-DATE(PlanYear,1,1)+1)&amp;"","")&lt;&gt;"",0,1))</f>
        <v/>
      </c>
      <c r="L216" s="28">
        <f>IF(K216="","",K216*IFERROR(VLOOKUP(C216,CodeTable,4,0),0))</f>
        <v/>
      </c>
    </row>
    <row r="217">
      <c r="A217" s="22" t="n"/>
      <c r="B217" s="23" t="n"/>
      <c r="C217" s="24" t="n"/>
      <c r="D217" s="25" t="n"/>
      <c r="E217" s="26" t="n"/>
      <c r="F217" s="26" t="n"/>
      <c r="G217" s="27">
        <f>IF(C217="","",IFERROR(VLOOKUP(C217,CodeTable,3,0),1))</f>
        <v/>
      </c>
      <c r="H217" s="27">
        <f>IF(C217="","",IF(E217&lt;&gt;"",E217,IF(IFERROR(VLOOKUP(C217,CodeTable,5,0)&amp;"","")="","All",VLOOKUP(C217,CodeTable,5,0)&amp;"")))</f>
        <v/>
      </c>
      <c r="I217" s="28">
        <f>IF(OR(A217="",C217=""),"",A217&amp;"|"&amp;B217&amp;"|"&amp;(COUNTIFS(FlDate,A217,FlShift,B217,FlCode,"&lt;&gt;",FlOrder,"&lt;"&amp;J217)+COUNTIFS(A$6:A217,A217,B$6:B217,B217,C$6:C217,"&lt;&gt;",J$6:J217,J217)))</f>
        <v/>
      </c>
      <c r="J217" s="28">
        <f>IF(C217="","",IF(D217="","zz","t"&amp;D217))</f>
        <v/>
      </c>
      <c r="K217" s="28">
        <f>IF(OR(A217="",C217=""),"",IF(IFERROR(INDEX(DayStat,A217-DATE(PlanYear,1,1)+1)&amp;"","")&lt;&gt;"",0,1))</f>
        <v/>
      </c>
      <c r="L217" s="28">
        <f>IF(K217="","",K217*IFERROR(VLOOKUP(C217,CodeTable,4,0),0))</f>
        <v/>
      </c>
    </row>
    <row r="218">
      <c r="A218" s="22" t="n"/>
      <c r="B218" s="23" t="n"/>
      <c r="C218" s="24" t="n"/>
      <c r="D218" s="25" t="n"/>
      <c r="E218" s="26" t="n"/>
      <c r="F218" s="26" t="n"/>
      <c r="G218" s="27">
        <f>IF(C218="","",IFERROR(VLOOKUP(C218,CodeTable,3,0),1))</f>
        <v/>
      </c>
      <c r="H218" s="27">
        <f>IF(C218="","",IF(E218&lt;&gt;"",E218,IF(IFERROR(VLOOKUP(C218,CodeTable,5,0)&amp;"","")="","All",VLOOKUP(C218,CodeTable,5,0)&amp;"")))</f>
        <v/>
      </c>
      <c r="I218" s="28">
        <f>IF(OR(A218="",C218=""),"",A218&amp;"|"&amp;B218&amp;"|"&amp;(COUNTIFS(FlDate,A218,FlShift,B218,FlCode,"&lt;&gt;",FlOrder,"&lt;"&amp;J218)+COUNTIFS(A$6:A218,A218,B$6:B218,B218,C$6:C218,"&lt;&gt;",J$6:J218,J218)))</f>
        <v/>
      </c>
      <c r="J218" s="28">
        <f>IF(C218="","",IF(D218="","zz","t"&amp;D218))</f>
        <v/>
      </c>
      <c r="K218" s="28">
        <f>IF(OR(A218="",C218=""),"",IF(IFERROR(INDEX(DayStat,A218-DATE(PlanYear,1,1)+1)&amp;"","")&lt;&gt;"",0,1))</f>
        <v/>
      </c>
      <c r="L218" s="28">
        <f>IF(K218="","",K218*IFERROR(VLOOKUP(C218,CodeTable,4,0),0))</f>
        <v/>
      </c>
    </row>
    <row r="219">
      <c r="A219" s="22" t="n"/>
      <c r="B219" s="23" t="n"/>
      <c r="C219" s="24" t="n"/>
      <c r="D219" s="25" t="n"/>
      <c r="E219" s="26" t="n"/>
      <c r="F219" s="26" t="n"/>
      <c r="G219" s="27">
        <f>IF(C219="","",IFERROR(VLOOKUP(C219,CodeTable,3,0),1))</f>
        <v/>
      </c>
      <c r="H219" s="27">
        <f>IF(C219="","",IF(E219&lt;&gt;"",E219,IF(IFERROR(VLOOKUP(C219,CodeTable,5,0)&amp;"","")="","All",VLOOKUP(C219,CodeTable,5,0)&amp;"")))</f>
        <v/>
      </c>
      <c r="I219" s="28">
        <f>IF(OR(A219="",C219=""),"",A219&amp;"|"&amp;B219&amp;"|"&amp;(COUNTIFS(FlDate,A219,FlShift,B219,FlCode,"&lt;&gt;",FlOrder,"&lt;"&amp;J219)+COUNTIFS(A$6:A219,A219,B$6:B219,B219,C$6:C219,"&lt;&gt;",J$6:J219,J219)))</f>
        <v/>
      </c>
      <c r="J219" s="28">
        <f>IF(C219="","",IF(D219="","zz","t"&amp;D219))</f>
        <v/>
      </c>
      <c r="K219" s="28">
        <f>IF(OR(A219="",C219=""),"",IF(IFERROR(INDEX(DayStat,A219-DATE(PlanYear,1,1)+1)&amp;"","")&lt;&gt;"",0,1))</f>
        <v/>
      </c>
      <c r="L219" s="28">
        <f>IF(K219="","",K219*IFERROR(VLOOKUP(C219,CodeTable,4,0),0))</f>
        <v/>
      </c>
    </row>
    <row r="220">
      <c r="A220" s="22" t="n"/>
      <c r="B220" s="23" t="n"/>
      <c r="C220" s="24" t="n"/>
      <c r="D220" s="25" t="n"/>
      <c r="E220" s="26" t="n"/>
      <c r="F220" s="26" t="n"/>
      <c r="G220" s="27">
        <f>IF(C220="","",IFERROR(VLOOKUP(C220,CodeTable,3,0),1))</f>
        <v/>
      </c>
      <c r="H220" s="27">
        <f>IF(C220="","",IF(E220&lt;&gt;"",E220,IF(IFERROR(VLOOKUP(C220,CodeTable,5,0)&amp;"","")="","All",VLOOKUP(C220,CodeTable,5,0)&amp;"")))</f>
        <v/>
      </c>
      <c r="I220" s="28">
        <f>IF(OR(A220="",C220=""),"",A220&amp;"|"&amp;B220&amp;"|"&amp;(COUNTIFS(FlDate,A220,FlShift,B220,FlCode,"&lt;&gt;",FlOrder,"&lt;"&amp;J220)+COUNTIFS(A$6:A220,A220,B$6:B220,B220,C$6:C220,"&lt;&gt;",J$6:J220,J220)))</f>
        <v/>
      </c>
      <c r="J220" s="28">
        <f>IF(C220="","",IF(D220="","zz","t"&amp;D220))</f>
        <v/>
      </c>
      <c r="K220" s="28">
        <f>IF(OR(A220="",C220=""),"",IF(IFERROR(INDEX(DayStat,A220-DATE(PlanYear,1,1)+1)&amp;"","")&lt;&gt;"",0,1))</f>
        <v/>
      </c>
      <c r="L220" s="28">
        <f>IF(K220="","",K220*IFERROR(VLOOKUP(C220,CodeTable,4,0),0))</f>
        <v/>
      </c>
    </row>
    <row r="221">
      <c r="A221" s="22" t="n"/>
      <c r="B221" s="23" t="n"/>
      <c r="C221" s="24" t="n"/>
      <c r="D221" s="25" t="n"/>
      <c r="E221" s="26" t="n"/>
      <c r="F221" s="26" t="n"/>
      <c r="G221" s="27">
        <f>IF(C221="","",IFERROR(VLOOKUP(C221,CodeTable,3,0),1))</f>
        <v/>
      </c>
      <c r="H221" s="27">
        <f>IF(C221="","",IF(E221&lt;&gt;"",E221,IF(IFERROR(VLOOKUP(C221,CodeTable,5,0)&amp;"","")="","All",VLOOKUP(C221,CodeTable,5,0)&amp;"")))</f>
        <v/>
      </c>
      <c r="I221" s="28">
        <f>IF(OR(A221="",C221=""),"",A221&amp;"|"&amp;B221&amp;"|"&amp;(COUNTIFS(FlDate,A221,FlShift,B221,FlCode,"&lt;&gt;",FlOrder,"&lt;"&amp;J221)+COUNTIFS(A$6:A221,A221,B$6:B221,B221,C$6:C221,"&lt;&gt;",J$6:J221,J221)))</f>
        <v/>
      </c>
      <c r="J221" s="28">
        <f>IF(C221="","",IF(D221="","zz","t"&amp;D221))</f>
        <v/>
      </c>
      <c r="K221" s="28">
        <f>IF(OR(A221="",C221=""),"",IF(IFERROR(INDEX(DayStat,A221-DATE(PlanYear,1,1)+1)&amp;"","")&lt;&gt;"",0,1))</f>
        <v/>
      </c>
      <c r="L221" s="28">
        <f>IF(K221="","",K221*IFERROR(VLOOKUP(C221,CodeTable,4,0),0))</f>
        <v/>
      </c>
    </row>
    <row r="222">
      <c r="A222" s="22" t="n"/>
      <c r="B222" s="23" t="n"/>
      <c r="C222" s="24" t="n"/>
      <c r="D222" s="25" t="n"/>
      <c r="E222" s="26" t="n"/>
      <c r="F222" s="26" t="n"/>
      <c r="G222" s="27">
        <f>IF(C222="","",IFERROR(VLOOKUP(C222,CodeTable,3,0),1))</f>
        <v/>
      </c>
      <c r="H222" s="27">
        <f>IF(C222="","",IF(E222&lt;&gt;"",E222,IF(IFERROR(VLOOKUP(C222,CodeTable,5,0)&amp;"","")="","All",VLOOKUP(C222,CodeTable,5,0)&amp;"")))</f>
        <v/>
      </c>
      <c r="I222" s="28">
        <f>IF(OR(A222="",C222=""),"",A222&amp;"|"&amp;B222&amp;"|"&amp;(COUNTIFS(FlDate,A222,FlShift,B222,FlCode,"&lt;&gt;",FlOrder,"&lt;"&amp;J222)+COUNTIFS(A$6:A222,A222,B$6:B222,B222,C$6:C222,"&lt;&gt;",J$6:J222,J222)))</f>
        <v/>
      </c>
      <c r="J222" s="28">
        <f>IF(C222="","",IF(D222="","zz","t"&amp;D222))</f>
        <v/>
      </c>
      <c r="K222" s="28">
        <f>IF(OR(A222="",C222=""),"",IF(IFERROR(INDEX(DayStat,A222-DATE(PlanYear,1,1)+1)&amp;"","")&lt;&gt;"",0,1))</f>
        <v/>
      </c>
      <c r="L222" s="28">
        <f>IF(K222="","",K222*IFERROR(VLOOKUP(C222,CodeTable,4,0),0))</f>
        <v/>
      </c>
    </row>
    <row r="223">
      <c r="A223" s="22" t="n"/>
      <c r="B223" s="23" t="n"/>
      <c r="C223" s="24" t="n"/>
      <c r="D223" s="25" t="n"/>
      <c r="E223" s="26" t="n"/>
      <c r="F223" s="26" t="n"/>
      <c r="G223" s="27">
        <f>IF(C223="","",IFERROR(VLOOKUP(C223,CodeTable,3,0),1))</f>
        <v/>
      </c>
      <c r="H223" s="27">
        <f>IF(C223="","",IF(E223&lt;&gt;"",E223,IF(IFERROR(VLOOKUP(C223,CodeTable,5,0)&amp;"","")="","All",VLOOKUP(C223,CodeTable,5,0)&amp;"")))</f>
        <v/>
      </c>
      <c r="I223" s="28">
        <f>IF(OR(A223="",C223=""),"",A223&amp;"|"&amp;B223&amp;"|"&amp;(COUNTIFS(FlDate,A223,FlShift,B223,FlCode,"&lt;&gt;",FlOrder,"&lt;"&amp;J223)+COUNTIFS(A$6:A223,A223,B$6:B223,B223,C$6:C223,"&lt;&gt;",J$6:J223,J223)))</f>
        <v/>
      </c>
      <c r="J223" s="28">
        <f>IF(C223="","",IF(D223="","zz","t"&amp;D223))</f>
        <v/>
      </c>
      <c r="K223" s="28">
        <f>IF(OR(A223="",C223=""),"",IF(IFERROR(INDEX(DayStat,A223-DATE(PlanYear,1,1)+1)&amp;"","")&lt;&gt;"",0,1))</f>
        <v/>
      </c>
      <c r="L223" s="28">
        <f>IF(K223="","",K223*IFERROR(VLOOKUP(C223,CodeTable,4,0),0))</f>
        <v/>
      </c>
    </row>
    <row r="224">
      <c r="A224" s="22" t="n"/>
      <c r="B224" s="23" t="n"/>
      <c r="C224" s="24" t="n"/>
      <c r="D224" s="25" t="n"/>
      <c r="E224" s="26" t="n"/>
      <c r="F224" s="26" t="n"/>
      <c r="G224" s="27">
        <f>IF(C224="","",IFERROR(VLOOKUP(C224,CodeTable,3,0),1))</f>
        <v/>
      </c>
      <c r="H224" s="27">
        <f>IF(C224="","",IF(E224&lt;&gt;"",E224,IF(IFERROR(VLOOKUP(C224,CodeTable,5,0)&amp;"","")="","All",VLOOKUP(C224,CodeTable,5,0)&amp;"")))</f>
        <v/>
      </c>
      <c r="I224" s="28">
        <f>IF(OR(A224="",C224=""),"",A224&amp;"|"&amp;B224&amp;"|"&amp;(COUNTIFS(FlDate,A224,FlShift,B224,FlCode,"&lt;&gt;",FlOrder,"&lt;"&amp;J224)+COUNTIFS(A$6:A224,A224,B$6:B224,B224,C$6:C224,"&lt;&gt;",J$6:J224,J224)))</f>
        <v/>
      </c>
      <c r="J224" s="28">
        <f>IF(C224="","",IF(D224="","zz","t"&amp;D224))</f>
        <v/>
      </c>
      <c r="K224" s="28">
        <f>IF(OR(A224="",C224=""),"",IF(IFERROR(INDEX(DayStat,A224-DATE(PlanYear,1,1)+1)&amp;"","")&lt;&gt;"",0,1))</f>
        <v/>
      </c>
      <c r="L224" s="28">
        <f>IF(K224="","",K224*IFERROR(VLOOKUP(C224,CodeTable,4,0),0))</f>
        <v/>
      </c>
    </row>
    <row r="225">
      <c r="A225" s="22" t="n"/>
      <c r="B225" s="23" t="n"/>
      <c r="C225" s="24" t="n"/>
      <c r="D225" s="25" t="n"/>
      <c r="E225" s="26" t="n"/>
      <c r="F225" s="26" t="n"/>
      <c r="G225" s="27">
        <f>IF(C225="","",IFERROR(VLOOKUP(C225,CodeTable,3,0),1))</f>
        <v/>
      </c>
      <c r="H225" s="27">
        <f>IF(C225="","",IF(E225&lt;&gt;"",E225,IF(IFERROR(VLOOKUP(C225,CodeTable,5,0)&amp;"","")="","All",VLOOKUP(C225,CodeTable,5,0)&amp;"")))</f>
        <v/>
      </c>
      <c r="I225" s="28">
        <f>IF(OR(A225="",C225=""),"",A225&amp;"|"&amp;B225&amp;"|"&amp;(COUNTIFS(FlDate,A225,FlShift,B225,FlCode,"&lt;&gt;",FlOrder,"&lt;"&amp;J225)+COUNTIFS(A$6:A225,A225,B$6:B225,B225,C$6:C225,"&lt;&gt;",J$6:J225,J225)))</f>
        <v/>
      </c>
      <c r="J225" s="28">
        <f>IF(C225="","",IF(D225="","zz","t"&amp;D225))</f>
        <v/>
      </c>
      <c r="K225" s="28">
        <f>IF(OR(A225="",C225=""),"",IF(IFERROR(INDEX(DayStat,A225-DATE(PlanYear,1,1)+1)&amp;"","")&lt;&gt;"",0,1))</f>
        <v/>
      </c>
      <c r="L225" s="28">
        <f>IF(K225="","",K225*IFERROR(VLOOKUP(C225,CodeTable,4,0),0))</f>
        <v/>
      </c>
    </row>
    <row r="226">
      <c r="A226" s="22" t="n"/>
      <c r="B226" s="23" t="n"/>
      <c r="C226" s="24" t="n"/>
      <c r="D226" s="25" t="n"/>
      <c r="E226" s="26" t="n"/>
      <c r="F226" s="26" t="n"/>
      <c r="G226" s="27">
        <f>IF(C226="","",IFERROR(VLOOKUP(C226,CodeTable,3,0),1))</f>
        <v/>
      </c>
      <c r="H226" s="27">
        <f>IF(C226="","",IF(E226&lt;&gt;"",E226,IF(IFERROR(VLOOKUP(C226,CodeTable,5,0)&amp;"","")="","All",VLOOKUP(C226,CodeTable,5,0)&amp;"")))</f>
        <v/>
      </c>
      <c r="I226" s="28">
        <f>IF(OR(A226="",C226=""),"",A226&amp;"|"&amp;B226&amp;"|"&amp;(COUNTIFS(FlDate,A226,FlShift,B226,FlCode,"&lt;&gt;",FlOrder,"&lt;"&amp;J226)+COUNTIFS(A$6:A226,A226,B$6:B226,B226,C$6:C226,"&lt;&gt;",J$6:J226,J226)))</f>
        <v/>
      </c>
      <c r="J226" s="28">
        <f>IF(C226="","",IF(D226="","zz","t"&amp;D226))</f>
        <v/>
      </c>
      <c r="K226" s="28">
        <f>IF(OR(A226="",C226=""),"",IF(IFERROR(INDEX(DayStat,A226-DATE(PlanYear,1,1)+1)&amp;"","")&lt;&gt;"",0,1))</f>
        <v/>
      </c>
      <c r="L226" s="28">
        <f>IF(K226="","",K226*IFERROR(VLOOKUP(C226,CodeTable,4,0),0))</f>
        <v/>
      </c>
    </row>
    <row r="227">
      <c r="A227" s="22" t="n"/>
      <c r="B227" s="23" t="n"/>
      <c r="C227" s="24" t="n"/>
      <c r="D227" s="25" t="n"/>
      <c r="E227" s="26" t="n"/>
      <c r="F227" s="26" t="n"/>
      <c r="G227" s="27">
        <f>IF(C227="","",IFERROR(VLOOKUP(C227,CodeTable,3,0),1))</f>
        <v/>
      </c>
      <c r="H227" s="27">
        <f>IF(C227="","",IF(E227&lt;&gt;"",E227,IF(IFERROR(VLOOKUP(C227,CodeTable,5,0)&amp;"","")="","All",VLOOKUP(C227,CodeTable,5,0)&amp;"")))</f>
        <v/>
      </c>
      <c r="I227" s="28">
        <f>IF(OR(A227="",C227=""),"",A227&amp;"|"&amp;B227&amp;"|"&amp;(COUNTIFS(FlDate,A227,FlShift,B227,FlCode,"&lt;&gt;",FlOrder,"&lt;"&amp;J227)+COUNTIFS(A$6:A227,A227,B$6:B227,B227,C$6:C227,"&lt;&gt;",J$6:J227,J227)))</f>
        <v/>
      </c>
      <c r="J227" s="28">
        <f>IF(C227="","",IF(D227="","zz","t"&amp;D227))</f>
        <v/>
      </c>
      <c r="K227" s="28">
        <f>IF(OR(A227="",C227=""),"",IF(IFERROR(INDEX(DayStat,A227-DATE(PlanYear,1,1)+1)&amp;"","")&lt;&gt;"",0,1))</f>
        <v/>
      </c>
      <c r="L227" s="28">
        <f>IF(K227="","",K227*IFERROR(VLOOKUP(C227,CodeTable,4,0),0))</f>
        <v/>
      </c>
    </row>
    <row r="228">
      <c r="A228" s="22" t="n"/>
      <c r="B228" s="23" t="n"/>
      <c r="C228" s="24" t="n"/>
      <c r="D228" s="25" t="n"/>
      <c r="E228" s="26" t="n"/>
      <c r="F228" s="26" t="n"/>
      <c r="G228" s="27">
        <f>IF(C228="","",IFERROR(VLOOKUP(C228,CodeTable,3,0),1))</f>
        <v/>
      </c>
      <c r="H228" s="27">
        <f>IF(C228="","",IF(E228&lt;&gt;"",E228,IF(IFERROR(VLOOKUP(C228,CodeTable,5,0)&amp;"","")="","All",VLOOKUP(C228,CodeTable,5,0)&amp;"")))</f>
        <v/>
      </c>
      <c r="I228" s="28">
        <f>IF(OR(A228="",C228=""),"",A228&amp;"|"&amp;B228&amp;"|"&amp;(COUNTIFS(FlDate,A228,FlShift,B228,FlCode,"&lt;&gt;",FlOrder,"&lt;"&amp;J228)+COUNTIFS(A$6:A228,A228,B$6:B228,B228,C$6:C228,"&lt;&gt;",J$6:J228,J228)))</f>
        <v/>
      </c>
      <c r="J228" s="28">
        <f>IF(C228="","",IF(D228="","zz","t"&amp;D228))</f>
        <v/>
      </c>
      <c r="K228" s="28">
        <f>IF(OR(A228="",C228=""),"",IF(IFERROR(INDEX(DayStat,A228-DATE(PlanYear,1,1)+1)&amp;"","")&lt;&gt;"",0,1))</f>
        <v/>
      </c>
      <c r="L228" s="28">
        <f>IF(K228="","",K228*IFERROR(VLOOKUP(C228,CodeTable,4,0),0))</f>
        <v/>
      </c>
    </row>
    <row r="229">
      <c r="A229" s="22" t="n"/>
      <c r="B229" s="23" t="n"/>
      <c r="C229" s="24" t="n"/>
      <c r="D229" s="25" t="n"/>
      <c r="E229" s="26" t="n"/>
      <c r="F229" s="26" t="n"/>
      <c r="G229" s="27">
        <f>IF(C229="","",IFERROR(VLOOKUP(C229,CodeTable,3,0),1))</f>
        <v/>
      </c>
      <c r="H229" s="27">
        <f>IF(C229="","",IF(E229&lt;&gt;"",E229,IF(IFERROR(VLOOKUP(C229,CodeTable,5,0)&amp;"","")="","All",VLOOKUP(C229,CodeTable,5,0)&amp;"")))</f>
        <v/>
      </c>
      <c r="I229" s="28">
        <f>IF(OR(A229="",C229=""),"",A229&amp;"|"&amp;B229&amp;"|"&amp;(COUNTIFS(FlDate,A229,FlShift,B229,FlCode,"&lt;&gt;",FlOrder,"&lt;"&amp;J229)+COUNTIFS(A$6:A229,A229,B$6:B229,B229,C$6:C229,"&lt;&gt;",J$6:J229,J229)))</f>
        <v/>
      </c>
      <c r="J229" s="28">
        <f>IF(C229="","",IF(D229="","zz","t"&amp;D229))</f>
        <v/>
      </c>
      <c r="K229" s="28">
        <f>IF(OR(A229="",C229=""),"",IF(IFERROR(INDEX(DayStat,A229-DATE(PlanYear,1,1)+1)&amp;"","")&lt;&gt;"",0,1))</f>
        <v/>
      </c>
      <c r="L229" s="28">
        <f>IF(K229="","",K229*IFERROR(VLOOKUP(C229,CodeTable,4,0),0))</f>
        <v/>
      </c>
    </row>
    <row r="230">
      <c r="A230" s="22" t="n"/>
      <c r="B230" s="23" t="n"/>
      <c r="C230" s="24" t="n"/>
      <c r="D230" s="25" t="n"/>
      <c r="E230" s="26" t="n"/>
      <c r="F230" s="26" t="n"/>
      <c r="G230" s="27">
        <f>IF(C230="","",IFERROR(VLOOKUP(C230,CodeTable,3,0),1))</f>
        <v/>
      </c>
      <c r="H230" s="27">
        <f>IF(C230="","",IF(E230&lt;&gt;"",E230,IF(IFERROR(VLOOKUP(C230,CodeTable,5,0)&amp;"","")="","All",VLOOKUP(C230,CodeTable,5,0)&amp;"")))</f>
        <v/>
      </c>
      <c r="I230" s="28">
        <f>IF(OR(A230="",C230=""),"",A230&amp;"|"&amp;B230&amp;"|"&amp;(COUNTIFS(FlDate,A230,FlShift,B230,FlCode,"&lt;&gt;",FlOrder,"&lt;"&amp;J230)+COUNTIFS(A$6:A230,A230,B$6:B230,B230,C$6:C230,"&lt;&gt;",J$6:J230,J230)))</f>
        <v/>
      </c>
      <c r="J230" s="28">
        <f>IF(C230="","",IF(D230="","zz","t"&amp;D230))</f>
        <v/>
      </c>
      <c r="K230" s="28">
        <f>IF(OR(A230="",C230=""),"",IF(IFERROR(INDEX(DayStat,A230-DATE(PlanYear,1,1)+1)&amp;"","")&lt;&gt;"",0,1))</f>
        <v/>
      </c>
      <c r="L230" s="28">
        <f>IF(K230="","",K230*IFERROR(VLOOKUP(C230,CodeTable,4,0),0))</f>
        <v/>
      </c>
    </row>
    <row r="231">
      <c r="A231" s="22" t="n"/>
      <c r="B231" s="23" t="n"/>
      <c r="C231" s="24" t="n"/>
      <c r="D231" s="25" t="n"/>
      <c r="E231" s="26" t="n"/>
      <c r="F231" s="26" t="n"/>
      <c r="G231" s="27">
        <f>IF(C231="","",IFERROR(VLOOKUP(C231,CodeTable,3,0),1))</f>
        <v/>
      </c>
      <c r="H231" s="27">
        <f>IF(C231="","",IF(E231&lt;&gt;"",E231,IF(IFERROR(VLOOKUP(C231,CodeTable,5,0)&amp;"","")="","All",VLOOKUP(C231,CodeTable,5,0)&amp;"")))</f>
        <v/>
      </c>
      <c r="I231" s="28">
        <f>IF(OR(A231="",C231=""),"",A231&amp;"|"&amp;B231&amp;"|"&amp;(COUNTIFS(FlDate,A231,FlShift,B231,FlCode,"&lt;&gt;",FlOrder,"&lt;"&amp;J231)+COUNTIFS(A$6:A231,A231,B$6:B231,B231,C$6:C231,"&lt;&gt;",J$6:J231,J231)))</f>
        <v/>
      </c>
      <c r="J231" s="28">
        <f>IF(C231="","",IF(D231="","zz","t"&amp;D231))</f>
        <v/>
      </c>
      <c r="K231" s="28">
        <f>IF(OR(A231="",C231=""),"",IF(IFERROR(INDEX(DayStat,A231-DATE(PlanYear,1,1)+1)&amp;"","")&lt;&gt;"",0,1))</f>
        <v/>
      </c>
      <c r="L231" s="28">
        <f>IF(K231="","",K231*IFERROR(VLOOKUP(C231,CodeTable,4,0),0))</f>
        <v/>
      </c>
    </row>
    <row r="232">
      <c r="A232" s="22" t="n"/>
      <c r="B232" s="23" t="n"/>
      <c r="C232" s="24" t="n"/>
      <c r="D232" s="25" t="n"/>
      <c r="E232" s="26" t="n"/>
      <c r="F232" s="26" t="n"/>
      <c r="G232" s="27">
        <f>IF(C232="","",IFERROR(VLOOKUP(C232,CodeTable,3,0),1))</f>
        <v/>
      </c>
      <c r="H232" s="27">
        <f>IF(C232="","",IF(E232&lt;&gt;"",E232,IF(IFERROR(VLOOKUP(C232,CodeTable,5,0)&amp;"","")="","All",VLOOKUP(C232,CodeTable,5,0)&amp;"")))</f>
        <v/>
      </c>
      <c r="I232" s="28">
        <f>IF(OR(A232="",C232=""),"",A232&amp;"|"&amp;B232&amp;"|"&amp;(COUNTIFS(FlDate,A232,FlShift,B232,FlCode,"&lt;&gt;",FlOrder,"&lt;"&amp;J232)+COUNTIFS(A$6:A232,A232,B$6:B232,B232,C$6:C232,"&lt;&gt;",J$6:J232,J232)))</f>
        <v/>
      </c>
      <c r="J232" s="28">
        <f>IF(C232="","",IF(D232="","zz","t"&amp;D232))</f>
        <v/>
      </c>
      <c r="K232" s="28">
        <f>IF(OR(A232="",C232=""),"",IF(IFERROR(INDEX(DayStat,A232-DATE(PlanYear,1,1)+1)&amp;"","")&lt;&gt;"",0,1))</f>
        <v/>
      </c>
      <c r="L232" s="28">
        <f>IF(K232="","",K232*IFERROR(VLOOKUP(C232,CodeTable,4,0),0))</f>
        <v/>
      </c>
    </row>
    <row r="233">
      <c r="A233" s="22" t="n"/>
      <c r="B233" s="23" t="n"/>
      <c r="C233" s="24" t="n"/>
      <c r="D233" s="25" t="n"/>
      <c r="E233" s="26" t="n"/>
      <c r="F233" s="26" t="n"/>
      <c r="G233" s="27">
        <f>IF(C233="","",IFERROR(VLOOKUP(C233,CodeTable,3,0),1))</f>
        <v/>
      </c>
      <c r="H233" s="27">
        <f>IF(C233="","",IF(E233&lt;&gt;"",E233,IF(IFERROR(VLOOKUP(C233,CodeTable,5,0)&amp;"","")="","All",VLOOKUP(C233,CodeTable,5,0)&amp;"")))</f>
        <v/>
      </c>
      <c r="I233" s="28">
        <f>IF(OR(A233="",C233=""),"",A233&amp;"|"&amp;B233&amp;"|"&amp;(COUNTIFS(FlDate,A233,FlShift,B233,FlCode,"&lt;&gt;",FlOrder,"&lt;"&amp;J233)+COUNTIFS(A$6:A233,A233,B$6:B233,B233,C$6:C233,"&lt;&gt;",J$6:J233,J233)))</f>
        <v/>
      </c>
      <c r="J233" s="28">
        <f>IF(C233="","",IF(D233="","zz","t"&amp;D233))</f>
        <v/>
      </c>
      <c r="K233" s="28">
        <f>IF(OR(A233="",C233=""),"",IF(IFERROR(INDEX(DayStat,A233-DATE(PlanYear,1,1)+1)&amp;"","")&lt;&gt;"",0,1))</f>
        <v/>
      </c>
      <c r="L233" s="28">
        <f>IF(K233="","",K233*IFERROR(VLOOKUP(C233,CodeTable,4,0),0))</f>
        <v/>
      </c>
    </row>
    <row r="234">
      <c r="A234" s="22" t="n"/>
      <c r="B234" s="23" t="n"/>
      <c r="C234" s="24" t="n"/>
      <c r="D234" s="25" t="n"/>
      <c r="E234" s="26" t="n"/>
      <c r="F234" s="26" t="n"/>
      <c r="G234" s="27">
        <f>IF(C234="","",IFERROR(VLOOKUP(C234,CodeTable,3,0),1))</f>
        <v/>
      </c>
      <c r="H234" s="27">
        <f>IF(C234="","",IF(E234&lt;&gt;"",E234,IF(IFERROR(VLOOKUP(C234,CodeTable,5,0)&amp;"","")="","All",VLOOKUP(C234,CodeTable,5,0)&amp;"")))</f>
        <v/>
      </c>
      <c r="I234" s="28">
        <f>IF(OR(A234="",C234=""),"",A234&amp;"|"&amp;B234&amp;"|"&amp;(COUNTIFS(FlDate,A234,FlShift,B234,FlCode,"&lt;&gt;",FlOrder,"&lt;"&amp;J234)+COUNTIFS(A$6:A234,A234,B$6:B234,B234,C$6:C234,"&lt;&gt;",J$6:J234,J234)))</f>
        <v/>
      </c>
      <c r="J234" s="28">
        <f>IF(C234="","",IF(D234="","zz","t"&amp;D234))</f>
        <v/>
      </c>
      <c r="K234" s="28">
        <f>IF(OR(A234="",C234=""),"",IF(IFERROR(INDEX(DayStat,A234-DATE(PlanYear,1,1)+1)&amp;"","")&lt;&gt;"",0,1))</f>
        <v/>
      </c>
      <c r="L234" s="28">
        <f>IF(K234="","",K234*IFERROR(VLOOKUP(C234,CodeTable,4,0),0))</f>
        <v/>
      </c>
    </row>
    <row r="235">
      <c r="A235" s="22" t="n"/>
      <c r="B235" s="23" t="n"/>
      <c r="C235" s="24" t="n"/>
      <c r="D235" s="25" t="n"/>
      <c r="E235" s="26" t="n"/>
      <c r="F235" s="26" t="n"/>
      <c r="G235" s="27">
        <f>IF(C235="","",IFERROR(VLOOKUP(C235,CodeTable,3,0),1))</f>
        <v/>
      </c>
      <c r="H235" s="27">
        <f>IF(C235="","",IF(E235&lt;&gt;"",E235,IF(IFERROR(VLOOKUP(C235,CodeTable,5,0)&amp;"","")="","All",VLOOKUP(C235,CodeTable,5,0)&amp;"")))</f>
        <v/>
      </c>
      <c r="I235" s="28">
        <f>IF(OR(A235="",C235=""),"",A235&amp;"|"&amp;B235&amp;"|"&amp;(COUNTIFS(FlDate,A235,FlShift,B235,FlCode,"&lt;&gt;",FlOrder,"&lt;"&amp;J235)+COUNTIFS(A$6:A235,A235,B$6:B235,B235,C$6:C235,"&lt;&gt;",J$6:J235,J235)))</f>
        <v/>
      </c>
      <c r="J235" s="28">
        <f>IF(C235="","",IF(D235="","zz","t"&amp;D235))</f>
        <v/>
      </c>
      <c r="K235" s="28">
        <f>IF(OR(A235="",C235=""),"",IF(IFERROR(INDEX(DayStat,A235-DATE(PlanYear,1,1)+1)&amp;"","")&lt;&gt;"",0,1))</f>
        <v/>
      </c>
      <c r="L235" s="28">
        <f>IF(K235="","",K235*IFERROR(VLOOKUP(C235,CodeTable,4,0),0))</f>
        <v/>
      </c>
    </row>
    <row r="236">
      <c r="A236" s="22" t="n"/>
      <c r="B236" s="23" t="n"/>
      <c r="C236" s="24" t="n"/>
      <c r="D236" s="25" t="n"/>
      <c r="E236" s="26" t="n"/>
      <c r="F236" s="26" t="n"/>
      <c r="G236" s="27">
        <f>IF(C236="","",IFERROR(VLOOKUP(C236,CodeTable,3,0),1))</f>
        <v/>
      </c>
      <c r="H236" s="27">
        <f>IF(C236="","",IF(E236&lt;&gt;"",E236,IF(IFERROR(VLOOKUP(C236,CodeTable,5,0)&amp;"","")="","All",VLOOKUP(C236,CodeTable,5,0)&amp;"")))</f>
        <v/>
      </c>
      <c r="I236" s="28">
        <f>IF(OR(A236="",C236=""),"",A236&amp;"|"&amp;B236&amp;"|"&amp;(COUNTIFS(FlDate,A236,FlShift,B236,FlCode,"&lt;&gt;",FlOrder,"&lt;"&amp;J236)+COUNTIFS(A$6:A236,A236,B$6:B236,B236,C$6:C236,"&lt;&gt;",J$6:J236,J236)))</f>
        <v/>
      </c>
      <c r="J236" s="28">
        <f>IF(C236="","",IF(D236="","zz","t"&amp;D236))</f>
        <v/>
      </c>
      <c r="K236" s="28">
        <f>IF(OR(A236="",C236=""),"",IF(IFERROR(INDEX(DayStat,A236-DATE(PlanYear,1,1)+1)&amp;"","")&lt;&gt;"",0,1))</f>
        <v/>
      </c>
      <c r="L236" s="28">
        <f>IF(K236="","",K236*IFERROR(VLOOKUP(C236,CodeTable,4,0),0))</f>
        <v/>
      </c>
    </row>
    <row r="237">
      <c r="A237" s="22" t="n"/>
      <c r="B237" s="23" t="n"/>
      <c r="C237" s="24" t="n"/>
      <c r="D237" s="25" t="n"/>
      <c r="E237" s="26" t="n"/>
      <c r="F237" s="26" t="n"/>
      <c r="G237" s="27">
        <f>IF(C237="","",IFERROR(VLOOKUP(C237,CodeTable,3,0),1))</f>
        <v/>
      </c>
      <c r="H237" s="27">
        <f>IF(C237="","",IF(E237&lt;&gt;"",E237,IF(IFERROR(VLOOKUP(C237,CodeTable,5,0)&amp;"","")="","All",VLOOKUP(C237,CodeTable,5,0)&amp;"")))</f>
        <v/>
      </c>
      <c r="I237" s="28">
        <f>IF(OR(A237="",C237=""),"",A237&amp;"|"&amp;B237&amp;"|"&amp;(COUNTIFS(FlDate,A237,FlShift,B237,FlCode,"&lt;&gt;",FlOrder,"&lt;"&amp;J237)+COUNTIFS(A$6:A237,A237,B$6:B237,B237,C$6:C237,"&lt;&gt;",J$6:J237,J237)))</f>
        <v/>
      </c>
      <c r="J237" s="28">
        <f>IF(C237="","",IF(D237="","zz","t"&amp;D237))</f>
        <v/>
      </c>
      <c r="K237" s="28">
        <f>IF(OR(A237="",C237=""),"",IF(IFERROR(INDEX(DayStat,A237-DATE(PlanYear,1,1)+1)&amp;"","")&lt;&gt;"",0,1))</f>
        <v/>
      </c>
      <c r="L237" s="28">
        <f>IF(K237="","",K237*IFERROR(VLOOKUP(C237,CodeTable,4,0),0))</f>
        <v/>
      </c>
    </row>
    <row r="238">
      <c r="A238" s="22" t="n"/>
      <c r="B238" s="23" t="n"/>
      <c r="C238" s="24" t="n"/>
      <c r="D238" s="25" t="n"/>
      <c r="E238" s="26" t="n"/>
      <c r="F238" s="26" t="n"/>
      <c r="G238" s="27">
        <f>IF(C238="","",IFERROR(VLOOKUP(C238,CodeTable,3,0),1))</f>
        <v/>
      </c>
      <c r="H238" s="27">
        <f>IF(C238="","",IF(E238&lt;&gt;"",E238,IF(IFERROR(VLOOKUP(C238,CodeTable,5,0)&amp;"","")="","All",VLOOKUP(C238,CodeTable,5,0)&amp;"")))</f>
        <v/>
      </c>
      <c r="I238" s="28">
        <f>IF(OR(A238="",C238=""),"",A238&amp;"|"&amp;B238&amp;"|"&amp;(COUNTIFS(FlDate,A238,FlShift,B238,FlCode,"&lt;&gt;",FlOrder,"&lt;"&amp;J238)+COUNTIFS(A$6:A238,A238,B$6:B238,B238,C$6:C238,"&lt;&gt;",J$6:J238,J238)))</f>
        <v/>
      </c>
      <c r="J238" s="28">
        <f>IF(C238="","",IF(D238="","zz","t"&amp;D238))</f>
        <v/>
      </c>
      <c r="K238" s="28">
        <f>IF(OR(A238="",C238=""),"",IF(IFERROR(INDEX(DayStat,A238-DATE(PlanYear,1,1)+1)&amp;"","")&lt;&gt;"",0,1))</f>
        <v/>
      </c>
      <c r="L238" s="28">
        <f>IF(K238="","",K238*IFERROR(VLOOKUP(C238,CodeTable,4,0),0))</f>
        <v/>
      </c>
    </row>
    <row r="239">
      <c r="A239" s="22" t="n"/>
      <c r="B239" s="23" t="n"/>
      <c r="C239" s="24" t="n"/>
      <c r="D239" s="25" t="n"/>
      <c r="E239" s="26" t="n"/>
      <c r="F239" s="26" t="n"/>
      <c r="G239" s="27">
        <f>IF(C239="","",IFERROR(VLOOKUP(C239,CodeTable,3,0),1))</f>
        <v/>
      </c>
      <c r="H239" s="27">
        <f>IF(C239="","",IF(E239&lt;&gt;"",E239,IF(IFERROR(VLOOKUP(C239,CodeTable,5,0)&amp;"","")="","All",VLOOKUP(C239,CodeTable,5,0)&amp;"")))</f>
        <v/>
      </c>
      <c r="I239" s="28">
        <f>IF(OR(A239="",C239=""),"",A239&amp;"|"&amp;B239&amp;"|"&amp;(COUNTIFS(FlDate,A239,FlShift,B239,FlCode,"&lt;&gt;",FlOrder,"&lt;"&amp;J239)+COUNTIFS(A$6:A239,A239,B$6:B239,B239,C$6:C239,"&lt;&gt;",J$6:J239,J239)))</f>
        <v/>
      </c>
      <c r="J239" s="28">
        <f>IF(C239="","",IF(D239="","zz","t"&amp;D239))</f>
        <v/>
      </c>
      <c r="K239" s="28">
        <f>IF(OR(A239="",C239=""),"",IF(IFERROR(INDEX(DayStat,A239-DATE(PlanYear,1,1)+1)&amp;"","")&lt;&gt;"",0,1))</f>
        <v/>
      </c>
      <c r="L239" s="28">
        <f>IF(K239="","",K239*IFERROR(VLOOKUP(C239,CodeTable,4,0),0))</f>
        <v/>
      </c>
    </row>
    <row r="240">
      <c r="A240" s="22" t="n"/>
      <c r="B240" s="23" t="n"/>
      <c r="C240" s="24" t="n"/>
      <c r="D240" s="25" t="n"/>
      <c r="E240" s="26" t="n"/>
      <c r="F240" s="26" t="n"/>
      <c r="G240" s="27">
        <f>IF(C240="","",IFERROR(VLOOKUP(C240,CodeTable,3,0),1))</f>
        <v/>
      </c>
      <c r="H240" s="27">
        <f>IF(C240="","",IF(E240&lt;&gt;"",E240,IF(IFERROR(VLOOKUP(C240,CodeTable,5,0)&amp;"","")="","All",VLOOKUP(C240,CodeTable,5,0)&amp;"")))</f>
        <v/>
      </c>
      <c r="I240" s="28">
        <f>IF(OR(A240="",C240=""),"",A240&amp;"|"&amp;B240&amp;"|"&amp;(COUNTIFS(FlDate,A240,FlShift,B240,FlCode,"&lt;&gt;",FlOrder,"&lt;"&amp;J240)+COUNTIFS(A$6:A240,A240,B$6:B240,B240,C$6:C240,"&lt;&gt;",J$6:J240,J240)))</f>
        <v/>
      </c>
      <c r="J240" s="28">
        <f>IF(C240="","",IF(D240="","zz","t"&amp;D240))</f>
        <v/>
      </c>
      <c r="K240" s="28">
        <f>IF(OR(A240="",C240=""),"",IF(IFERROR(INDEX(DayStat,A240-DATE(PlanYear,1,1)+1)&amp;"","")&lt;&gt;"",0,1))</f>
        <v/>
      </c>
      <c r="L240" s="28">
        <f>IF(K240="","",K240*IFERROR(VLOOKUP(C240,CodeTable,4,0),0))</f>
        <v/>
      </c>
    </row>
    <row r="241">
      <c r="A241" s="22" t="n"/>
      <c r="B241" s="23" t="n"/>
      <c r="C241" s="24" t="n"/>
      <c r="D241" s="25" t="n"/>
      <c r="E241" s="26" t="n"/>
      <c r="F241" s="26" t="n"/>
      <c r="G241" s="27">
        <f>IF(C241="","",IFERROR(VLOOKUP(C241,CodeTable,3,0),1))</f>
        <v/>
      </c>
      <c r="H241" s="27">
        <f>IF(C241="","",IF(E241&lt;&gt;"",E241,IF(IFERROR(VLOOKUP(C241,CodeTable,5,0)&amp;"","")="","All",VLOOKUP(C241,CodeTable,5,0)&amp;"")))</f>
        <v/>
      </c>
      <c r="I241" s="28">
        <f>IF(OR(A241="",C241=""),"",A241&amp;"|"&amp;B241&amp;"|"&amp;(COUNTIFS(FlDate,A241,FlShift,B241,FlCode,"&lt;&gt;",FlOrder,"&lt;"&amp;J241)+COUNTIFS(A$6:A241,A241,B$6:B241,B241,C$6:C241,"&lt;&gt;",J$6:J241,J241)))</f>
        <v/>
      </c>
      <c r="J241" s="28">
        <f>IF(C241="","",IF(D241="","zz","t"&amp;D241))</f>
        <v/>
      </c>
      <c r="K241" s="28">
        <f>IF(OR(A241="",C241=""),"",IF(IFERROR(INDEX(DayStat,A241-DATE(PlanYear,1,1)+1)&amp;"","")&lt;&gt;"",0,1))</f>
        <v/>
      </c>
      <c r="L241" s="28">
        <f>IF(K241="","",K241*IFERROR(VLOOKUP(C241,CodeTable,4,0),0))</f>
        <v/>
      </c>
    </row>
    <row r="242">
      <c r="A242" s="22" t="n"/>
      <c r="B242" s="23" t="n"/>
      <c r="C242" s="24" t="n"/>
      <c r="D242" s="25" t="n"/>
      <c r="E242" s="26" t="n"/>
      <c r="F242" s="26" t="n"/>
      <c r="G242" s="27">
        <f>IF(C242="","",IFERROR(VLOOKUP(C242,CodeTable,3,0),1))</f>
        <v/>
      </c>
      <c r="H242" s="27">
        <f>IF(C242="","",IF(E242&lt;&gt;"",E242,IF(IFERROR(VLOOKUP(C242,CodeTable,5,0)&amp;"","")="","All",VLOOKUP(C242,CodeTable,5,0)&amp;"")))</f>
        <v/>
      </c>
      <c r="I242" s="28">
        <f>IF(OR(A242="",C242=""),"",A242&amp;"|"&amp;B242&amp;"|"&amp;(COUNTIFS(FlDate,A242,FlShift,B242,FlCode,"&lt;&gt;",FlOrder,"&lt;"&amp;J242)+COUNTIFS(A$6:A242,A242,B$6:B242,B242,C$6:C242,"&lt;&gt;",J$6:J242,J242)))</f>
        <v/>
      </c>
      <c r="J242" s="28">
        <f>IF(C242="","",IF(D242="","zz","t"&amp;D242))</f>
        <v/>
      </c>
      <c r="K242" s="28">
        <f>IF(OR(A242="",C242=""),"",IF(IFERROR(INDEX(DayStat,A242-DATE(PlanYear,1,1)+1)&amp;"","")&lt;&gt;"",0,1))</f>
        <v/>
      </c>
      <c r="L242" s="28">
        <f>IF(K242="","",K242*IFERROR(VLOOKUP(C242,CodeTable,4,0),0))</f>
        <v/>
      </c>
    </row>
    <row r="243">
      <c r="A243" s="22" t="n"/>
      <c r="B243" s="23" t="n"/>
      <c r="C243" s="24" t="n"/>
      <c r="D243" s="25" t="n"/>
      <c r="E243" s="26" t="n"/>
      <c r="F243" s="26" t="n"/>
      <c r="G243" s="27">
        <f>IF(C243="","",IFERROR(VLOOKUP(C243,CodeTable,3,0),1))</f>
        <v/>
      </c>
      <c r="H243" s="27">
        <f>IF(C243="","",IF(E243&lt;&gt;"",E243,IF(IFERROR(VLOOKUP(C243,CodeTable,5,0)&amp;"","")="","All",VLOOKUP(C243,CodeTable,5,0)&amp;"")))</f>
        <v/>
      </c>
      <c r="I243" s="28">
        <f>IF(OR(A243="",C243=""),"",A243&amp;"|"&amp;B243&amp;"|"&amp;(COUNTIFS(FlDate,A243,FlShift,B243,FlCode,"&lt;&gt;",FlOrder,"&lt;"&amp;J243)+COUNTIFS(A$6:A243,A243,B$6:B243,B243,C$6:C243,"&lt;&gt;",J$6:J243,J243)))</f>
        <v/>
      </c>
      <c r="J243" s="28">
        <f>IF(C243="","",IF(D243="","zz","t"&amp;D243))</f>
        <v/>
      </c>
      <c r="K243" s="28">
        <f>IF(OR(A243="",C243=""),"",IF(IFERROR(INDEX(DayStat,A243-DATE(PlanYear,1,1)+1)&amp;"","")&lt;&gt;"",0,1))</f>
        <v/>
      </c>
      <c r="L243" s="28">
        <f>IF(K243="","",K243*IFERROR(VLOOKUP(C243,CodeTable,4,0),0))</f>
        <v/>
      </c>
    </row>
    <row r="244">
      <c r="A244" s="22" t="n"/>
      <c r="B244" s="23" t="n"/>
      <c r="C244" s="24" t="n"/>
      <c r="D244" s="25" t="n"/>
      <c r="E244" s="26" t="n"/>
      <c r="F244" s="26" t="n"/>
      <c r="G244" s="27">
        <f>IF(C244="","",IFERROR(VLOOKUP(C244,CodeTable,3,0),1))</f>
        <v/>
      </c>
      <c r="H244" s="27">
        <f>IF(C244="","",IF(E244&lt;&gt;"",E244,IF(IFERROR(VLOOKUP(C244,CodeTable,5,0)&amp;"","")="","All",VLOOKUP(C244,CodeTable,5,0)&amp;"")))</f>
        <v/>
      </c>
      <c r="I244" s="28">
        <f>IF(OR(A244="",C244=""),"",A244&amp;"|"&amp;B244&amp;"|"&amp;(COUNTIFS(FlDate,A244,FlShift,B244,FlCode,"&lt;&gt;",FlOrder,"&lt;"&amp;J244)+COUNTIFS(A$6:A244,A244,B$6:B244,B244,C$6:C244,"&lt;&gt;",J$6:J244,J244)))</f>
        <v/>
      </c>
      <c r="J244" s="28">
        <f>IF(C244="","",IF(D244="","zz","t"&amp;D244))</f>
        <v/>
      </c>
      <c r="K244" s="28">
        <f>IF(OR(A244="",C244=""),"",IF(IFERROR(INDEX(DayStat,A244-DATE(PlanYear,1,1)+1)&amp;"","")&lt;&gt;"",0,1))</f>
        <v/>
      </c>
      <c r="L244" s="28">
        <f>IF(K244="","",K244*IFERROR(VLOOKUP(C244,CodeTable,4,0),0))</f>
        <v/>
      </c>
    </row>
    <row r="245">
      <c r="A245" s="22" t="n"/>
      <c r="B245" s="23" t="n"/>
      <c r="C245" s="24" t="n"/>
      <c r="D245" s="25" t="n"/>
      <c r="E245" s="26" t="n"/>
      <c r="F245" s="26" t="n"/>
      <c r="G245" s="27">
        <f>IF(C245="","",IFERROR(VLOOKUP(C245,CodeTable,3,0),1))</f>
        <v/>
      </c>
      <c r="H245" s="27">
        <f>IF(C245="","",IF(E245&lt;&gt;"",E245,IF(IFERROR(VLOOKUP(C245,CodeTable,5,0)&amp;"","")="","All",VLOOKUP(C245,CodeTable,5,0)&amp;"")))</f>
        <v/>
      </c>
      <c r="I245" s="28">
        <f>IF(OR(A245="",C245=""),"",A245&amp;"|"&amp;B245&amp;"|"&amp;(COUNTIFS(FlDate,A245,FlShift,B245,FlCode,"&lt;&gt;",FlOrder,"&lt;"&amp;J245)+COUNTIFS(A$6:A245,A245,B$6:B245,B245,C$6:C245,"&lt;&gt;",J$6:J245,J245)))</f>
        <v/>
      </c>
      <c r="J245" s="28">
        <f>IF(C245="","",IF(D245="","zz","t"&amp;D245))</f>
        <v/>
      </c>
      <c r="K245" s="28">
        <f>IF(OR(A245="",C245=""),"",IF(IFERROR(INDEX(DayStat,A245-DATE(PlanYear,1,1)+1)&amp;"","")&lt;&gt;"",0,1))</f>
        <v/>
      </c>
      <c r="L245" s="28">
        <f>IF(K245="","",K245*IFERROR(VLOOKUP(C245,CodeTable,4,0),0))</f>
        <v/>
      </c>
    </row>
    <row r="246">
      <c r="A246" s="22" t="n"/>
      <c r="B246" s="23" t="n"/>
      <c r="C246" s="24" t="n"/>
      <c r="D246" s="25" t="n"/>
      <c r="E246" s="26" t="n"/>
      <c r="F246" s="26" t="n"/>
      <c r="G246" s="27">
        <f>IF(C246="","",IFERROR(VLOOKUP(C246,CodeTable,3,0),1))</f>
        <v/>
      </c>
      <c r="H246" s="27">
        <f>IF(C246="","",IF(E246&lt;&gt;"",E246,IF(IFERROR(VLOOKUP(C246,CodeTable,5,0)&amp;"","")="","All",VLOOKUP(C246,CodeTable,5,0)&amp;"")))</f>
        <v/>
      </c>
      <c r="I246" s="28">
        <f>IF(OR(A246="",C246=""),"",A246&amp;"|"&amp;B246&amp;"|"&amp;(COUNTIFS(FlDate,A246,FlShift,B246,FlCode,"&lt;&gt;",FlOrder,"&lt;"&amp;J246)+COUNTIFS(A$6:A246,A246,B$6:B246,B246,C$6:C246,"&lt;&gt;",J$6:J246,J246)))</f>
        <v/>
      </c>
      <c r="J246" s="28">
        <f>IF(C246="","",IF(D246="","zz","t"&amp;D246))</f>
        <v/>
      </c>
      <c r="K246" s="28">
        <f>IF(OR(A246="",C246=""),"",IF(IFERROR(INDEX(DayStat,A246-DATE(PlanYear,1,1)+1)&amp;"","")&lt;&gt;"",0,1))</f>
        <v/>
      </c>
      <c r="L246" s="28">
        <f>IF(K246="","",K246*IFERROR(VLOOKUP(C246,CodeTable,4,0),0))</f>
        <v/>
      </c>
    </row>
    <row r="247">
      <c r="A247" s="22" t="n"/>
      <c r="B247" s="23" t="n"/>
      <c r="C247" s="24" t="n"/>
      <c r="D247" s="25" t="n"/>
      <c r="E247" s="26" t="n"/>
      <c r="F247" s="26" t="n"/>
      <c r="G247" s="27">
        <f>IF(C247="","",IFERROR(VLOOKUP(C247,CodeTable,3,0),1))</f>
        <v/>
      </c>
      <c r="H247" s="27">
        <f>IF(C247="","",IF(E247&lt;&gt;"",E247,IF(IFERROR(VLOOKUP(C247,CodeTable,5,0)&amp;"","")="","All",VLOOKUP(C247,CodeTable,5,0)&amp;"")))</f>
        <v/>
      </c>
      <c r="I247" s="28">
        <f>IF(OR(A247="",C247=""),"",A247&amp;"|"&amp;B247&amp;"|"&amp;(COUNTIFS(FlDate,A247,FlShift,B247,FlCode,"&lt;&gt;",FlOrder,"&lt;"&amp;J247)+COUNTIFS(A$6:A247,A247,B$6:B247,B247,C$6:C247,"&lt;&gt;",J$6:J247,J247)))</f>
        <v/>
      </c>
      <c r="J247" s="28">
        <f>IF(C247="","",IF(D247="","zz","t"&amp;D247))</f>
        <v/>
      </c>
      <c r="K247" s="28">
        <f>IF(OR(A247="",C247=""),"",IF(IFERROR(INDEX(DayStat,A247-DATE(PlanYear,1,1)+1)&amp;"","")&lt;&gt;"",0,1))</f>
        <v/>
      </c>
      <c r="L247" s="28">
        <f>IF(K247="","",K247*IFERROR(VLOOKUP(C247,CodeTable,4,0),0))</f>
        <v/>
      </c>
    </row>
    <row r="248">
      <c r="A248" s="22" t="n"/>
      <c r="B248" s="23" t="n"/>
      <c r="C248" s="24" t="n"/>
      <c r="D248" s="25" t="n"/>
      <c r="E248" s="26" t="n"/>
      <c r="F248" s="26" t="n"/>
      <c r="G248" s="27">
        <f>IF(C248="","",IFERROR(VLOOKUP(C248,CodeTable,3,0),1))</f>
        <v/>
      </c>
      <c r="H248" s="27">
        <f>IF(C248="","",IF(E248&lt;&gt;"",E248,IF(IFERROR(VLOOKUP(C248,CodeTable,5,0)&amp;"","")="","All",VLOOKUP(C248,CodeTable,5,0)&amp;"")))</f>
        <v/>
      </c>
      <c r="I248" s="28">
        <f>IF(OR(A248="",C248=""),"",A248&amp;"|"&amp;B248&amp;"|"&amp;(COUNTIFS(FlDate,A248,FlShift,B248,FlCode,"&lt;&gt;",FlOrder,"&lt;"&amp;J248)+COUNTIFS(A$6:A248,A248,B$6:B248,B248,C$6:C248,"&lt;&gt;",J$6:J248,J248)))</f>
        <v/>
      </c>
      <c r="J248" s="28">
        <f>IF(C248="","",IF(D248="","zz","t"&amp;D248))</f>
        <v/>
      </c>
      <c r="K248" s="28">
        <f>IF(OR(A248="",C248=""),"",IF(IFERROR(INDEX(DayStat,A248-DATE(PlanYear,1,1)+1)&amp;"","")&lt;&gt;"",0,1))</f>
        <v/>
      </c>
      <c r="L248" s="28">
        <f>IF(K248="","",K248*IFERROR(VLOOKUP(C248,CodeTable,4,0),0))</f>
        <v/>
      </c>
    </row>
    <row r="249">
      <c r="A249" s="22" t="n"/>
      <c r="B249" s="23" t="n"/>
      <c r="C249" s="24" t="n"/>
      <c r="D249" s="25" t="n"/>
      <c r="E249" s="26" t="n"/>
      <c r="F249" s="26" t="n"/>
      <c r="G249" s="27">
        <f>IF(C249="","",IFERROR(VLOOKUP(C249,CodeTable,3,0),1))</f>
        <v/>
      </c>
      <c r="H249" s="27">
        <f>IF(C249="","",IF(E249&lt;&gt;"",E249,IF(IFERROR(VLOOKUP(C249,CodeTable,5,0)&amp;"","")="","All",VLOOKUP(C249,CodeTable,5,0)&amp;"")))</f>
        <v/>
      </c>
      <c r="I249" s="28">
        <f>IF(OR(A249="",C249=""),"",A249&amp;"|"&amp;B249&amp;"|"&amp;(COUNTIFS(FlDate,A249,FlShift,B249,FlCode,"&lt;&gt;",FlOrder,"&lt;"&amp;J249)+COUNTIFS(A$6:A249,A249,B$6:B249,B249,C$6:C249,"&lt;&gt;",J$6:J249,J249)))</f>
        <v/>
      </c>
      <c r="J249" s="28">
        <f>IF(C249="","",IF(D249="","zz","t"&amp;D249))</f>
        <v/>
      </c>
      <c r="K249" s="28">
        <f>IF(OR(A249="",C249=""),"",IF(IFERROR(INDEX(DayStat,A249-DATE(PlanYear,1,1)+1)&amp;"","")&lt;&gt;"",0,1))</f>
        <v/>
      </c>
      <c r="L249" s="28">
        <f>IF(K249="","",K249*IFERROR(VLOOKUP(C249,CodeTable,4,0),0))</f>
        <v/>
      </c>
    </row>
    <row r="250">
      <c r="A250" s="22" t="n"/>
      <c r="B250" s="23" t="n"/>
      <c r="C250" s="24" t="n"/>
      <c r="D250" s="25" t="n"/>
      <c r="E250" s="26" t="n"/>
      <c r="F250" s="26" t="n"/>
      <c r="G250" s="27">
        <f>IF(C250="","",IFERROR(VLOOKUP(C250,CodeTable,3,0),1))</f>
        <v/>
      </c>
      <c r="H250" s="27">
        <f>IF(C250="","",IF(E250&lt;&gt;"",E250,IF(IFERROR(VLOOKUP(C250,CodeTable,5,0)&amp;"","")="","All",VLOOKUP(C250,CodeTable,5,0)&amp;"")))</f>
        <v/>
      </c>
      <c r="I250" s="28">
        <f>IF(OR(A250="",C250=""),"",A250&amp;"|"&amp;B250&amp;"|"&amp;(COUNTIFS(FlDate,A250,FlShift,B250,FlCode,"&lt;&gt;",FlOrder,"&lt;"&amp;J250)+COUNTIFS(A$6:A250,A250,B$6:B250,B250,C$6:C250,"&lt;&gt;",J$6:J250,J250)))</f>
        <v/>
      </c>
      <c r="J250" s="28">
        <f>IF(C250="","",IF(D250="","zz","t"&amp;D250))</f>
        <v/>
      </c>
      <c r="K250" s="28">
        <f>IF(OR(A250="",C250=""),"",IF(IFERROR(INDEX(DayStat,A250-DATE(PlanYear,1,1)+1)&amp;"","")&lt;&gt;"",0,1))</f>
        <v/>
      </c>
      <c r="L250" s="28">
        <f>IF(K250="","",K250*IFERROR(VLOOKUP(C250,CodeTable,4,0),0))</f>
        <v/>
      </c>
    </row>
    <row r="251">
      <c r="A251" s="22" t="n"/>
      <c r="B251" s="23" t="n"/>
      <c r="C251" s="24" t="n"/>
      <c r="D251" s="25" t="n"/>
      <c r="E251" s="26" t="n"/>
      <c r="F251" s="26" t="n"/>
      <c r="G251" s="27">
        <f>IF(C251="","",IFERROR(VLOOKUP(C251,CodeTable,3,0),1))</f>
        <v/>
      </c>
      <c r="H251" s="27">
        <f>IF(C251="","",IF(E251&lt;&gt;"",E251,IF(IFERROR(VLOOKUP(C251,CodeTable,5,0)&amp;"","")="","All",VLOOKUP(C251,CodeTable,5,0)&amp;"")))</f>
        <v/>
      </c>
      <c r="I251" s="28">
        <f>IF(OR(A251="",C251=""),"",A251&amp;"|"&amp;B251&amp;"|"&amp;(COUNTIFS(FlDate,A251,FlShift,B251,FlCode,"&lt;&gt;",FlOrder,"&lt;"&amp;J251)+COUNTIFS(A$6:A251,A251,B$6:B251,B251,C$6:C251,"&lt;&gt;",J$6:J251,J251)))</f>
        <v/>
      </c>
      <c r="J251" s="28">
        <f>IF(C251="","",IF(D251="","zz","t"&amp;D251))</f>
        <v/>
      </c>
      <c r="K251" s="28">
        <f>IF(OR(A251="",C251=""),"",IF(IFERROR(INDEX(DayStat,A251-DATE(PlanYear,1,1)+1)&amp;"","")&lt;&gt;"",0,1))</f>
        <v/>
      </c>
      <c r="L251" s="28">
        <f>IF(K251="","",K251*IFERROR(VLOOKUP(C251,CodeTable,4,0),0))</f>
        <v/>
      </c>
    </row>
    <row r="252">
      <c r="A252" s="22" t="n"/>
      <c r="B252" s="23" t="n"/>
      <c r="C252" s="24" t="n"/>
      <c r="D252" s="25" t="n"/>
      <c r="E252" s="26" t="n"/>
      <c r="F252" s="26" t="n"/>
      <c r="G252" s="27">
        <f>IF(C252="","",IFERROR(VLOOKUP(C252,CodeTable,3,0),1))</f>
        <v/>
      </c>
      <c r="H252" s="27">
        <f>IF(C252="","",IF(E252&lt;&gt;"",E252,IF(IFERROR(VLOOKUP(C252,CodeTable,5,0)&amp;"","")="","All",VLOOKUP(C252,CodeTable,5,0)&amp;"")))</f>
        <v/>
      </c>
      <c r="I252" s="28">
        <f>IF(OR(A252="",C252=""),"",A252&amp;"|"&amp;B252&amp;"|"&amp;(COUNTIFS(FlDate,A252,FlShift,B252,FlCode,"&lt;&gt;",FlOrder,"&lt;"&amp;J252)+COUNTIFS(A$6:A252,A252,B$6:B252,B252,C$6:C252,"&lt;&gt;",J$6:J252,J252)))</f>
        <v/>
      </c>
      <c r="J252" s="28">
        <f>IF(C252="","",IF(D252="","zz","t"&amp;D252))</f>
        <v/>
      </c>
      <c r="K252" s="28">
        <f>IF(OR(A252="",C252=""),"",IF(IFERROR(INDEX(DayStat,A252-DATE(PlanYear,1,1)+1)&amp;"","")&lt;&gt;"",0,1))</f>
        <v/>
      </c>
      <c r="L252" s="28">
        <f>IF(K252="","",K252*IFERROR(VLOOKUP(C252,CodeTable,4,0),0))</f>
        <v/>
      </c>
    </row>
    <row r="253">
      <c r="A253" s="22" t="n"/>
      <c r="B253" s="23" t="n"/>
      <c r="C253" s="24" t="n"/>
      <c r="D253" s="25" t="n"/>
      <c r="E253" s="26" t="n"/>
      <c r="F253" s="26" t="n"/>
      <c r="G253" s="27">
        <f>IF(C253="","",IFERROR(VLOOKUP(C253,CodeTable,3,0),1))</f>
        <v/>
      </c>
      <c r="H253" s="27">
        <f>IF(C253="","",IF(E253&lt;&gt;"",E253,IF(IFERROR(VLOOKUP(C253,CodeTable,5,0)&amp;"","")="","All",VLOOKUP(C253,CodeTable,5,0)&amp;"")))</f>
        <v/>
      </c>
      <c r="I253" s="28">
        <f>IF(OR(A253="",C253=""),"",A253&amp;"|"&amp;B253&amp;"|"&amp;(COUNTIFS(FlDate,A253,FlShift,B253,FlCode,"&lt;&gt;",FlOrder,"&lt;"&amp;J253)+COUNTIFS(A$6:A253,A253,B$6:B253,B253,C$6:C253,"&lt;&gt;",J$6:J253,J253)))</f>
        <v/>
      </c>
      <c r="J253" s="28">
        <f>IF(C253="","",IF(D253="","zz","t"&amp;D253))</f>
        <v/>
      </c>
      <c r="K253" s="28">
        <f>IF(OR(A253="",C253=""),"",IF(IFERROR(INDEX(DayStat,A253-DATE(PlanYear,1,1)+1)&amp;"","")&lt;&gt;"",0,1))</f>
        <v/>
      </c>
      <c r="L253" s="28">
        <f>IF(K253="","",K253*IFERROR(VLOOKUP(C253,CodeTable,4,0),0))</f>
        <v/>
      </c>
    </row>
    <row r="254">
      <c r="A254" s="22" t="n"/>
      <c r="B254" s="23" t="n"/>
      <c r="C254" s="24" t="n"/>
      <c r="D254" s="25" t="n"/>
      <c r="E254" s="26" t="n"/>
      <c r="F254" s="26" t="n"/>
      <c r="G254" s="27">
        <f>IF(C254="","",IFERROR(VLOOKUP(C254,CodeTable,3,0),1))</f>
        <v/>
      </c>
      <c r="H254" s="27">
        <f>IF(C254="","",IF(E254&lt;&gt;"",E254,IF(IFERROR(VLOOKUP(C254,CodeTable,5,0)&amp;"","")="","All",VLOOKUP(C254,CodeTable,5,0)&amp;"")))</f>
        <v/>
      </c>
      <c r="I254" s="28">
        <f>IF(OR(A254="",C254=""),"",A254&amp;"|"&amp;B254&amp;"|"&amp;(COUNTIFS(FlDate,A254,FlShift,B254,FlCode,"&lt;&gt;",FlOrder,"&lt;"&amp;J254)+COUNTIFS(A$6:A254,A254,B$6:B254,B254,C$6:C254,"&lt;&gt;",J$6:J254,J254)))</f>
        <v/>
      </c>
      <c r="J254" s="28">
        <f>IF(C254="","",IF(D254="","zz","t"&amp;D254))</f>
        <v/>
      </c>
      <c r="K254" s="28">
        <f>IF(OR(A254="",C254=""),"",IF(IFERROR(INDEX(DayStat,A254-DATE(PlanYear,1,1)+1)&amp;"","")&lt;&gt;"",0,1))</f>
        <v/>
      </c>
      <c r="L254" s="28">
        <f>IF(K254="","",K254*IFERROR(VLOOKUP(C254,CodeTable,4,0),0))</f>
        <v/>
      </c>
    </row>
    <row r="255">
      <c r="A255" s="22" t="n"/>
      <c r="B255" s="23" t="n"/>
      <c r="C255" s="24" t="n"/>
      <c r="D255" s="25" t="n"/>
      <c r="E255" s="26" t="n"/>
      <c r="F255" s="26" t="n"/>
      <c r="G255" s="27">
        <f>IF(C255="","",IFERROR(VLOOKUP(C255,CodeTable,3,0),1))</f>
        <v/>
      </c>
      <c r="H255" s="27">
        <f>IF(C255="","",IF(E255&lt;&gt;"",E255,IF(IFERROR(VLOOKUP(C255,CodeTable,5,0)&amp;"","")="","All",VLOOKUP(C255,CodeTable,5,0)&amp;"")))</f>
        <v/>
      </c>
      <c r="I255" s="28">
        <f>IF(OR(A255="",C255=""),"",A255&amp;"|"&amp;B255&amp;"|"&amp;(COUNTIFS(FlDate,A255,FlShift,B255,FlCode,"&lt;&gt;",FlOrder,"&lt;"&amp;J255)+COUNTIFS(A$6:A255,A255,B$6:B255,B255,C$6:C255,"&lt;&gt;",J$6:J255,J255)))</f>
        <v/>
      </c>
      <c r="J255" s="28">
        <f>IF(C255="","",IF(D255="","zz","t"&amp;D255))</f>
        <v/>
      </c>
      <c r="K255" s="28">
        <f>IF(OR(A255="",C255=""),"",IF(IFERROR(INDEX(DayStat,A255-DATE(PlanYear,1,1)+1)&amp;"","")&lt;&gt;"",0,1))</f>
        <v/>
      </c>
      <c r="L255" s="28">
        <f>IF(K255="","",K255*IFERROR(VLOOKUP(C255,CodeTable,4,0),0))</f>
        <v/>
      </c>
    </row>
    <row r="256">
      <c r="A256" s="22" t="n"/>
      <c r="B256" s="23" t="n"/>
      <c r="C256" s="24" t="n"/>
      <c r="D256" s="25" t="n"/>
      <c r="E256" s="26" t="n"/>
      <c r="F256" s="26" t="n"/>
      <c r="G256" s="27">
        <f>IF(C256="","",IFERROR(VLOOKUP(C256,CodeTable,3,0),1))</f>
        <v/>
      </c>
      <c r="H256" s="27">
        <f>IF(C256="","",IF(E256&lt;&gt;"",E256,IF(IFERROR(VLOOKUP(C256,CodeTable,5,0)&amp;"","")="","All",VLOOKUP(C256,CodeTable,5,0)&amp;"")))</f>
        <v/>
      </c>
      <c r="I256" s="28">
        <f>IF(OR(A256="",C256=""),"",A256&amp;"|"&amp;B256&amp;"|"&amp;(COUNTIFS(FlDate,A256,FlShift,B256,FlCode,"&lt;&gt;",FlOrder,"&lt;"&amp;J256)+COUNTIFS(A$6:A256,A256,B$6:B256,B256,C$6:C256,"&lt;&gt;",J$6:J256,J256)))</f>
        <v/>
      </c>
      <c r="J256" s="28">
        <f>IF(C256="","",IF(D256="","zz","t"&amp;D256))</f>
        <v/>
      </c>
      <c r="K256" s="28">
        <f>IF(OR(A256="",C256=""),"",IF(IFERROR(INDEX(DayStat,A256-DATE(PlanYear,1,1)+1)&amp;"","")&lt;&gt;"",0,1))</f>
        <v/>
      </c>
      <c r="L256" s="28">
        <f>IF(K256="","",K256*IFERROR(VLOOKUP(C256,CodeTable,4,0),0))</f>
        <v/>
      </c>
    </row>
    <row r="257">
      <c r="A257" s="22" t="n"/>
      <c r="B257" s="23" t="n"/>
      <c r="C257" s="24" t="n"/>
      <c r="D257" s="25" t="n"/>
      <c r="E257" s="26" t="n"/>
      <c r="F257" s="26" t="n"/>
      <c r="G257" s="27">
        <f>IF(C257="","",IFERROR(VLOOKUP(C257,CodeTable,3,0),1))</f>
        <v/>
      </c>
      <c r="H257" s="27">
        <f>IF(C257="","",IF(E257&lt;&gt;"",E257,IF(IFERROR(VLOOKUP(C257,CodeTable,5,0)&amp;"","")="","All",VLOOKUP(C257,CodeTable,5,0)&amp;"")))</f>
        <v/>
      </c>
      <c r="I257" s="28">
        <f>IF(OR(A257="",C257=""),"",A257&amp;"|"&amp;B257&amp;"|"&amp;(COUNTIFS(FlDate,A257,FlShift,B257,FlCode,"&lt;&gt;",FlOrder,"&lt;"&amp;J257)+COUNTIFS(A$6:A257,A257,B$6:B257,B257,C$6:C257,"&lt;&gt;",J$6:J257,J257)))</f>
        <v/>
      </c>
      <c r="J257" s="28">
        <f>IF(C257="","",IF(D257="","zz","t"&amp;D257))</f>
        <v/>
      </c>
      <c r="K257" s="28">
        <f>IF(OR(A257="",C257=""),"",IF(IFERROR(INDEX(DayStat,A257-DATE(PlanYear,1,1)+1)&amp;"","")&lt;&gt;"",0,1))</f>
        <v/>
      </c>
      <c r="L257" s="28">
        <f>IF(K257="","",K257*IFERROR(VLOOKUP(C257,CodeTable,4,0),0))</f>
        <v/>
      </c>
    </row>
    <row r="258">
      <c r="A258" s="22" t="n"/>
      <c r="B258" s="23" t="n"/>
      <c r="C258" s="24" t="n"/>
      <c r="D258" s="25" t="n"/>
      <c r="E258" s="26" t="n"/>
      <c r="F258" s="26" t="n"/>
      <c r="G258" s="27">
        <f>IF(C258="","",IFERROR(VLOOKUP(C258,CodeTable,3,0),1))</f>
        <v/>
      </c>
      <c r="H258" s="27">
        <f>IF(C258="","",IF(E258&lt;&gt;"",E258,IF(IFERROR(VLOOKUP(C258,CodeTable,5,0)&amp;"","")="","All",VLOOKUP(C258,CodeTable,5,0)&amp;"")))</f>
        <v/>
      </c>
      <c r="I258" s="28">
        <f>IF(OR(A258="",C258=""),"",A258&amp;"|"&amp;B258&amp;"|"&amp;(COUNTIFS(FlDate,A258,FlShift,B258,FlCode,"&lt;&gt;",FlOrder,"&lt;"&amp;J258)+COUNTIFS(A$6:A258,A258,B$6:B258,B258,C$6:C258,"&lt;&gt;",J$6:J258,J258)))</f>
        <v/>
      </c>
      <c r="J258" s="28">
        <f>IF(C258="","",IF(D258="","zz","t"&amp;D258))</f>
        <v/>
      </c>
      <c r="K258" s="28">
        <f>IF(OR(A258="",C258=""),"",IF(IFERROR(INDEX(DayStat,A258-DATE(PlanYear,1,1)+1)&amp;"","")&lt;&gt;"",0,1))</f>
        <v/>
      </c>
      <c r="L258" s="28">
        <f>IF(K258="","",K258*IFERROR(VLOOKUP(C258,CodeTable,4,0),0))</f>
        <v/>
      </c>
    </row>
    <row r="259">
      <c r="A259" s="22" t="n"/>
      <c r="B259" s="23" t="n"/>
      <c r="C259" s="24" t="n"/>
      <c r="D259" s="25" t="n"/>
      <c r="E259" s="26" t="n"/>
      <c r="F259" s="26" t="n"/>
      <c r="G259" s="27">
        <f>IF(C259="","",IFERROR(VLOOKUP(C259,CodeTable,3,0),1))</f>
        <v/>
      </c>
      <c r="H259" s="27">
        <f>IF(C259="","",IF(E259&lt;&gt;"",E259,IF(IFERROR(VLOOKUP(C259,CodeTable,5,0)&amp;"","")="","All",VLOOKUP(C259,CodeTable,5,0)&amp;"")))</f>
        <v/>
      </c>
      <c r="I259" s="28">
        <f>IF(OR(A259="",C259=""),"",A259&amp;"|"&amp;B259&amp;"|"&amp;(COUNTIFS(FlDate,A259,FlShift,B259,FlCode,"&lt;&gt;",FlOrder,"&lt;"&amp;J259)+COUNTIFS(A$6:A259,A259,B$6:B259,B259,C$6:C259,"&lt;&gt;",J$6:J259,J259)))</f>
        <v/>
      </c>
      <c r="J259" s="28">
        <f>IF(C259="","",IF(D259="","zz","t"&amp;D259))</f>
        <v/>
      </c>
      <c r="K259" s="28">
        <f>IF(OR(A259="",C259=""),"",IF(IFERROR(INDEX(DayStat,A259-DATE(PlanYear,1,1)+1)&amp;"","")&lt;&gt;"",0,1))</f>
        <v/>
      </c>
      <c r="L259" s="28">
        <f>IF(K259="","",K259*IFERROR(VLOOKUP(C259,CodeTable,4,0),0))</f>
        <v/>
      </c>
    </row>
    <row r="260">
      <c r="A260" s="22" t="n"/>
      <c r="B260" s="23" t="n"/>
      <c r="C260" s="24" t="n"/>
      <c r="D260" s="25" t="n"/>
      <c r="E260" s="26" t="n"/>
      <c r="F260" s="26" t="n"/>
      <c r="G260" s="27">
        <f>IF(C260="","",IFERROR(VLOOKUP(C260,CodeTable,3,0),1))</f>
        <v/>
      </c>
      <c r="H260" s="27">
        <f>IF(C260="","",IF(E260&lt;&gt;"",E260,IF(IFERROR(VLOOKUP(C260,CodeTable,5,0)&amp;"","")="","All",VLOOKUP(C260,CodeTable,5,0)&amp;"")))</f>
        <v/>
      </c>
      <c r="I260" s="28">
        <f>IF(OR(A260="",C260=""),"",A260&amp;"|"&amp;B260&amp;"|"&amp;(COUNTIFS(FlDate,A260,FlShift,B260,FlCode,"&lt;&gt;",FlOrder,"&lt;"&amp;J260)+COUNTIFS(A$6:A260,A260,B$6:B260,B260,C$6:C260,"&lt;&gt;",J$6:J260,J260)))</f>
        <v/>
      </c>
      <c r="J260" s="28">
        <f>IF(C260="","",IF(D260="","zz","t"&amp;D260))</f>
        <v/>
      </c>
      <c r="K260" s="28">
        <f>IF(OR(A260="",C260=""),"",IF(IFERROR(INDEX(DayStat,A260-DATE(PlanYear,1,1)+1)&amp;"","")&lt;&gt;"",0,1))</f>
        <v/>
      </c>
      <c r="L260" s="28">
        <f>IF(K260="","",K260*IFERROR(VLOOKUP(C260,CodeTable,4,0),0))</f>
        <v/>
      </c>
    </row>
    <row r="261">
      <c r="A261" s="22" t="n"/>
      <c r="B261" s="23" t="n"/>
      <c r="C261" s="24" t="n"/>
      <c r="D261" s="25" t="n"/>
      <c r="E261" s="26" t="n"/>
      <c r="F261" s="26" t="n"/>
      <c r="G261" s="27">
        <f>IF(C261="","",IFERROR(VLOOKUP(C261,CodeTable,3,0),1))</f>
        <v/>
      </c>
      <c r="H261" s="27">
        <f>IF(C261="","",IF(E261&lt;&gt;"",E261,IF(IFERROR(VLOOKUP(C261,CodeTable,5,0)&amp;"","")="","All",VLOOKUP(C261,CodeTable,5,0)&amp;"")))</f>
        <v/>
      </c>
      <c r="I261" s="28">
        <f>IF(OR(A261="",C261=""),"",A261&amp;"|"&amp;B261&amp;"|"&amp;(COUNTIFS(FlDate,A261,FlShift,B261,FlCode,"&lt;&gt;",FlOrder,"&lt;"&amp;J261)+COUNTIFS(A$6:A261,A261,B$6:B261,B261,C$6:C261,"&lt;&gt;",J$6:J261,J261)))</f>
        <v/>
      </c>
      <c r="J261" s="28">
        <f>IF(C261="","",IF(D261="","zz","t"&amp;D261))</f>
        <v/>
      </c>
      <c r="K261" s="28">
        <f>IF(OR(A261="",C261=""),"",IF(IFERROR(INDEX(DayStat,A261-DATE(PlanYear,1,1)+1)&amp;"","")&lt;&gt;"",0,1))</f>
        <v/>
      </c>
      <c r="L261" s="28">
        <f>IF(K261="","",K261*IFERROR(VLOOKUP(C261,CodeTable,4,0),0))</f>
        <v/>
      </c>
    </row>
    <row r="262">
      <c r="A262" s="22" t="n"/>
      <c r="B262" s="23" t="n"/>
      <c r="C262" s="24" t="n"/>
      <c r="D262" s="25" t="n"/>
      <c r="E262" s="26" t="n"/>
      <c r="F262" s="26" t="n"/>
      <c r="G262" s="27">
        <f>IF(C262="","",IFERROR(VLOOKUP(C262,CodeTable,3,0),1))</f>
        <v/>
      </c>
      <c r="H262" s="27">
        <f>IF(C262="","",IF(E262&lt;&gt;"",E262,IF(IFERROR(VLOOKUP(C262,CodeTable,5,0)&amp;"","")="","All",VLOOKUP(C262,CodeTable,5,0)&amp;"")))</f>
        <v/>
      </c>
      <c r="I262" s="28">
        <f>IF(OR(A262="",C262=""),"",A262&amp;"|"&amp;B262&amp;"|"&amp;(COUNTIFS(FlDate,A262,FlShift,B262,FlCode,"&lt;&gt;",FlOrder,"&lt;"&amp;J262)+COUNTIFS(A$6:A262,A262,B$6:B262,B262,C$6:C262,"&lt;&gt;",J$6:J262,J262)))</f>
        <v/>
      </c>
      <c r="J262" s="28">
        <f>IF(C262="","",IF(D262="","zz","t"&amp;D262))</f>
        <v/>
      </c>
      <c r="K262" s="28">
        <f>IF(OR(A262="",C262=""),"",IF(IFERROR(INDEX(DayStat,A262-DATE(PlanYear,1,1)+1)&amp;"","")&lt;&gt;"",0,1))</f>
        <v/>
      </c>
      <c r="L262" s="28">
        <f>IF(K262="","",K262*IFERROR(VLOOKUP(C262,CodeTable,4,0),0))</f>
        <v/>
      </c>
    </row>
    <row r="263">
      <c r="A263" s="22" t="n"/>
      <c r="B263" s="23" t="n"/>
      <c r="C263" s="24" t="n"/>
      <c r="D263" s="25" t="n"/>
      <c r="E263" s="26" t="n"/>
      <c r="F263" s="26" t="n"/>
      <c r="G263" s="27">
        <f>IF(C263="","",IFERROR(VLOOKUP(C263,CodeTable,3,0),1))</f>
        <v/>
      </c>
      <c r="H263" s="27">
        <f>IF(C263="","",IF(E263&lt;&gt;"",E263,IF(IFERROR(VLOOKUP(C263,CodeTable,5,0)&amp;"","")="","All",VLOOKUP(C263,CodeTable,5,0)&amp;"")))</f>
        <v/>
      </c>
      <c r="I263" s="28">
        <f>IF(OR(A263="",C263=""),"",A263&amp;"|"&amp;B263&amp;"|"&amp;(COUNTIFS(FlDate,A263,FlShift,B263,FlCode,"&lt;&gt;",FlOrder,"&lt;"&amp;J263)+COUNTIFS(A$6:A263,A263,B$6:B263,B263,C$6:C263,"&lt;&gt;",J$6:J263,J263)))</f>
        <v/>
      </c>
      <c r="J263" s="28">
        <f>IF(C263="","",IF(D263="","zz","t"&amp;D263))</f>
        <v/>
      </c>
      <c r="K263" s="28">
        <f>IF(OR(A263="",C263=""),"",IF(IFERROR(INDEX(DayStat,A263-DATE(PlanYear,1,1)+1)&amp;"","")&lt;&gt;"",0,1))</f>
        <v/>
      </c>
      <c r="L263" s="28">
        <f>IF(K263="","",K263*IFERROR(VLOOKUP(C263,CodeTable,4,0),0))</f>
        <v/>
      </c>
    </row>
    <row r="264">
      <c r="A264" s="22" t="n"/>
      <c r="B264" s="23" t="n"/>
      <c r="C264" s="24" t="n"/>
      <c r="D264" s="25" t="n"/>
      <c r="E264" s="26" t="n"/>
      <c r="F264" s="26" t="n"/>
      <c r="G264" s="27">
        <f>IF(C264="","",IFERROR(VLOOKUP(C264,CodeTable,3,0),1))</f>
        <v/>
      </c>
      <c r="H264" s="27">
        <f>IF(C264="","",IF(E264&lt;&gt;"",E264,IF(IFERROR(VLOOKUP(C264,CodeTable,5,0)&amp;"","")="","All",VLOOKUP(C264,CodeTable,5,0)&amp;"")))</f>
        <v/>
      </c>
      <c r="I264" s="28">
        <f>IF(OR(A264="",C264=""),"",A264&amp;"|"&amp;B264&amp;"|"&amp;(COUNTIFS(FlDate,A264,FlShift,B264,FlCode,"&lt;&gt;",FlOrder,"&lt;"&amp;J264)+COUNTIFS(A$6:A264,A264,B$6:B264,B264,C$6:C264,"&lt;&gt;",J$6:J264,J264)))</f>
        <v/>
      </c>
      <c r="J264" s="28">
        <f>IF(C264="","",IF(D264="","zz","t"&amp;D264))</f>
        <v/>
      </c>
      <c r="K264" s="28">
        <f>IF(OR(A264="",C264=""),"",IF(IFERROR(INDEX(DayStat,A264-DATE(PlanYear,1,1)+1)&amp;"","")&lt;&gt;"",0,1))</f>
        <v/>
      </c>
      <c r="L264" s="28">
        <f>IF(K264="","",K264*IFERROR(VLOOKUP(C264,CodeTable,4,0),0))</f>
        <v/>
      </c>
    </row>
    <row r="265">
      <c r="A265" s="22" t="n"/>
      <c r="B265" s="23" t="n"/>
      <c r="C265" s="24" t="n"/>
      <c r="D265" s="25" t="n"/>
      <c r="E265" s="26" t="n"/>
      <c r="F265" s="26" t="n"/>
      <c r="G265" s="27">
        <f>IF(C265="","",IFERROR(VLOOKUP(C265,CodeTable,3,0),1))</f>
        <v/>
      </c>
      <c r="H265" s="27">
        <f>IF(C265="","",IF(E265&lt;&gt;"",E265,IF(IFERROR(VLOOKUP(C265,CodeTable,5,0)&amp;"","")="","All",VLOOKUP(C265,CodeTable,5,0)&amp;"")))</f>
        <v/>
      </c>
      <c r="I265" s="28">
        <f>IF(OR(A265="",C265=""),"",A265&amp;"|"&amp;B265&amp;"|"&amp;(COUNTIFS(FlDate,A265,FlShift,B265,FlCode,"&lt;&gt;",FlOrder,"&lt;"&amp;J265)+COUNTIFS(A$6:A265,A265,B$6:B265,B265,C$6:C265,"&lt;&gt;",J$6:J265,J265)))</f>
        <v/>
      </c>
      <c r="J265" s="28">
        <f>IF(C265="","",IF(D265="","zz","t"&amp;D265))</f>
        <v/>
      </c>
      <c r="K265" s="28">
        <f>IF(OR(A265="",C265=""),"",IF(IFERROR(INDEX(DayStat,A265-DATE(PlanYear,1,1)+1)&amp;"","")&lt;&gt;"",0,1))</f>
        <v/>
      </c>
      <c r="L265" s="28">
        <f>IF(K265="","",K265*IFERROR(VLOOKUP(C265,CodeTable,4,0),0))</f>
        <v/>
      </c>
    </row>
    <row r="266">
      <c r="A266" s="22" t="n"/>
      <c r="B266" s="23" t="n"/>
      <c r="C266" s="24" t="n"/>
      <c r="D266" s="25" t="n"/>
      <c r="E266" s="26" t="n"/>
      <c r="F266" s="26" t="n"/>
      <c r="G266" s="27">
        <f>IF(C266="","",IFERROR(VLOOKUP(C266,CodeTable,3,0),1))</f>
        <v/>
      </c>
      <c r="H266" s="27">
        <f>IF(C266="","",IF(E266&lt;&gt;"",E266,IF(IFERROR(VLOOKUP(C266,CodeTable,5,0)&amp;"","")="","All",VLOOKUP(C266,CodeTable,5,0)&amp;"")))</f>
        <v/>
      </c>
      <c r="I266" s="28">
        <f>IF(OR(A266="",C266=""),"",A266&amp;"|"&amp;B266&amp;"|"&amp;(COUNTIFS(FlDate,A266,FlShift,B266,FlCode,"&lt;&gt;",FlOrder,"&lt;"&amp;J266)+COUNTIFS(A$6:A266,A266,B$6:B266,B266,C$6:C266,"&lt;&gt;",J$6:J266,J266)))</f>
        <v/>
      </c>
      <c r="J266" s="28">
        <f>IF(C266="","",IF(D266="","zz","t"&amp;D266))</f>
        <v/>
      </c>
      <c r="K266" s="28">
        <f>IF(OR(A266="",C266=""),"",IF(IFERROR(INDEX(DayStat,A266-DATE(PlanYear,1,1)+1)&amp;"","")&lt;&gt;"",0,1))</f>
        <v/>
      </c>
      <c r="L266" s="28">
        <f>IF(K266="","",K266*IFERROR(VLOOKUP(C266,CodeTable,4,0),0))</f>
        <v/>
      </c>
    </row>
    <row r="267">
      <c r="A267" s="22" t="n"/>
      <c r="B267" s="23" t="n"/>
      <c r="C267" s="24" t="n"/>
      <c r="D267" s="25" t="n"/>
      <c r="E267" s="26" t="n"/>
      <c r="F267" s="26" t="n"/>
      <c r="G267" s="27">
        <f>IF(C267="","",IFERROR(VLOOKUP(C267,CodeTable,3,0),1))</f>
        <v/>
      </c>
      <c r="H267" s="27">
        <f>IF(C267="","",IF(E267&lt;&gt;"",E267,IF(IFERROR(VLOOKUP(C267,CodeTable,5,0)&amp;"","")="","All",VLOOKUP(C267,CodeTable,5,0)&amp;"")))</f>
        <v/>
      </c>
      <c r="I267" s="28">
        <f>IF(OR(A267="",C267=""),"",A267&amp;"|"&amp;B267&amp;"|"&amp;(COUNTIFS(FlDate,A267,FlShift,B267,FlCode,"&lt;&gt;",FlOrder,"&lt;"&amp;J267)+COUNTIFS(A$6:A267,A267,B$6:B267,B267,C$6:C267,"&lt;&gt;",J$6:J267,J267)))</f>
        <v/>
      </c>
      <c r="J267" s="28">
        <f>IF(C267="","",IF(D267="","zz","t"&amp;D267))</f>
        <v/>
      </c>
      <c r="K267" s="28">
        <f>IF(OR(A267="",C267=""),"",IF(IFERROR(INDEX(DayStat,A267-DATE(PlanYear,1,1)+1)&amp;"","")&lt;&gt;"",0,1))</f>
        <v/>
      </c>
      <c r="L267" s="28">
        <f>IF(K267="","",K267*IFERROR(VLOOKUP(C267,CodeTable,4,0),0))</f>
        <v/>
      </c>
    </row>
    <row r="268">
      <c r="A268" s="22" t="n"/>
      <c r="B268" s="23" t="n"/>
      <c r="C268" s="24" t="n"/>
      <c r="D268" s="25" t="n"/>
      <c r="E268" s="26" t="n"/>
      <c r="F268" s="26" t="n"/>
      <c r="G268" s="27">
        <f>IF(C268="","",IFERROR(VLOOKUP(C268,CodeTable,3,0),1))</f>
        <v/>
      </c>
      <c r="H268" s="27">
        <f>IF(C268="","",IF(E268&lt;&gt;"",E268,IF(IFERROR(VLOOKUP(C268,CodeTable,5,0)&amp;"","")="","All",VLOOKUP(C268,CodeTable,5,0)&amp;"")))</f>
        <v/>
      </c>
      <c r="I268" s="28">
        <f>IF(OR(A268="",C268=""),"",A268&amp;"|"&amp;B268&amp;"|"&amp;(COUNTIFS(FlDate,A268,FlShift,B268,FlCode,"&lt;&gt;",FlOrder,"&lt;"&amp;J268)+COUNTIFS(A$6:A268,A268,B$6:B268,B268,C$6:C268,"&lt;&gt;",J$6:J268,J268)))</f>
        <v/>
      </c>
      <c r="J268" s="28">
        <f>IF(C268="","",IF(D268="","zz","t"&amp;D268))</f>
        <v/>
      </c>
      <c r="K268" s="28">
        <f>IF(OR(A268="",C268=""),"",IF(IFERROR(INDEX(DayStat,A268-DATE(PlanYear,1,1)+1)&amp;"","")&lt;&gt;"",0,1))</f>
        <v/>
      </c>
      <c r="L268" s="28">
        <f>IF(K268="","",K268*IFERROR(VLOOKUP(C268,CodeTable,4,0),0))</f>
        <v/>
      </c>
    </row>
    <row r="269">
      <c r="A269" s="22" t="n"/>
      <c r="B269" s="23" t="n"/>
      <c r="C269" s="24" t="n"/>
      <c r="D269" s="25" t="n"/>
      <c r="E269" s="26" t="n"/>
      <c r="F269" s="26" t="n"/>
      <c r="G269" s="27">
        <f>IF(C269="","",IFERROR(VLOOKUP(C269,CodeTable,3,0),1))</f>
        <v/>
      </c>
      <c r="H269" s="27">
        <f>IF(C269="","",IF(E269&lt;&gt;"",E269,IF(IFERROR(VLOOKUP(C269,CodeTable,5,0)&amp;"","")="","All",VLOOKUP(C269,CodeTable,5,0)&amp;"")))</f>
        <v/>
      </c>
      <c r="I269" s="28">
        <f>IF(OR(A269="",C269=""),"",A269&amp;"|"&amp;B269&amp;"|"&amp;(COUNTIFS(FlDate,A269,FlShift,B269,FlCode,"&lt;&gt;",FlOrder,"&lt;"&amp;J269)+COUNTIFS(A$6:A269,A269,B$6:B269,B269,C$6:C269,"&lt;&gt;",J$6:J269,J269)))</f>
        <v/>
      </c>
      <c r="J269" s="28">
        <f>IF(C269="","",IF(D269="","zz","t"&amp;D269))</f>
        <v/>
      </c>
      <c r="K269" s="28">
        <f>IF(OR(A269="",C269=""),"",IF(IFERROR(INDEX(DayStat,A269-DATE(PlanYear,1,1)+1)&amp;"","")&lt;&gt;"",0,1))</f>
        <v/>
      </c>
      <c r="L269" s="28">
        <f>IF(K269="","",K269*IFERROR(VLOOKUP(C269,CodeTable,4,0),0))</f>
        <v/>
      </c>
    </row>
    <row r="270">
      <c r="A270" s="22" t="n"/>
      <c r="B270" s="23" t="n"/>
      <c r="C270" s="24" t="n"/>
      <c r="D270" s="25" t="n"/>
      <c r="E270" s="26" t="n"/>
      <c r="F270" s="26" t="n"/>
      <c r="G270" s="27">
        <f>IF(C270="","",IFERROR(VLOOKUP(C270,CodeTable,3,0),1))</f>
        <v/>
      </c>
      <c r="H270" s="27">
        <f>IF(C270="","",IF(E270&lt;&gt;"",E270,IF(IFERROR(VLOOKUP(C270,CodeTable,5,0)&amp;"","")="","All",VLOOKUP(C270,CodeTable,5,0)&amp;"")))</f>
        <v/>
      </c>
      <c r="I270" s="28">
        <f>IF(OR(A270="",C270=""),"",A270&amp;"|"&amp;B270&amp;"|"&amp;(COUNTIFS(FlDate,A270,FlShift,B270,FlCode,"&lt;&gt;",FlOrder,"&lt;"&amp;J270)+COUNTIFS(A$6:A270,A270,B$6:B270,B270,C$6:C270,"&lt;&gt;",J$6:J270,J270)))</f>
        <v/>
      </c>
      <c r="J270" s="28">
        <f>IF(C270="","",IF(D270="","zz","t"&amp;D270))</f>
        <v/>
      </c>
      <c r="K270" s="28">
        <f>IF(OR(A270="",C270=""),"",IF(IFERROR(INDEX(DayStat,A270-DATE(PlanYear,1,1)+1)&amp;"","")&lt;&gt;"",0,1))</f>
        <v/>
      </c>
      <c r="L270" s="28">
        <f>IF(K270="","",K270*IFERROR(VLOOKUP(C270,CodeTable,4,0),0))</f>
        <v/>
      </c>
    </row>
    <row r="271">
      <c r="A271" s="22" t="n"/>
      <c r="B271" s="23" t="n"/>
      <c r="C271" s="24" t="n"/>
      <c r="D271" s="25" t="n"/>
      <c r="E271" s="26" t="n"/>
      <c r="F271" s="26" t="n"/>
      <c r="G271" s="27">
        <f>IF(C271="","",IFERROR(VLOOKUP(C271,CodeTable,3,0),1))</f>
        <v/>
      </c>
      <c r="H271" s="27">
        <f>IF(C271="","",IF(E271&lt;&gt;"",E271,IF(IFERROR(VLOOKUP(C271,CodeTable,5,0)&amp;"","")="","All",VLOOKUP(C271,CodeTable,5,0)&amp;"")))</f>
        <v/>
      </c>
      <c r="I271" s="28">
        <f>IF(OR(A271="",C271=""),"",A271&amp;"|"&amp;B271&amp;"|"&amp;(COUNTIFS(FlDate,A271,FlShift,B271,FlCode,"&lt;&gt;",FlOrder,"&lt;"&amp;J271)+COUNTIFS(A$6:A271,A271,B$6:B271,B271,C$6:C271,"&lt;&gt;",J$6:J271,J271)))</f>
        <v/>
      </c>
      <c r="J271" s="28">
        <f>IF(C271="","",IF(D271="","zz","t"&amp;D271))</f>
        <v/>
      </c>
      <c r="K271" s="28">
        <f>IF(OR(A271="",C271=""),"",IF(IFERROR(INDEX(DayStat,A271-DATE(PlanYear,1,1)+1)&amp;"","")&lt;&gt;"",0,1))</f>
        <v/>
      </c>
      <c r="L271" s="28">
        <f>IF(K271="","",K271*IFERROR(VLOOKUP(C271,CodeTable,4,0),0))</f>
        <v/>
      </c>
    </row>
    <row r="272">
      <c r="A272" s="22" t="n"/>
      <c r="B272" s="23" t="n"/>
      <c r="C272" s="24" t="n"/>
      <c r="D272" s="25" t="n"/>
      <c r="E272" s="26" t="n"/>
      <c r="F272" s="26" t="n"/>
      <c r="G272" s="27">
        <f>IF(C272="","",IFERROR(VLOOKUP(C272,CodeTable,3,0),1))</f>
        <v/>
      </c>
      <c r="H272" s="27">
        <f>IF(C272="","",IF(E272&lt;&gt;"",E272,IF(IFERROR(VLOOKUP(C272,CodeTable,5,0)&amp;"","")="","All",VLOOKUP(C272,CodeTable,5,0)&amp;"")))</f>
        <v/>
      </c>
      <c r="I272" s="28">
        <f>IF(OR(A272="",C272=""),"",A272&amp;"|"&amp;B272&amp;"|"&amp;(COUNTIFS(FlDate,A272,FlShift,B272,FlCode,"&lt;&gt;",FlOrder,"&lt;"&amp;J272)+COUNTIFS(A$6:A272,A272,B$6:B272,B272,C$6:C272,"&lt;&gt;",J$6:J272,J272)))</f>
        <v/>
      </c>
      <c r="J272" s="28">
        <f>IF(C272="","",IF(D272="","zz","t"&amp;D272))</f>
        <v/>
      </c>
      <c r="K272" s="28">
        <f>IF(OR(A272="",C272=""),"",IF(IFERROR(INDEX(DayStat,A272-DATE(PlanYear,1,1)+1)&amp;"","")&lt;&gt;"",0,1))</f>
        <v/>
      </c>
      <c r="L272" s="28">
        <f>IF(K272="","",K272*IFERROR(VLOOKUP(C272,CodeTable,4,0),0))</f>
        <v/>
      </c>
    </row>
    <row r="273">
      <c r="A273" s="22" t="n"/>
      <c r="B273" s="23" t="n"/>
      <c r="C273" s="24" t="n"/>
      <c r="D273" s="25" t="n"/>
      <c r="E273" s="26" t="n"/>
      <c r="F273" s="26" t="n"/>
      <c r="G273" s="27">
        <f>IF(C273="","",IFERROR(VLOOKUP(C273,CodeTable,3,0),1))</f>
        <v/>
      </c>
      <c r="H273" s="27">
        <f>IF(C273="","",IF(E273&lt;&gt;"",E273,IF(IFERROR(VLOOKUP(C273,CodeTable,5,0)&amp;"","")="","All",VLOOKUP(C273,CodeTable,5,0)&amp;"")))</f>
        <v/>
      </c>
      <c r="I273" s="28">
        <f>IF(OR(A273="",C273=""),"",A273&amp;"|"&amp;B273&amp;"|"&amp;(COUNTIFS(FlDate,A273,FlShift,B273,FlCode,"&lt;&gt;",FlOrder,"&lt;"&amp;J273)+COUNTIFS(A$6:A273,A273,B$6:B273,B273,C$6:C273,"&lt;&gt;",J$6:J273,J273)))</f>
        <v/>
      </c>
      <c r="J273" s="28">
        <f>IF(C273="","",IF(D273="","zz","t"&amp;D273))</f>
        <v/>
      </c>
      <c r="K273" s="28">
        <f>IF(OR(A273="",C273=""),"",IF(IFERROR(INDEX(DayStat,A273-DATE(PlanYear,1,1)+1)&amp;"","")&lt;&gt;"",0,1))</f>
        <v/>
      </c>
      <c r="L273" s="28">
        <f>IF(K273="","",K273*IFERROR(VLOOKUP(C273,CodeTable,4,0),0))</f>
        <v/>
      </c>
    </row>
    <row r="274">
      <c r="A274" s="22" t="n"/>
      <c r="B274" s="23" t="n"/>
      <c r="C274" s="24" t="n"/>
      <c r="D274" s="25" t="n"/>
      <c r="E274" s="26" t="n"/>
      <c r="F274" s="26" t="n"/>
      <c r="G274" s="27">
        <f>IF(C274="","",IFERROR(VLOOKUP(C274,CodeTable,3,0),1))</f>
        <v/>
      </c>
      <c r="H274" s="27">
        <f>IF(C274="","",IF(E274&lt;&gt;"",E274,IF(IFERROR(VLOOKUP(C274,CodeTable,5,0)&amp;"","")="","All",VLOOKUP(C274,CodeTable,5,0)&amp;"")))</f>
        <v/>
      </c>
      <c r="I274" s="28">
        <f>IF(OR(A274="",C274=""),"",A274&amp;"|"&amp;B274&amp;"|"&amp;(COUNTIFS(FlDate,A274,FlShift,B274,FlCode,"&lt;&gt;",FlOrder,"&lt;"&amp;J274)+COUNTIFS(A$6:A274,A274,B$6:B274,B274,C$6:C274,"&lt;&gt;",J$6:J274,J274)))</f>
        <v/>
      </c>
      <c r="J274" s="28">
        <f>IF(C274="","",IF(D274="","zz","t"&amp;D274))</f>
        <v/>
      </c>
      <c r="K274" s="28">
        <f>IF(OR(A274="",C274=""),"",IF(IFERROR(INDEX(DayStat,A274-DATE(PlanYear,1,1)+1)&amp;"","")&lt;&gt;"",0,1))</f>
        <v/>
      </c>
      <c r="L274" s="28">
        <f>IF(K274="","",K274*IFERROR(VLOOKUP(C274,CodeTable,4,0),0))</f>
        <v/>
      </c>
    </row>
    <row r="275">
      <c r="A275" s="22" t="n"/>
      <c r="B275" s="23" t="n"/>
      <c r="C275" s="24" t="n"/>
      <c r="D275" s="25" t="n"/>
      <c r="E275" s="26" t="n"/>
      <c r="F275" s="26" t="n"/>
      <c r="G275" s="27">
        <f>IF(C275="","",IFERROR(VLOOKUP(C275,CodeTable,3,0),1))</f>
        <v/>
      </c>
      <c r="H275" s="27">
        <f>IF(C275="","",IF(E275&lt;&gt;"",E275,IF(IFERROR(VLOOKUP(C275,CodeTable,5,0)&amp;"","")="","All",VLOOKUP(C275,CodeTable,5,0)&amp;"")))</f>
        <v/>
      </c>
      <c r="I275" s="28">
        <f>IF(OR(A275="",C275=""),"",A275&amp;"|"&amp;B275&amp;"|"&amp;(COUNTIFS(FlDate,A275,FlShift,B275,FlCode,"&lt;&gt;",FlOrder,"&lt;"&amp;J275)+COUNTIFS(A$6:A275,A275,B$6:B275,B275,C$6:C275,"&lt;&gt;",J$6:J275,J275)))</f>
        <v/>
      </c>
      <c r="J275" s="28">
        <f>IF(C275="","",IF(D275="","zz","t"&amp;D275))</f>
        <v/>
      </c>
      <c r="K275" s="28">
        <f>IF(OR(A275="",C275=""),"",IF(IFERROR(INDEX(DayStat,A275-DATE(PlanYear,1,1)+1)&amp;"","")&lt;&gt;"",0,1))</f>
        <v/>
      </c>
      <c r="L275" s="28">
        <f>IF(K275="","",K275*IFERROR(VLOOKUP(C275,CodeTable,4,0),0))</f>
        <v/>
      </c>
    </row>
    <row r="276">
      <c r="A276" s="22" t="n"/>
      <c r="B276" s="23" t="n"/>
      <c r="C276" s="24" t="n"/>
      <c r="D276" s="25" t="n"/>
      <c r="E276" s="26" t="n"/>
      <c r="F276" s="26" t="n"/>
      <c r="G276" s="27">
        <f>IF(C276="","",IFERROR(VLOOKUP(C276,CodeTable,3,0),1))</f>
        <v/>
      </c>
      <c r="H276" s="27">
        <f>IF(C276="","",IF(E276&lt;&gt;"",E276,IF(IFERROR(VLOOKUP(C276,CodeTable,5,0)&amp;"","")="","All",VLOOKUP(C276,CodeTable,5,0)&amp;"")))</f>
        <v/>
      </c>
      <c r="I276" s="28">
        <f>IF(OR(A276="",C276=""),"",A276&amp;"|"&amp;B276&amp;"|"&amp;(COUNTIFS(FlDate,A276,FlShift,B276,FlCode,"&lt;&gt;",FlOrder,"&lt;"&amp;J276)+COUNTIFS(A$6:A276,A276,B$6:B276,B276,C$6:C276,"&lt;&gt;",J$6:J276,J276)))</f>
        <v/>
      </c>
      <c r="J276" s="28">
        <f>IF(C276="","",IF(D276="","zz","t"&amp;D276))</f>
        <v/>
      </c>
      <c r="K276" s="28">
        <f>IF(OR(A276="",C276=""),"",IF(IFERROR(INDEX(DayStat,A276-DATE(PlanYear,1,1)+1)&amp;"","")&lt;&gt;"",0,1))</f>
        <v/>
      </c>
      <c r="L276" s="28">
        <f>IF(K276="","",K276*IFERROR(VLOOKUP(C276,CodeTable,4,0),0))</f>
        <v/>
      </c>
    </row>
    <row r="277">
      <c r="A277" s="22" t="n"/>
      <c r="B277" s="23" t="n"/>
      <c r="C277" s="24" t="n"/>
      <c r="D277" s="25" t="n"/>
      <c r="E277" s="26" t="n"/>
      <c r="F277" s="26" t="n"/>
      <c r="G277" s="27">
        <f>IF(C277="","",IFERROR(VLOOKUP(C277,CodeTable,3,0),1))</f>
        <v/>
      </c>
      <c r="H277" s="27">
        <f>IF(C277="","",IF(E277&lt;&gt;"",E277,IF(IFERROR(VLOOKUP(C277,CodeTable,5,0)&amp;"","")="","All",VLOOKUP(C277,CodeTable,5,0)&amp;"")))</f>
        <v/>
      </c>
      <c r="I277" s="28">
        <f>IF(OR(A277="",C277=""),"",A277&amp;"|"&amp;B277&amp;"|"&amp;(COUNTIFS(FlDate,A277,FlShift,B277,FlCode,"&lt;&gt;",FlOrder,"&lt;"&amp;J277)+COUNTIFS(A$6:A277,A277,B$6:B277,B277,C$6:C277,"&lt;&gt;",J$6:J277,J277)))</f>
        <v/>
      </c>
      <c r="J277" s="28">
        <f>IF(C277="","",IF(D277="","zz","t"&amp;D277))</f>
        <v/>
      </c>
      <c r="K277" s="28">
        <f>IF(OR(A277="",C277=""),"",IF(IFERROR(INDEX(DayStat,A277-DATE(PlanYear,1,1)+1)&amp;"","")&lt;&gt;"",0,1))</f>
        <v/>
      </c>
      <c r="L277" s="28">
        <f>IF(K277="","",K277*IFERROR(VLOOKUP(C277,CodeTable,4,0),0))</f>
        <v/>
      </c>
    </row>
    <row r="278">
      <c r="A278" s="22" t="n"/>
      <c r="B278" s="23" t="n"/>
      <c r="C278" s="24" t="n"/>
      <c r="D278" s="25" t="n"/>
      <c r="E278" s="26" t="n"/>
      <c r="F278" s="26" t="n"/>
      <c r="G278" s="27">
        <f>IF(C278="","",IFERROR(VLOOKUP(C278,CodeTable,3,0),1))</f>
        <v/>
      </c>
      <c r="H278" s="27">
        <f>IF(C278="","",IF(E278&lt;&gt;"",E278,IF(IFERROR(VLOOKUP(C278,CodeTable,5,0)&amp;"","")="","All",VLOOKUP(C278,CodeTable,5,0)&amp;"")))</f>
        <v/>
      </c>
      <c r="I278" s="28">
        <f>IF(OR(A278="",C278=""),"",A278&amp;"|"&amp;B278&amp;"|"&amp;(COUNTIFS(FlDate,A278,FlShift,B278,FlCode,"&lt;&gt;",FlOrder,"&lt;"&amp;J278)+COUNTIFS(A$6:A278,A278,B$6:B278,B278,C$6:C278,"&lt;&gt;",J$6:J278,J278)))</f>
        <v/>
      </c>
      <c r="J278" s="28">
        <f>IF(C278="","",IF(D278="","zz","t"&amp;D278))</f>
        <v/>
      </c>
      <c r="K278" s="28">
        <f>IF(OR(A278="",C278=""),"",IF(IFERROR(INDEX(DayStat,A278-DATE(PlanYear,1,1)+1)&amp;"","")&lt;&gt;"",0,1))</f>
        <v/>
      </c>
      <c r="L278" s="28">
        <f>IF(K278="","",K278*IFERROR(VLOOKUP(C278,CodeTable,4,0),0))</f>
        <v/>
      </c>
    </row>
    <row r="279">
      <c r="A279" s="22" t="n"/>
      <c r="B279" s="23" t="n"/>
      <c r="C279" s="24" t="n"/>
      <c r="D279" s="25" t="n"/>
      <c r="E279" s="26" t="n"/>
      <c r="F279" s="26" t="n"/>
      <c r="G279" s="27">
        <f>IF(C279="","",IFERROR(VLOOKUP(C279,CodeTable,3,0),1))</f>
        <v/>
      </c>
      <c r="H279" s="27">
        <f>IF(C279="","",IF(E279&lt;&gt;"",E279,IF(IFERROR(VLOOKUP(C279,CodeTable,5,0)&amp;"","")="","All",VLOOKUP(C279,CodeTable,5,0)&amp;"")))</f>
        <v/>
      </c>
      <c r="I279" s="28">
        <f>IF(OR(A279="",C279=""),"",A279&amp;"|"&amp;B279&amp;"|"&amp;(COUNTIFS(FlDate,A279,FlShift,B279,FlCode,"&lt;&gt;",FlOrder,"&lt;"&amp;J279)+COUNTIFS(A$6:A279,A279,B$6:B279,B279,C$6:C279,"&lt;&gt;",J$6:J279,J279)))</f>
        <v/>
      </c>
      <c r="J279" s="28">
        <f>IF(C279="","",IF(D279="","zz","t"&amp;D279))</f>
        <v/>
      </c>
      <c r="K279" s="28">
        <f>IF(OR(A279="",C279=""),"",IF(IFERROR(INDEX(DayStat,A279-DATE(PlanYear,1,1)+1)&amp;"","")&lt;&gt;"",0,1))</f>
        <v/>
      </c>
      <c r="L279" s="28">
        <f>IF(K279="","",K279*IFERROR(VLOOKUP(C279,CodeTable,4,0),0))</f>
        <v/>
      </c>
    </row>
    <row r="280">
      <c r="A280" s="22" t="n"/>
      <c r="B280" s="23" t="n"/>
      <c r="C280" s="24" t="n"/>
      <c r="D280" s="25" t="n"/>
      <c r="E280" s="26" t="n"/>
      <c r="F280" s="26" t="n"/>
      <c r="G280" s="27">
        <f>IF(C280="","",IFERROR(VLOOKUP(C280,CodeTable,3,0),1))</f>
        <v/>
      </c>
      <c r="H280" s="27">
        <f>IF(C280="","",IF(E280&lt;&gt;"",E280,IF(IFERROR(VLOOKUP(C280,CodeTable,5,0)&amp;"","")="","All",VLOOKUP(C280,CodeTable,5,0)&amp;"")))</f>
        <v/>
      </c>
      <c r="I280" s="28">
        <f>IF(OR(A280="",C280=""),"",A280&amp;"|"&amp;B280&amp;"|"&amp;(COUNTIFS(FlDate,A280,FlShift,B280,FlCode,"&lt;&gt;",FlOrder,"&lt;"&amp;J280)+COUNTIFS(A$6:A280,A280,B$6:B280,B280,C$6:C280,"&lt;&gt;",J$6:J280,J280)))</f>
        <v/>
      </c>
      <c r="J280" s="28">
        <f>IF(C280="","",IF(D280="","zz","t"&amp;D280))</f>
        <v/>
      </c>
      <c r="K280" s="28">
        <f>IF(OR(A280="",C280=""),"",IF(IFERROR(INDEX(DayStat,A280-DATE(PlanYear,1,1)+1)&amp;"","")&lt;&gt;"",0,1))</f>
        <v/>
      </c>
      <c r="L280" s="28">
        <f>IF(K280="","",K280*IFERROR(VLOOKUP(C280,CodeTable,4,0),0))</f>
        <v/>
      </c>
    </row>
    <row r="281">
      <c r="A281" s="22" t="n"/>
      <c r="B281" s="23" t="n"/>
      <c r="C281" s="24" t="n"/>
      <c r="D281" s="25" t="n"/>
      <c r="E281" s="26" t="n"/>
      <c r="F281" s="26" t="n"/>
      <c r="G281" s="27">
        <f>IF(C281="","",IFERROR(VLOOKUP(C281,CodeTable,3,0),1))</f>
        <v/>
      </c>
      <c r="H281" s="27">
        <f>IF(C281="","",IF(E281&lt;&gt;"",E281,IF(IFERROR(VLOOKUP(C281,CodeTable,5,0)&amp;"","")="","All",VLOOKUP(C281,CodeTable,5,0)&amp;"")))</f>
        <v/>
      </c>
      <c r="I281" s="28">
        <f>IF(OR(A281="",C281=""),"",A281&amp;"|"&amp;B281&amp;"|"&amp;(COUNTIFS(FlDate,A281,FlShift,B281,FlCode,"&lt;&gt;",FlOrder,"&lt;"&amp;J281)+COUNTIFS(A$6:A281,A281,B$6:B281,B281,C$6:C281,"&lt;&gt;",J$6:J281,J281)))</f>
        <v/>
      </c>
      <c r="J281" s="28">
        <f>IF(C281="","",IF(D281="","zz","t"&amp;D281))</f>
        <v/>
      </c>
      <c r="K281" s="28">
        <f>IF(OR(A281="",C281=""),"",IF(IFERROR(INDEX(DayStat,A281-DATE(PlanYear,1,1)+1)&amp;"","")&lt;&gt;"",0,1))</f>
        <v/>
      </c>
      <c r="L281" s="28">
        <f>IF(K281="","",K281*IFERROR(VLOOKUP(C281,CodeTable,4,0),0))</f>
        <v/>
      </c>
    </row>
    <row r="282">
      <c r="A282" s="22" t="n"/>
      <c r="B282" s="23" t="n"/>
      <c r="C282" s="24" t="n"/>
      <c r="D282" s="25" t="n"/>
      <c r="E282" s="26" t="n"/>
      <c r="F282" s="26" t="n"/>
      <c r="G282" s="27">
        <f>IF(C282="","",IFERROR(VLOOKUP(C282,CodeTable,3,0),1))</f>
        <v/>
      </c>
      <c r="H282" s="27">
        <f>IF(C282="","",IF(E282&lt;&gt;"",E282,IF(IFERROR(VLOOKUP(C282,CodeTable,5,0)&amp;"","")="","All",VLOOKUP(C282,CodeTable,5,0)&amp;"")))</f>
        <v/>
      </c>
      <c r="I282" s="28">
        <f>IF(OR(A282="",C282=""),"",A282&amp;"|"&amp;B282&amp;"|"&amp;(COUNTIFS(FlDate,A282,FlShift,B282,FlCode,"&lt;&gt;",FlOrder,"&lt;"&amp;J282)+COUNTIFS(A$6:A282,A282,B$6:B282,B282,C$6:C282,"&lt;&gt;",J$6:J282,J282)))</f>
        <v/>
      </c>
      <c r="J282" s="28">
        <f>IF(C282="","",IF(D282="","zz","t"&amp;D282))</f>
        <v/>
      </c>
      <c r="K282" s="28">
        <f>IF(OR(A282="",C282=""),"",IF(IFERROR(INDEX(DayStat,A282-DATE(PlanYear,1,1)+1)&amp;"","")&lt;&gt;"",0,1))</f>
        <v/>
      </c>
      <c r="L282" s="28">
        <f>IF(K282="","",K282*IFERROR(VLOOKUP(C282,CodeTable,4,0),0))</f>
        <v/>
      </c>
    </row>
    <row r="283">
      <c r="A283" s="22" t="n"/>
      <c r="B283" s="23" t="n"/>
      <c r="C283" s="24" t="n"/>
      <c r="D283" s="25" t="n"/>
      <c r="E283" s="26" t="n"/>
      <c r="F283" s="26" t="n"/>
      <c r="G283" s="27">
        <f>IF(C283="","",IFERROR(VLOOKUP(C283,CodeTable,3,0),1))</f>
        <v/>
      </c>
      <c r="H283" s="27">
        <f>IF(C283="","",IF(E283&lt;&gt;"",E283,IF(IFERROR(VLOOKUP(C283,CodeTable,5,0)&amp;"","")="","All",VLOOKUP(C283,CodeTable,5,0)&amp;"")))</f>
        <v/>
      </c>
      <c r="I283" s="28">
        <f>IF(OR(A283="",C283=""),"",A283&amp;"|"&amp;B283&amp;"|"&amp;(COUNTIFS(FlDate,A283,FlShift,B283,FlCode,"&lt;&gt;",FlOrder,"&lt;"&amp;J283)+COUNTIFS(A$6:A283,A283,B$6:B283,B283,C$6:C283,"&lt;&gt;",J$6:J283,J283)))</f>
        <v/>
      </c>
      <c r="J283" s="28">
        <f>IF(C283="","",IF(D283="","zz","t"&amp;D283))</f>
        <v/>
      </c>
      <c r="K283" s="28">
        <f>IF(OR(A283="",C283=""),"",IF(IFERROR(INDEX(DayStat,A283-DATE(PlanYear,1,1)+1)&amp;"","")&lt;&gt;"",0,1))</f>
        <v/>
      </c>
      <c r="L283" s="28">
        <f>IF(K283="","",K283*IFERROR(VLOOKUP(C283,CodeTable,4,0),0))</f>
        <v/>
      </c>
    </row>
    <row r="284">
      <c r="A284" s="22" t="n"/>
      <c r="B284" s="23" t="n"/>
      <c r="C284" s="24" t="n"/>
      <c r="D284" s="25" t="n"/>
      <c r="E284" s="26" t="n"/>
      <c r="F284" s="26" t="n"/>
      <c r="G284" s="27">
        <f>IF(C284="","",IFERROR(VLOOKUP(C284,CodeTable,3,0),1))</f>
        <v/>
      </c>
      <c r="H284" s="27">
        <f>IF(C284="","",IF(E284&lt;&gt;"",E284,IF(IFERROR(VLOOKUP(C284,CodeTable,5,0)&amp;"","")="","All",VLOOKUP(C284,CodeTable,5,0)&amp;"")))</f>
        <v/>
      </c>
      <c r="I284" s="28">
        <f>IF(OR(A284="",C284=""),"",A284&amp;"|"&amp;B284&amp;"|"&amp;(COUNTIFS(FlDate,A284,FlShift,B284,FlCode,"&lt;&gt;",FlOrder,"&lt;"&amp;J284)+COUNTIFS(A$6:A284,A284,B$6:B284,B284,C$6:C284,"&lt;&gt;",J$6:J284,J284)))</f>
        <v/>
      </c>
      <c r="J284" s="28">
        <f>IF(C284="","",IF(D284="","zz","t"&amp;D284))</f>
        <v/>
      </c>
      <c r="K284" s="28">
        <f>IF(OR(A284="",C284=""),"",IF(IFERROR(INDEX(DayStat,A284-DATE(PlanYear,1,1)+1)&amp;"","")&lt;&gt;"",0,1))</f>
        <v/>
      </c>
      <c r="L284" s="28">
        <f>IF(K284="","",K284*IFERROR(VLOOKUP(C284,CodeTable,4,0),0))</f>
        <v/>
      </c>
    </row>
    <row r="285">
      <c r="A285" s="22" t="n"/>
      <c r="B285" s="23" t="n"/>
      <c r="C285" s="24" t="n"/>
      <c r="D285" s="25" t="n"/>
      <c r="E285" s="26" t="n"/>
      <c r="F285" s="26" t="n"/>
      <c r="G285" s="27">
        <f>IF(C285="","",IFERROR(VLOOKUP(C285,CodeTable,3,0),1))</f>
        <v/>
      </c>
      <c r="H285" s="27">
        <f>IF(C285="","",IF(E285&lt;&gt;"",E285,IF(IFERROR(VLOOKUP(C285,CodeTable,5,0)&amp;"","")="","All",VLOOKUP(C285,CodeTable,5,0)&amp;"")))</f>
        <v/>
      </c>
      <c r="I285" s="28">
        <f>IF(OR(A285="",C285=""),"",A285&amp;"|"&amp;B285&amp;"|"&amp;(COUNTIFS(FlDate,A285,FlShift,B285,FlCode,"&lt;&gt;",FlOrder,"&lt;"&amp;J285)+COUNTIFS(A$6:A285,A285,B$6:B285,B285,C$6:C285,"&lt;&gt;",J$6:J285,J285)))</f>
        <v/>
      </c>
      <c r="J285" s="28">
        <f>IF(C285="","",IF(D285="","zz","t"&amp;D285))</f>
        <v/>
      </c>
      <c r="K285" s="28">
        <f>IF(OR(A285="",C285=""),"",IF(IFERROR(INDEX(DayStat,A285-DATE(PlanYear,1,1)+1)&amp;"","")&lt;&gt;"",0,1))</f>
        <v/>
      </c>
      <c r="L285" s="28">
        <f>IF(K285="","",K285*IFERROR(VLOOKUP(C285,CodeTable,4,0),0))</f>
        <v/>
      </c>
    </row>
    <row r="286">
      <c r="A286" s="22" t="n"/>
      <c r="B286" s="23" t="n"/>
      <c r="C286" s="24" t="n"/>
      <c r="D286" s="25" t="n"/>
      <c r="E286" s="26" t="n"/>
      <c r="F286" s="26" t="n"/>
      <c r="G286" s="27">
        <f>IF(C286="","",IFERROR(VLOOKUP(C286,CodeTable,3,0),1))</f>
        <v/>
      </c>
      <c r="H286" s="27">
        <f>IF(C286="","",IF(E286&lt;&gt;"",E286,IF(IFERROR(VLOOKUP(C286,CodeTable,5,0)&amp;"","")="","All",VLOOKUP(C286,CodeTable,5,0)&amp;"")))</f>
        <v/>
      </c>
      <c r="I286" s="28">
        <f>IF(OR(A286="",C286=""),"",A286&amp;"|"&amp;B286&amp;"|"&amp;(COUNTIFS(FlDate,A286,FlShift,B286,FlCode,"&lt;&gt;",FlOrder,"&lt;"&amp;J286)+COUNTIFS(A$6:A286,A286,B$6:B286,B286,C$6:C286,"&lt;&gt;",J$6:J286,J286)))</f>
        <v/>
      </c>
      <c r="J286" s="28">
        <f>IF(C286="","",IF(D286="","zz","t"&amp;D286))</f>
        <v/>
      </c>
      <c r="K286" s="28">
        <f>IF(OR(A286="",C286=""),"",IF(IFERROR(INDEX(DayStat,A286-DATE(PlanYear,1,1)+1)&amp;"","")&lt;&gt;"",0,1))</f>
        <v/>
      </c>
      <c r="L286" s="28">
        <f>IF(K286="","",K286*IFERROR(VLOOKUP(C286,CodeTable,4,0),0))</f>
        <v/>
      </c>
    </row>
    <row r="287">
      <c r="A287" s="22" t="n"/>
      <c r="B287" s="23" t="n"/>
      <c r="C287" s="24" t="n"/>
      <c r="D287" s="25" t="n"/>
      <c r="E287" s="26" t="n"/>
      <c r="F287" s="26" t="n"/>
      <c r="G287" s="27">
        <f>IF(C287="","",IFERROR(VLOOKUP(C287,CodeTable,3,0),1))</f>
        <v/>
      </c>
      <c r="H287" s="27">
        <f>IF(C287="","",IF(E287&lt;&gt;"",E287,IF(IFERROR(VLOOKUP(C287,CodeTable,5,0)&amp;"","")="","All",VLOOKUP(C287,CodeTable,5,0)&amp;"")))</f>
        <v/>
      </c>
      <c r="I287" s="28">
        <f>IF(OR(A287="",C287=""),"",A287&amp;"|"&amp;B287&amp;"|"&amp;(COUNTIFS(FlDate,A287,FlShift,B287,FlCode,"&lt;&gt;",FlOrder,"&lt;"&amp;J287)+COUNTIFS(A$6:A287,A287,B$6:B287,B287,C$6:C287,"&lt;&gt;",J$6:J287,J287)))</f>
        <v/>
      </c>
      <c r="J287" s="28">
        <f>IF(C287="","",IF(D287="","zz","t"&amp;D287))</f>
        <v/>
      </c>
      <c r="K287" s="28">
        <f>IF(OR(A287="",C287=""),"",IF(IFERROR(INDEX(DayStat,A287-DATE(PlanYear,1,1)+1)&amp;"","")&lt;&gt;"",0,1))</f>
        <v/>
      </c>
      <c r="L287" s="28">
        <f>IF(K287="","",K287*IFERROR(VLOOKUP(C287,CodeTable,4,0),0))</f>
        <v/>
      </c>
    </row>
    <row r="288">
      <c r="A288" s="22" t="n"/>
      <c r="B288" s="23" t="n"/>
      <c r="C288" s="24" t="n"/>
      <c r="D288" s="25" t="n"/>
      <c r="E288" s="26" t="n"/>
      <c r="F288" s="26" t="n"/>
      <c r="G288" s="27">
        <f>IF(C288="","",IFERROR(VLOOKUP(C288,CodeTable,3,0),1))</f>
        <v/>
      </c>
      <c r="H288" s="27">
        <f>IF(C288="","",IF(E288&lt;&gt;"",E288,IF(IFERROR(VLOOKUP(C288,CodeTable,5,0)&amp;"","")="","All",VLOOKUP(C288,CodeTable,5,0)&amp;"")))</f>
        <v/>
      </c>
      <c r="I288" s="28">
        <f>IF(OR(A288="",C288=""),"",A288&amp;"|"&amp;B288&amp;"|"&amp;(COUNTIFS(FlDate,A288,FlShift,B288,FlCode,"&lt;&gt;",FlOrder,"&lt;"&amp;J288)+COUNTIFS(A$6:A288,A288,B$6:B288,B288,C$6:C288,"&lt;&gt;",J$6:J288,J288)))</f>
        <v/>
      </c>
      <c r="J288" s="28">
        <f>IF(C288="","",IF(D288="","zz","t"&amp;D288))</f>
        <v/>
      </c>
      <c r="K288" s="28">
        <f>IF(OR(A288="",C288=""),"",IF(IFERROR(INDEX(DayStat,A288-DATE(PlanYear,1,1)+1)&amp;"","")&lt;&gt;"",0,1))</f>
        <v/>
      </c>
      <c r="L288" s="28">
        <f>IF(K288="","",K288*IFERROR(VLOOKUP(C288,CodeTable,4,0),0))</f>
        <v/>
      </c>
    </row>
    <row r="289">
      <c r="A289" s="22" t="n"/>
      <c r="B289" s="23" t="n"/>
      <c r="C289" s="24" t="n"/>
      <c r="D289" s="25" t="n"/>
      <c r="E289" s="26" t="n"/>
      <c r="F289" s="26" t="n"/>
      <c r="G289" s="27">
        <f>IF(C289="","",IFERROR(VLOOKUP(C289,CodeTable,3,0),1))</f>
        <v/>
      </c>
      <c r="H289" s="27">
        <f>IF(C289="","",IF(E289&lt;&gt;"",E289,IF(IFERROR(VLOOKUP(C289,CodeTable,5,0)&amp;"","")="","All",VLOOKUP(C289,CodeTable,5,0)&amp;"")))</f>
        <v/>
      </c>
      <c r="I289" s="28">
        <f>IF(OR(A289="",C289=""),"",A289&amp;"|"&amp;B289&amp;"|"&amp;(COUNTIFS(FlDate,A289,FlShift,B289,FlCode,"&lt;&gt;",FlOrder,"&lt;"&amp;J289)+COUNTIFS(A$6:A289,A289,B$6:B289,B289,C$6:C289,"&lt;&gt;",J$6:J289,J289)))</f>
        <v/>
      </c>
      <c r="J289" s="28">
        <f>IF(C289="","",IF(D289="","zz","t"&amp;D289))</f>
        <v/>
      </c>
      <c r="K289" s="28">
        <f>IF(OR(A289="",C289=""),"",IF(IFERROR(INDEX(DayStat,A289-DATE(PlanYear,1,1)+1)&amp;"","")&lt;&gt;"",0,1))</f>
        <v/>
      </c>
      <c r="L289" s="28">
        <f>IF(K289="","",K289*IFERROR(VLOOKUP(C289,CodeTable,4,0),0))</f>
        <v/>
      </c>
    </row>
    <row r="290">
      <c r="A290" s="22" t="n"/>
      <c r="B290" s="23" t="n"/>
      <c r="C290" s="24" t="n"/>
      <c r="D290" s="25" t="n"/>
      <c r="E290" s="26" t="n"/>
      <c r="F290" s="26" t="n"/>
      <c r="G290" s="27">
        <f>IF(C290="","",IFERROR(VLOOKUP(C290,CodeTable,3,0),1))</f>
        <v/>
      </c>
      <c r="H290" s="27">
        <f>IF(C290="","",IF(E290&lt;&gt;"",E290,IF(IFERROR(VLOOKUP(C290,CodeTable,5,0)&amp;"","")="","All",VLOOKUP(C290,CodeTable,5,0)&amp;"")))</f>
        <v/>
      </c>
      <c r="I290" s="28">
        <f>IF(OR(A290="",C290=""),"",A290&amp;"|"&amp;B290&amp;"|"&amp;(COUNTIFS(FlDate,A290,FlShift,B290,FlCode,"&lt;&gt;",FlOrder,"&lt;"&amp;J290)+COUNTIFS(A$6:A290,A290,B$6:B290,B290,C$6:C290,"&lt;&gt;",J$6:J290,J290)))</f>
        <v/>
      </c>
      <c r="J290" s="28">
        <f>IF(C290="","",IF(D290="","zz","t"&amp;D290))</f>
        <v/>
      </c>
      <c r="K290" s="28">
        <f>IF(OR(A290="",C290=""),"",IF(IFERROR(INDEX(DayStat,A290-DATE(PlanYear,1,1)+1)&amp;"","")&lt;&gt;"",0,1))</f>
        <v/>
      </c>
      <c r="L290" s="28">
        <f>IF(K290="","",K290*IFERROR(VLOOKUP(C290,CodeTable,4,0),0))</f>
        <v/>
      </c>
    </row>
    <row r="291">
      <c r="A291" s="22" t="n"/>
      <c r="B291" s="23" t="n"/>
      <c r="C291" s="24" t="n"/>
      <c r="D291" s="25" t="n"/>
      <c r="E291" s="26" t="n"/>
      <c r="F291" s="26" t="n"/>
      <c r="G291" s="27">
        <f>IF(C291="","",IFERROR(VLOOKUP(C291,CodeTable,3,0),1))</f>
        <v/>
      </c>
      <c r="H291" s="27">
        <f>IF(C291="","",IF(E291&lt;&gt;"",E291,IF(IFERROR(VLOOKUP(C291,CodeTable,5,0)&amp;"","")="","All",VLOOKUP(C291,CodeTable,5,0)&amp;"")))</f>
        <v/>
      </c>
      <c r="I291" s="28">
        <f>IF(OR(A291="",C291=""),"",A291&amp;"|"&amp;B291&amp;"|"&amp;(COUNTIFS(FlDate,A291,FlShift,B291,FlCode,"&lt;&gt;",FlOrder,"&lt;"&amp;J291)+COUNTIFS(A$6:A291,A291,B$6:B291,B291,C$6:C291,"&lt;&gt;",J$6:J291,J291)))</f>
        <v/>
      </c>
      <c r="J291" s="28">
        <f>IF(C291="","",IF(D291="","zz","t"&amp;D291))</f>
        <v/>
      </c>
      <c r="K291" s="28">
        <f>IF(OR(A291="",C291=""),"",IF(IFERROR(INDEX(DayStat,A291-DATE(PlanYear,1,1)+1)&amp;"","")&lt;&gt;"",0,1))</f>
        <v/>
      </c>
      <c r="L291" s="28">
        <f>IF(K291="","",K291*IFERROR(VLOOKUP(C291,CodeTable,4,0),0))</f>
        <v/>
      </c>
    </row>
    <row r="292">
      <c r="A292" s="22" t="n"/>
      <c r="B292" s="23" t="n"/>
      <c r="C292" s="24" t="n"/>
      <c r="D292" s="25" t="n"/>
      <c r="E292" s="26" t="n"/>
      <c r="F292" s="26" t="n"/>
      <c r="G292" s="27">
        <f>IF(C292="","",IFERROR(VLOOKUP(C292,CodeTable,3,0),1))</f>
        <v/>
      </c>
      <c r="H292" s="27">
        <f>IF(C292="","",IF(E292&lt;&gt;"",E292,IF(IFERROR(VLOOKUP(C292,CodeTable,5,0)&amp;"","")="","All",VLOOKUP(C292,CodeTable,5,0)&amp;"")))</f>
        <v/>
      </c>
      <c r="I292" s="28">
        <f>IF(OR(A292="",C292=""),"",A292&amp;"|"&amp;B292&amp;"|"&amp;(COUNTIFS(FlDate,A292,FlShift,B292,FlCode,"&lt;&gt;",FlOrder,"&lt;"&amp;J292)+COUNTIFS(A$6:A292,A292,B$6:B292,B292,C$6:C292,"&lt;&gt;",J$6:J292,J292)))</f>
        <v/>
      </c>
      <c r="J292" s="28">
        <f>IF(C292="","",IF(D292="","zz","t"&amp;D292))</f>
        <v/>
      </c>
      <c r="K292" s="28">
        <f>IF(OR(A292="",C292=""),"",IF(IFERROR(INDEX(DayStat,A292-DATE(PlanYear,1,1)+1)&amp;"","")&lt;&gt;"",0,1))</f>
        <v/>
      </c>
      <c r="L292" s="28">
        <f>IF(K292="","",K292*IFERROR(VLOOKUP(C292,CodeTable,4,0),0))</f>
        <v/>
      </c>
    </row>
    <row r="293">
      <c r="A293" s="22" t="n"/>
      <c r="B293" s="23" t="n"/>
      <c r="C293" s="24" t="n"/>
      <c r="D293" s="25" t="n"/>
      <c r="E293" s="26" t="n"/>
      <c r="F293" s="26" t="n"/>
      <c r="G293" s="27">
        <f>IF(C293="","",IFERROR(VLOOKUP(C293,CodeTable,3,0),1))</f>
        <v/>
      </c>
      <c r="H293" s="27">
        <f>IF(C293="","",IF(E293&lt;&gt;"",E293,IF(IFERROR(VLOOKUP(C293,CodeTable,5,0)&amp;"","")="","All",VLOOKUP(C293,CodeTable,5,0)&amp;"")))</f>
        <v/>
      </c>
      <c r="I293" s="28">
        <f>IF(OR(A293="",C293=""),"",A293&amp;"|"&amp;B293&amp;"|"&amp;(COUNTIFS(FlDate,A293,FlShift,B293,FlCode,"&lt;&gt;",FlOrder,"&lt;"&amp;J293)+COUNTIFS(A$6:A293,A293,B$6:B293,B293,C$6:C293,"&lt;&gt;",J$6:J293,J293)))</f>
        <v/>
      </c>
      <c r="J293" s="28">
        <f>IF(C293="","",IF(D293="","zz","t"&amp;D293))</f>
        <v/>
      </c>
      <c r="K293" s="28">
        <f>IF(OR(A293="",C293=""),"",IF(IFERROR(INDEX(DayStat,A293-DATE(PlanYear,1,1)+1)&amp;"","")&lt;&gt;"",0,1))</f>
        <v/>
      </c>
      <c r="L293" s="28">
        <f>IF(K293="","",K293*IFERROR(VLOOKUP(C293,CodeTable,4,0),0))</f>
        <v/>
      </c>
    </row>
    <row r="294">
      <c r="A294" s="22" t="n"/>
      <c r="B294" s="23" t="n"/>
      <c r="C294" s="24" t="n"/>
      <c r="D294" s="25" t="n"/>
      <c r="E294" s="26" t="n"/>
      <c r="F294" s="26" t="n"/>
      <c r="G294" s="27">
        <f>IF(C294="","",IFERROR(VLOOKUP(C294,CodeTable,3,0),1))</f>
        <v/>
      </c>
      <c r="H294" s="27">
        <f>IF(C294="","",IF(E294&lt;&gt;"",E294,IF(IFERROR(VLOOKUP(C294,CodeTable,5,0)&amp;"","")="","All",VLOOKUP(C294,CodeTable,5,0)&amp;"")))</f>
        <v/>
      </c>
      <c r="I294" s="28">
        <f>IF(OR(A294="",C294=""),"",A294&amp;"|"&amp;B294&amp;"|"&amp;(COUNTIFS(FlDate,A294,FlShift,B294,FlCode,"&lt;&gt;",FlOrder,"&lt;"&amp;J294)+COUNTIFS(A$6:A294,A294,B$6:B294,B294,C$6:C294,"&lt;&gt;",J$6:J294,J294)))</f>
        <v/>
      </c>
      <c r="J294" s="28">
        <f>IF(C294="","",IF(D294="","zz","t"&amp;D294))</f>
        <v/>
      </c>
      <c r="K294" s="28">
        <f>IF(OR(A294="",C294=""),"",IF(IFERROR(INDEX(DayStat,A294-DATE(PlanYear,1,1)+1)&amp;"","")&lt;&gt;"",0,1))</f>
        <v/>
      </c>
      <c r="L294" s="28">
        <f>IF(K294="","",K294*IFERROR(VLOOKUP(C294,CodeTable,4,0),0))</f>
        <v/>
      </c>
    </row>
    <row r="295">
      <c r="A295" s="22" t="n"/>
      <c r="B295" s="23" t="n"/>
      <c r="C295" s="24" t="n"/>
      <c r="D295" s="25" t="n"/>
      <c r="E295" s="26" t="n"/>
      <c r="F295" s="26" t="n"/>
      <c r="G295" s="27">
        <f>IF(C295="","",IFERROR(VLOOKUP(C295,CodeTable,3,0),1))</f>
        <v/>
      </c>
      <c r="H295" s="27">
        <f>IF(C295="","",IF(E295&lt;&gt;"",E295,IF(IFERROR(VLOOKUP(C295,CodeTable,5,0)&amp;"","")="","All",VLOOKUP(C295,CodeTable,5,0)&amp;"")))</f>
        <v/>
      </c>
      <c r="I295" s="28">
        <f>IF(OR(A295="",C295=""),"",A295&amp;"|"&amp;B295&amp;"|"&amp;(COUNTIFS(FlDate,A295,FlShift,B295,FlCode,"&lt;&gt;",FlOrder,"&lt;"&amp;J295)+COUNTIFS(A$6:A295,A295,B$6:B295,B295,C$6:C295,"&lt;&gt;",J$6:J295,J295)))</f>
        <v/>
      </c>
      <c r="J295" s="28">
        <f>IF(C295="","",IF(D295="","zz","t"&amp;D295))</f>
        <v/>
      </c>
      <c r="K295" s="28">
        <f>IF(OR(A295="",C295=""),"",IF(IFERROR(INDEX(DayStat,A295-DATE(PlanYear,1,1)+1)&amp;"","")&lt;&gt;"",0,1))</f>
        <v/>
      </c>
      <c r="L295" s="28">
        <f>IF(K295="","",K295*IFERROR(VLOOKUP(C295,CodeTable,4,0),0))</f>
        <v/>
      </c>
    </row>
    <row r="296">
      <c r="A296" s="22" t="n"/>
      <c r="B296" s="23" t="n"/>
      <c r="C296" s="24" t="n"/>
      <c r="D296" s="25" t="n"/>
      <c r="E296" s="26" t="n"/>
      <c r="F296" s="26" t="n"/>
      <c r="G296" s="27">
        <f>IF(C296="","",IFERROR(VLOOKUP(C296,CodeTable,3,0),1))</f>
        <v/>
      </c>
      <c r="H296" s="27">
        <f>IF(C296="","",IF(E296&lt;&gt;"",E296,IF(IFERROR(VLOOKUP(C296,CodeTable,5,0)&amp;"","")="","All",VLOOKUP(C296,CodeTable,5,0)&amp;"")))</f>
        <v/>
      </c>
      <c r="I296" s="28">
        <f>IF(OR(A296="",C296=""),"",A296&amp;"|"&amp;B296&amp;"|"&amp;(COUNTIFS(FlDate,A296,FlShift,B296,FlCode,"&lt;&gt;",FlOrder,"&lt;"&amp;J296)+COUNTIFS(A$6:A296,A296,B$6:B296,B296,C$6:C296,"&lt;&gt;",J$6:J296,J296)))</f>
        <v/>
      </c>
      <c r="J296" s="28">
        <f>IF(C296="","",IF(D296="","zz","t"&amp;D296))</f>
        <v/>
      </c>
      <c r="K296" s="28">
        <f>IF(OR(A296="",C296=""),"",IF(IFERROR(INDEX(DayStat,A296-DATE(PlanYear,1,1)+1)&amp;"","")&lt;&gt;"",0,1))</f>
        <v/>
      </c>
      <c r="L296" s="28">
        <f>IF(K296="","",K296*IFERROR(VLOOKUP(C296,CodeTable,4,0),0))</f>
        <v/>
      </c>
    </row>
    <row r="297">
      <c r="A297" s="22" t="n"/>
      <c r="B297" s="23" t="n"/>
      <c r="C297" s="24" t="n"/>
      <c r="D297" s="25" t="n"/>
      <c r="E297" s="26" t="n"/>
      <c r="F297" s="26" t="n"/>
      <c r="G297" s="27">
        <f>IF(C297="","",IFERROR(VLOOKUP(C297,CodeTable,3,0),1))</f>
        <v/>
      </c>
      <c r="H297" s="27">
        <f>IF(C297="","",IF(E297&lt;&gt;"",E297,IF(IFERROR(VLOOKUP(C297,CodeTable,5,0)&amp;"","")="","All",VLOOKUP(C297,CodeTable,5,0)&amp;"")))</f>
        <v/>
      </c>
      <c r="I297" s="28">
        <f>IF(OR(A297="",C297=""),"",A297&amp;"|"&amp;B297&amp;"|"&amp;(COUNTIFS(FlDate,A297,FlShift,B297,FlCode,"&lt;&gt;",FlOrder,"&lt;"&amp;J297)+COUNTIFS(A$6:A297,A297,B$6:B297,B297,C$6:C297,"&lt;&gt;",J$6:J297,J297)))</f>
        <v/>
      </c>
      <c r="J297" s="28">
        <f>IF(C297="","",IF(D297="","zz","t"&amp;D297))</f>
        <v/>
      </c>
      <c r="K297" s="28">
        <f>IF(OR(A297="",C297=""),"",IF(IFERROR(INDEX(DayStat,A297-DATE(PlanYear,1,1)+1)&amp;"","")&lt;&gt;"",0,1))</f>
        <v/>
      </c>
      <c r="L297" s="28">
        <f>IF(K297="","",K297*IFERROR(VLOOKUP(C297,CodeTable,4,0),0))</f>
        <v/>
      </c>
    </row>
    <row r="298">
      <c r="A298" s="22" t="n"/>
      <c r="B298" s="23" t="n"/>
      <c r="C298" s="24" t="n"/>
      <c r="D298" s="25" t="n"/>
      <c r="E298" s="26" t="n"/>
      <c r="F298" s="26" t="n"/>
      <c r="G298" s="27">
        <f>IF(C298="","",IFERROR(VLOOKUP(C298,CodeTable,3,0),1))</f>
        <v/>
      </c>
      <c r="H298" s="27">
        <f>IF(C298="","",IF(E298&lt;&gt;"",E298,IF(IFERROR(VLOOKUP(C298,CodeTable,5,0)&amp;"","")="","All",VLOOKUP(C298,CodeTable,5,0)&amp;"")))</f>
        <v/>
      </c>
      <c r="I298" s="28">
        <f>IF(OR(A298="",C298=""),"",A298&amp;"|"&amp;B298&amp;"|"&amp;(COUNTIFS(FlDate,A298,FlShift,B298,FlCode,"&lt;&gt;",FlOrder,"&lt;"&amp;J298)+COUNTIFS(A$6:A298,A298,B$6:B298,B298,C$6:C298,"&lt;&gt;",J$6:J298,J298)))</f>
        <v/>
      </c>
      <c r="J298" s="28">
        <f>IF(C298="","",IF(D298="","zz","t"&amp;D298))</f>
        <v/>
      </c>
      <c r="K298" s="28">
        <f>IF(OR(A298="",C298=""),"",IF(IFERROR(INDEX(DayStat,A298-DATE(PlanYear,1,1)+1)&amp;"","")&lt;&gt;"",0,1))</f>
        <v/>
      </c>
      <c r="L298" s="28">
        <f>IF(K298="","",K298*IFERROR(VLOOKUP(C298,CodeTable,4,0),0))</f>
        <v/>
      </c>
    </row>
    <row r="299">
      <c r="A299" s="22" t="n"/>
      <c r="B299" s="23" t="n"/>
      <c r="C299" s="24" t="n"/>
      <c r="D299" s="25" t="n"/>
      <c r="E299" s="26" t="n"/>
      <c r="F299" s="26" t="n"/>
      <c r="G299" s="27">
        <f>IF(C299="","",IFERROR(VLOOKUP(C299,CodeTable,3,0),1))</f>
        <v/>
      </c>
      <c r="H299" s="27">
        <f>IF(C299="","",IF(E299&lt;&gt;"",E299,IF(IFERROR(VLOOKUP(C299,CodeTable,5,0)&amp;"","")="","All",VLOOKUP(C299,CodeTable,5,0)&amp;"")))</f>
        <v/>
      </c>
      <c r="I299" s="28">
        <f>IF(OR(A299="",C299=""),"",A299&amp;"|"&amp;B299&amp;"|"&amp;(COUNTIFS(FlDate,A299,FlShift,B299,FlCode,"&lt;&gt;",FlOrder,"&lt;"&amp;J299)+COUNTIFS(A$6:A299,A299,B$6:B299,B299,C$6:C299,"&lt;&gt;",J$6:J299,J299)))</f>
        <v/>
      </c>
      <c r="J299" s="28">
        <f>IF(C299="","",IF(D299="","zz","t"&amp;D299))</f>
        <v/>
      </c>
      <c r="K299" s="28">
        <f>IF(OR(A299="",C299=""),"",IF(IFERROR(INDEX(DayStat,A299-DATE(PlanYear,1,1)+1)&amp;"","")&lt;&gt;"",0,1))</f>
        <v/>
      </c>
      <c r="L299" s="28">
        <f>IF(K299="","",K299*IFERROR(VLOOKUP(C299,CodeTable,4,0),0))</f>
        <v/>
      </c>
    </row>
    <row r="300">
      <c r="A300" s="22" t="n"/>
      <c r="B300" s="23" t="n"/>
      <c r="C300" s="24" t="n"/>
      <c r="D300" s="25" t="n"/>
      <c r="E300" s="26" t="n"/>
      <c r="F300" s="26" t="n"/>
      <c r="G300" s="27">
        <f>IF(C300="","",IFERROR(VLOOKUP(C300,CodeTable,3,0),1))</f>
        <v/>
      </c>
      <c r="H300" s="27">
        <f>IF(C300="","",IF(E300&lt;&gt;"",E300,IF(IFERROR(VLOOKUP(C300,CodeTable,5,0)&amp;"","")="","All",VLOOKUP(C300,CodeTable,5,0)&amp;"")))</f>
        <v/>
      </c>
      <c r="I300" s="28">
        <f>IF(OR(A300="",C300=""),"",A300&amp;"|"&amp;B300&amp;"|"&amp;(COUNTIFS(FlDate,A300,FlShift,B300,FlCode,"&lt;&gt;",FlOrder,"&lt;"&amp;J300)+COUNTIFS(A$6:A300,A300,B$6:B300,B300,C$6:C300,"&lt;&gt;",J$6:J300,J300)))</f>
        <v/>
      </c>
      <c r="J300" s="28">
        <f>IF(C300="","",IF(D300="","zz","t"&amp;D300))</f>
        <v/>
      </c>
      <c r="K300" s="28">
        <f>IF(OR(A300="",C300=""),"",IF(IFERROR(INDEX(DayStat,A300-DATE(PlanYear,1,1)+1)&amp;"","")&lt;&gt;"",0,1))</f>
        <v/>
      </c>
      <c r="L300" s="28">
        <f>IF(K300="","",K300*IFERROR(VLOOKUP(C300,CodeTable,4,0),0))</f>
        <v/>
      </c>
    </row>
    <row r="301">
      <c r="A301" s="22" t="n"/>
      <c r="B301" s="23" t="n"/>
      <c r="C301" s="24" t="n"/>
      <c r="D301" s="25" t="n"/>
      <c r="E301" s="26" t="n"/>
      <c r="F301" s="26" t="n"/>
      <c r="G301" s="27">
        <f>IF(C301="","",IFERROR(VLOOKUP(C301,CodeTable,3,0),1))</f>
        <v/>
      </c>
      <c r="H301" s="27">
        <f>IF(C301="","",IF(E301&lt;&gt;"",E301,IF(IFERROR(VLOOKUP(C301,CodeTable,5,0)&amp;"","")="","All",VLOOKUP(C301,CodeTable,5,0)&amp;"")))</f>
        <v/>
      </c>
      <c r="I301" s="28">
        <f>IF(OR(A301="",C301=""),"",A301&amp;"|"&amp;B301&amp;"|"&amp;(COUNTIFS(FlDate,A301,FlShift,B301,FlCode,"&lt;&gt;",FlOrder,"&lt;"&amp;J301)+COUNTIFS(A$6:A301,A301,B$6:B301,B301,C$6:C301,"&lt;&gt;",J$6:J301,J301)))</f>
        <v/>
      </c>
      <c r="J301" s="28">
        <f>IF(C301="","",IF(D301="","zz","t"&amp;D301))</f>
        <v/>
      </c>
      <c r="K301" s="28">
        <f>IF(OR(A301="",C301=""),"",IF(IFERROR(INDEX(DayStat,A301-DATE(PlanYear,1,1)+1)&amp;"","")&lt;&gt;"",0,1))</f>
        <v/>
      </c>
      <c r="L301" s="28">
        <f>IF(K301="","",K301*IFERROR(VLOOKUP(C301,CodeTable,4,0),0))</f>
        <v/>
      </c>
    </row>
    <row r="302">
      <c r="A302" s="22" t="n"/>
      <c r="B302" s="23" t="n"/>
      <c r="C302" s="24" t="n"/>
      <c r="D302" s="25" t="n"/>
      <c r="E302" s="26" t="n"/>
      <c r="F302" s="26" t="n"/>
      <c r="G302" s="27">
        <f>IF(C302="","",IFERROR(VLOOKUP(C302,CodeTable,3,0),1))</f>
        <v/>
      </c>
      <c r="H302" s="27">
        <f>IF(C302="","",IF(E302&lt;&gt;"",E302,IF(IFERROR(VLOOKUP(C302,CodeTable,5,0)&amp;"","")="","All",VLOOKUP(C302,CodeTable,5,0)&amp;"")))</f>
        <v/>
      </c>
      <c r="I302" s="28">
        <f>IF(OR(A302="",C302=""),"",A302&amp;"|"&amp;B302&amp;"|"&amp;(COUNTIFS(FlDate,A302,FlShift,B302,FlCode,"&lt;&gt;",FlOrder,"&lt;"&amp;J302)+COUNTIFS(A$6:A302,A302,B$6:B302,B302,C$6:C302,"&lt;&gt;",J$6:J302,J302)))</f>
        <v/>
      </c>
      <c r="J302" s="28">
        <f>IF(C302="","",IF(D302="","zz","t"&amp;D302))</f>
        <v/>
      </c>
      <c r="K302" s="28">
        <f>IF(OR(A302="",C302=""),"",IF(IFERROR(INDEX(DayStat,A302-DATE(PlanYear,1,1)+1)&amp;"","")&lt;&gt;"",0,1))</f>
        <v/>
      </c>
      <c r="L302" s="28">
        <f>IF(K302="","",K302*IFERROR(VLOOKUP(C302,CodeTable,4,0),0))</f>
        <v/>
      </c>
    </row>
    <row r="303">
      <c r="A303" s="22" t="n"/>
      <c r="B303" s="23" t="n"/>
      <c r="C303" s="24" t="n"/>
      <c r="D303" s="25" t="n"/>
      <c r="E303" s="26" t="n"/>
      <c r="F303" s="26" t="n"/>
      <c r="G303" s="27">
        <f>IF(C303="","",IFERROR(VLOOKUP(C303,CodeTable,3,0),1))</f>
        <v/>
      </c>
      <c r="H303" s="27">
        <f>IF(C303="","",IF(E303&lt;&gt;"",E303,IF(IFERROR(VLOOKUP(C303,CodeTable,5,0)&amp;"","")="","All",VLOOKUP(C303,CodeTable,5,0)&amp;"")))</f>
        <v/>
      </c>
      <c r="I303" s="28">
        <f>IF(OR(A303="",C303=""),"",A303&amp;"|"&amp;B303&amp;"|"&amp;(COUNTIFS(FlDate,A303,FlShift,B303,FlCode,"&lt;&gt;",FlOrder,"&lt;"&amp;J303)+COUNTIFS(A$6:A303,A303,B$6:B303,B303,C$6:C303,"&lt;&gt;",J$6:J303,J303)))</f>
        <v/>
      </c>
      <c r="J303" s="28">
        <f>IF(C303="","",IF(D303="","zz","t"&amp;D303))</f>
        <v/>
      </c>
      <c r="K303" s="28">
        <f>IF(OR(A303="",C303=""),"",IF(IFERROR(INDEX(DayStat,A303-DATE(PlanYear,1,1)+1)&amp;"","")&lt;&gt;"",0,1))</f>
        <v/>
      </c>
      <c r="L303" s="28">
        <f>IF(K303="","",K303*IFERROR(VLOOKUP(C303,CodeTable,4,0),0))</f>
        <v/>
      </c>
    </row>
    <row r="304">
      <c r="A304" s="22" t="n"/>
      <c r="B304" s="23" t="n"/>
      <c r="C304" s="24" t="n"/>
      <c r="D304" s="25" t="n"/>
      <c r="E304" s="26" t="n"/>
      <c r="F304" s="26" t="n"/>
      <c r="G304" s="27">
        <f>IF(C304="","",IFERROR(VLOOKUP(C304,CodeTable,3,0),1))</f>
        <v/>
      </c>
      <c r="H304" s="27">
        <f>IF(C304="","",IF(E304&lt;&gt;"",E304,IF(IFERROR(VLOOKUP(C304,CodeTable,5,0)&amp;"","")="","All",VLOOKUP(C304,CodeTable,5,0)&amp;"")))</f>
        <v/>
      </c>
      <c r="I304" s="28">
        <f>IF(OR(A304="",C304=""),"",A304&amp;"|"&amp;B304&amp;"|"&amp;(COUNTIFS(FlDate,A304,FlShift,B304,FlCode,"&lt;&gt;",FlOrder,"&lt;"&amp;J304)+COUNTIFS(A$6:A304,A304,B$6:B304,B304,C$6:C304,"&lt;&gt;",J$6:J304,J304)))</f>
        <v/>
      </c>
      <c r="J304" s="28">
        <f>IF(C304="","",IF(D304="","zz","t"&amp;D304))</f>
        <v/>
      </c>
      <c r="K304" s="28">
        <f>IF(OR(A304="",C304=""),"",IF(IFERROR(INDEX(DayStat,A304-DATE(PlanYear,1,1)+1)&amp;"","")&lt;&gt;"",0,1))</f>
        <v/>
      </c>
      <c r="L304" s="28">
        <f>IF(K304="","",K304*IFERROR(VLOOKUP(C304,CodeTable,4,0),0))</f>
        <v/>
      </c>
    </row>
    <row r="305">
      <c r="A305" s="22" t="n"/>
      <c r="B305" s="23" t="n"/>
      <c r="C305" s="24" t="n"/>
      <c r="D305" s="25" t="n"/>
      <c r="E305" s="26" t="n"/>
      <c r="F305" s="26" t="n"/>
      <c r="G305" s="27">
        <f>IF(C305="","",IFERROR(VLOOKUP(C305,CodeTable,3,0),1))</f>
        <v/>
      </c>
      <c r="H305" s="27">
        <f>IF(C305="","",IF(E305&lt;&gt;"",E305,IF(IFERROR(VLOOKUP(C305,CodeTable,5,0)&amp;"","")="","All",VLOOKUP(C305,CodeTable,5,0)&amp;"")))</f>
        <v/>
      </c>
      <c r="I305" s="28">
        <f>IF(OR(A305="",C305=""),"",A305&amp;"|"&amp;B305&amp;"|"&amp;(COUNTIFS(FlDate,A305,FlShift,B305,FlCode,"&lt;&gt;",FlOrder,"&lt;"&amp;J305)+COUNTIFS(A$6:A305,A305,B$6:B305,B305,C$6:C305,"&lt;&gt;",J$6:J305,J305)))</f>
        <v/>
      </c>
      <c r="J305" s="28">
        <f>IF(C305="","",IF(D305="","zz","t"&amp;D305))</f>
        <v/>
      </c>
      <c r="K305" s="28">
        <f>IF(OR(A305="",C305=""),"",IF(IFERROR(INDEX(DayStat,A305-DATE(PlanYear,1,1)+1)&amp;"","")&lt;&gt;"",0,1))</f>
        <v/>
      </c>
      <c r="L305" s="28">
        <f>IF(K305="","",K305*IFERROR(VLOOKUP(C305,CodeTable,4,0),0))</f>
        <v/>
      </c>
    </row>
    <row r="306">
      <c r="A306" s="22" t="n"/>
      <c r="B306" s="23" t="n"/>
      <c r="C306" s="24" t="n"/>
      <c r="D306" s="25" t="n"/>
      <c r="E306" s="26" t="n"/>
      <c r="F306" s="26" t="n"/>
      <c r="G306" s="27">
        <f>IF(C306="","",IFERROR(VLOOKUP(C306,CodeTable,3,0),1))</f>
        <v/>
      </c>
      <c r="H306" s="27">
        <f>IF(C306="","",IF(E306&lt;&gt;"",E306,IF(IFERROR(VLOOKUP(C306,CodeTable,5,0)&amp;"","")="","All",VLOOKUP(C306,CodeTable,5,0)&amp;"")))</f>
        <v/>
      </c>
      <c r="I306" s="28">
        <f>IF(OR(A306="",C306=""),"",A306&amp;"|"&amp;B306&amp;"|"&amp;(COUNTIFS(FlDate,A306,FlShift,B306,FlCode,"&lt;&gt;",FlOrder,"&lt;"&amp;J306)+COUNTIFS(A$6:A306,A306,B$6:B306,B306,C$6:C306,"&lt;&gt;",J$6:J306,J306)))</f>
        <v/>
      </c>
      <c r="J306" s="28">
        <f>IF(C306="","",IF(D306="","zz","t"&amp;D306))</f>
        <v/>
      </c>
      <c r="K306" s="28">
        <f>IF(OR(A306="",C306=""),"",IF(IFERROR(INDEX(DayStat,A306-DATE(PlanYear,1,1)+1)&amp;"","")&lt;&gt;"",0,1))</f>
        <v/>
      </c>
      <c r="L306" s="28">
        <f>IF(K306="","",K306*IFERROR(VLOOKUP(C306,CodeTable,4,0),0))</f>
        <v/>
      </c>
    </row>
    <row r="307">
      <c r="A307" s="22" t="n"/>
      <c r="B307" s="23" t="n"/>
      <c r="C307" s="24" t="n"/>
      <c r="D307" s="25" t="n"/>
      <c r="E307" s="26" t="n"/>
      <c r="F307" s="26" t="n"/>
      <c r="G307" s="27">
        <f>IF(C307="","",IFERROR(VLOOKUP(C307,CodeTable,3,0),1))</f>
        <v/>
      </c>
      <c r="H307" s="27">
        <f>IF(C307="","",IF(E307&lt;&gt;"",E307,IF(IFERROR(VLOOKUP(C307,CodeTable,5,0)&amp;"","")="","All",VLOOKUP(C307,CodeTable,5,0)&amp;"")))</f>
        <v/>
      </c>
      <c r="I307" s="28">
        <f>IF(OR(A307="",C307=""),"",A307&amp;"|"&amp;B307&amp;"|"&amp;(COUNTIFS(FlDate,A307,FlShift,B307,FlCode,"&lt;&gt;",FlOrder,"&lt;"&amp;J307)+COUNTIFS(A$6:A307,A307,B$6:B307,B307,C$6:C307,"&lt;&gt;",J$6:J307,J307)))</f>
        <v/>
      </c>
      <c r="J307" s="28">
        <f>IF(C307="","",IF(D307="","zz","t"&amp;D307))</f>
        <v/>
      </c>
      <c r="K307" s="28">
        <f>IF(OR(A307="",C307=""),"",IF(IFERROR(INDEX(DayStat,A307-DATE(PlanYear,1,1)+1)&amp;"","")&lt;&gt;"",0,1))</f>
        <v/>
      </c>
      <c r="L307" s="28">
        <f>IF(K307="","",K307*IFERROR(VLOOKUP(C307,CodeTable,4,0),0))</f>
        <v/>
      </c>
    </row>
    <row r="308">
      <c r="A308" s="22" t="n"/>
      <c r="B308" s="23" t="n"/>
      <c r="C308" s="24" t="n"/>
      <c r="D308" s="25" t="n"/>
      <c r="E308" s="26" t="n"/>
      <c r="F308" s="26" t="n"/>
      <c r="G308" s="27">
        <f>IF(C308="","",IFERROR(VLOOKUP(C308,CodeTable,3,0),1))</f>
        <v/>
      </c>
      <c r="H308" s="27">
        <f>IF(C308="","",IF(E308&lt;&gt;"",E308,IF(IFERROR(VLOOKUP(C308,CodeTable,5,0)&amp;"","")="","All",VLOOKUP(C308,CodeTable,5,0)&amp;"")))</f>
        <v/>
      </c>
      <c r="I308" s="28">
        <f>IF(OR(A308="",C308=""),"",A308&amp;"|"&amp;B308&amp;"|"&amp;(COUNTIFS(FlDate,A308,FlShift,B308,FlCode,"&lt;&gt;",FlOrder,"&lt;"&amp;J308)+COUNTIFS(A$6:A308,A308,B$6:B308,B308,C$6:C308,"&lt;&gt;",J$6:J308,J308)))</f>
        <v/>
      </c>
      <c r="J308" s="28">
        <f>IF(C308="","",IF(D308="","zz","t"&amp;D308))</f>
        <v/>
      </c>
      <c r="K308" s="28">
        <f>IF(OR(A308="",C308=""),"",IF(IFERROR(INDEX(DayStat,A308-DATE(PlanYear,1,1)+1)&amp;"","")&lt;&gt;"",0,1))</f>
        <v/>
      </c>
      <c r="L308" s="28">
        <f>IF(K308="","",K308*IFERROR(VLOOKUP(C308,CodeTable,4,0),0))</f>
        <v/>
      </c>
    </row>
    <row r="309">
      <c r="A309" s="22" t="n"/>
      <c r="B309" s="23" t="n"/>
      <c r="C309" s="24" t="n"/>
      <c r="D309" s="25" t="n"/>
      <c r="E309" s="26" t="n"/>
      <c r="F309" s="26" t="n"/>
      <c r="G309" s="27">
        <f>IF(C309="","",IFERROR(VLOOKUP(C309,CodeTable,3,0),1))</f>
        <v/>
      </c>
      <c r="H309" s="27">
        <f>IF(C309="","",IF(E309&lt;&gt;"",E309,IF(IFERROR(VLOOKUP(C309,CodeTable,5,0)&amp;"","")="","All",VLOOKUP(C309,CodeTable,5,0)&amp;"")))</f>
        <v/>
      </c>
      <c r="I309" s="28">
        <f>IF(OR(A309="",C309=""),"",A309&amp;"|"&amp;B309&amp;"|"&amp;(COUNTIFS(FlDate,A309,FlShift,B309,FlCode,"&lt;&gt;",FlOrder,"&lt;"&amp;J309)+COUNTIFS(A$6:A309,A309,B$6:B309,B309,C$6:C309,"&lt;&gt;",J$6:J309,J309)))</f>
        <v/>
      </c>
      <c r="J309" s="28">
        <f>IF(C309="","",IF(D309="","zz","t"&amp;D309))</f>
        <v/>
      </c>
      <c r="K309" s="28">
        <f>IF(OR(A309="",C309=""),"",IF(IFERROR(INDEX(DayStat,A309-DATE(PlanYear,1,1)+1)&amp;"","")&lt;&gt;"",0,1))</f>
        <v/>
      </c>
      <c r="L309" s="28">
        <f>IF(K309="","",K309*IFERROR(VLOOKUP(C309,CodeTable,4,0),0))</f>
        <v/>
      </c>
    </row>
    <row r="310">
      <c r="A310" s="22" t="n"/>
      <c r="B310" s="23" t="n"/>
      <c r="C310" s="24" t="n"/>
      <c r="D310" s="25" t="n"/>
      <c r="E310" s="26" t="n"/>
      <c r="F310" s="26" t="n"/>
      <c r="G310" s="27">
        <f>IF(C310="","",IFERROR(VLOOKUP(C310,CodeTable,3,0),1))</f>
        <v/>
      </c>
      <c r="H310" s="27">
        <f>IF(C310="","",IF(E310&lt;&gt;"",E310,IF(IFERROR(VLOOKUP(C310,CodeTable,5,0)&amp;"","")="","All",VLOOKUP(C310,CodeTable,5,0)&amp;"")))</f>
        <v/>
      </c>
      <c r="I310" s="28">
        <f>IF(OR(A310="",C310=""),"",A310&amp;"|"&amp;B310&amp;"|"&amp;(COUNTIFS(FlDate,A310,FlShift,B310,FlCode,"&lt;&gt;",FlOrder,"&lt;"&amp;J310)+COUNTIFS(A$6:A310,A310,B$6:B310,B310,C$6:C310,"&lt;&gt;",J$6:J310,J310)))</f>
        <v/>
      </c>
      <c r="J310" s="28">
        <f>IF(C310="","",IF(D310="","zz","t"&amp;D310))</f>
        <v/>
      </c>
      <c r="K310" s="28">
        <f>IF(OR(A310="",C310=""),"",IF(IFERROR(INDEX(DayStat,A310-DATE(PlanYear,1,1)+1)&amp;"","")&lt;&gt;"",0,1))</f>
        <v/>
      </c>
      <c r="L310" s="28">
        <f>IF(K310="","",K310*IFERROR(VLOOKUP(C310,CodeTable,4,0),0))</f>
        <v/>
      </c>
    </row>
    <row r="311">
      <c r="A311" s="22" t="n"/>
      <c r="B311" s="23" t="n"/>
      <c r="C311" s="24" t="n"/>
      <c r="D311" s="25" t="n"/>
      <c r="E311" s="26" t="n"/>
      <c r="F311" s="26" t="n"/>
      <c r="G311" s="27">
        <f>IF(C311="","",IFERROR(VLOOKUP(C311,CodeTable,3,0),1))</f>
        <v/>
      </c>
      <c r="H311" s="27">
        <f>IF(C311="","",IF(E311&lt;&gt;"",E311,IF(IFERROR(VLOOKUP(C311,CodeTable,5,0)&amp;"","")="","All",VLOOKUP(C311,CodeTable,5,0)&amp;"")))</f>
        <v/>
      </c>
      <c r="I311" s="28">
        <f>IF(OR(A311="",C311=""),"",A311&amp;"|"&amp;B311&amp;"|"&amp;(COUNTIFS(FlDate,A311,FlShift,B311,FlCode,"&lt;&gt;",FlOrder,"&lt;"&amp;J311)+COUNTIFS(A$6:A311,A311,B$6:B311,B311,C$6:C311,"&lt;&gt;",J$6:J311,J311)))</f>
        <v/>
      </c>
      <c r="J311" s="28">
        <f>IF(C311="","",IF(D311="","zz","t"&amp;D311))</f>
        <v/>
      </c>
      <c r="K311" s="28">
        <f>IF(OR(A311="",C311=""),"",IF(IFERROR(INDEX(DayStat,A311-DATE(PlanYear,1,1)+1)&amp;"","")&lt;&gt;"",0,1))</f>
        <v/>
      </c>
      <c r="L311" s="28">
        <f>IF(K311="","",K311*IFERROR(VLOOKUP(C311,CodeTable,4,0),0))</f>
        <v/>
      </c>
    </row>
    <row r="312">
      <c r="A312" s="22" t="n"/>
      <c r="B312" s="23" t="n"/>
      <c r="C312" s="24" t="n"/>
      <c r="D312" s="25" t="n"/>
      <c r="E312" s="26" t="n"/>
      <c r="F312" s="26" t="n"/>
      <c r="G312" s="27">
        <f>IF(C312="","",IFERROR(VLOOKUP(C312,CodeTable,3,0),1))</f>
        <v/>
      </c>
      <c r="H312" s="27">
        <f>IF(C312="","",IF(E312&lt;&gt;"",E312,IF(IFERROR(VLOOKUP(C312,CodeTable,5,0)&amp;"","")="","All",VLOOKUP(C312,CodeTable,5,0)&amp;"")))</f>
        <v/>
      </c>
      <c r="I312" s="28">
        <f>IF(OR(A312="",C312=""),"",A312&amp;"|"&amp;B312&amp;"|"&amp;(COUNTIFS(FlDate,A312,FlShift,B312,FlCode,"&lt;&gt;",FlOrder,"&lt;"&amp;J312)+COUNTIFS(A$6:A312,A312,B$6:B312,B312,C$6:C312,"&lt;&gt;",J$6:J312,J312)))</f>
        <v/>
      </c>
      <c r="J312" s="28">
        <f>IF(C312="","",IF(D312="","zz","t"&amp;D312))</f>
        <v/>
      </c>
      <c r="K312" s="28">
        <f>IF(OR(A312="",C312=""),"",IF(IFERROR(INDEX(DayStat,A312-DATE(PlanYear,1,1)+1)&amp;"","")&lt;&gt;"",0,1))</f>
        <v/>
      </c>
      <c r="L312" s="28">
        <f>IF(K312="","",K312*IFERROR(VLOOKUP(C312,CodeTable,4,0),0))</f>
        <v/>
      </c>
    </row>
    <row r="313">
      <c r="A313" s="22" t="n"/>
      <c r="B313" s="23" t="n"/>
      <c r="C313" s="24" t="n"/>
      <c r="D313" s="25" t="n"/>
      <c r="E313" s="26" t="n"/>
      <c r="F313" s="26" t="n"/>
      <c r="G313" s="27">
        <f>IF(C313="","",IFERROR(VLOOKUP(C313,CodeTable,3,0),1))</f>
        <v/>
      </c>
      <c r="H313" s="27">
        <f>IF(C313="","",IF(E313&lt;&gt;"",E313,IF(IFERROR(VLOOKUP(C313,CodeTable,5,0)&amp;"","")="","All",VLOOKUP(C313,CodeTable,5,0)&amp;"")))</f>
        <v/>
      </c>
      <c r="I313" s="28">
        <f>IF(OR(A313="",C313=""),"",A313&amp;"|"&amp;B313&amp;"|"&amp;(COUNTIFS(FlDate,A313,FlShift,B313,FlCode,"&lt;&gt;",FlOrder,"&lt;"&amp;J313)+COUNTIFS(A$6:A313,A313,B$6:B313,B313,C$6:C313,"&lt;&gt;",J$6:J313,J313)))</f>
        <v/>
      </c>
      <c r="J313" s="28">
        <f>IF(C313="","",IF(D313="","zz","t"&amp;D313))</f>
        <v/>
      </c>
      <c r="K313" s="28">
        <f>IF(OR(A313="",C313=""),"",IF(IFERROR(INDEX(DayStat,A313-DATE(PlanYear,1,1)+1)&amp;"","")&lt;&gt;"",0,1))</f>
        <v/>
      </c>
      <c r="L313" s="28">
        <f>IF(K313="","",K313*IFERROR(VLOOKUP(C313,CodeTable,4,0),0))</f>
        <v/>
      </c>
    </row>
    <row r="314">
      <c r="A314" s="22" t="n"/>
      <c r="B314" s="23" t="n"/>
      <c r="C314" s="24" t="n"/>
      <c r="D314" s="25" t="n"/>
      <c r="E314" s="26" t="n"/>
      <c r="F314" s="26" t="n"/>
      <c r="G314" s="27">
        <f>IF(C314="","",IFERROR(VLOOKUP(C314,CodeTable,3,0),1))</f>
        <v/>
      </c>
      <c r="H314" s="27">
        <f>IF(C314="","",IF(E314&lt;&gt;"",E314,IF(IFERROR(VLOOKUP(C314,CodeTable,5,0)&amp;"","")="","All",VLOOKUP(C314,CodeTable,5,0)&amp;"")))</f>
        <v/>
      </c>
      <c r="I314" s="28">
        <f>IF(OR(A314="",C314=""),"",A314&amp;"|"&amp;B314&amp;"|"&amp;(COUNTIFS(FlDate,A314,FlShift,B314,FlCode,"&lt;&gt;",FlOrder,"&lt;"&amp;J314)+COUNTIFS(A$6:A314,A314,B$6:B314,B314,C$6:C314,"&lt;&gt;",J$6:J314,J314)))</f>
        <v/>
      </c>
      <c r="J314" s="28">
        <f>IF(C314="","",IF(D314="","zz","t"&amp;D314))</f>
        <v/>
      </c>
      <c r="K314" s="28">
        <f>IF(OR(A314="",C314=""),"",IF(IFERROR(INDEX(DayStat,A314-DATE(PlanYear,1,1)+1)&amp;"","")&lt;&gt;"",0,1))</f>
        <v/>
      </c>
      <c r="L314" s="28">
        <f>IF(K314="","",K314*IFERROR(VLOOKUP(C314,CodeTable,4,0),0))</f>
        <v/>
      </c>
    </row>
    <row r="315">
      <c r="A315" s="22" t="n"/>
      <c r="B315" s="23" t="n"/>
      <c r="C315" s="24" t="n"/>
      <c r="D315" s="25" t="n"/>
      <c r="E315" s="26" t="n"/>
      <c r="F315" s="26" t="n"/>
      <c r="G315" s="27">
        <f>IF(C315="","",IFERROR(VLOOKUP(C315,CodeTable,3,0),1))</f>
        <v/>
      </c>
      <c r="H315" s="27">
        <f>IF(C315="","",IF(E315&lt;&gt;"",E315,IF(IFERROR(VLOOKUP(C315,CodeTable,5,0)&amp;"","")="","All",VLOOKUP(C315,CodeTable,5,0)&amp;"")))</f>
        <v/>
      </c>
      <c r="I315" s="28">
        <f>IF(OR(A315="",C315=""),"",A315&amp;"|"&amp;B315&amp;"|"&amp;(COUNTIFS(FlDate,A315,FlShift,B315,FlCode,"&lt;&gt;",FlOrder,"&lt;"&amp;J315)+COUNTIFS(A$6:A315,A315,B$6:B315,B315,C$6:C315,"&lt;&gt;",J$6:J315,J315)))</f>
        <v/>
      </c>
      <c r="J315" s="28">
        <f>IF(C315="","",IF(D315="","zz","t"&amp;D315))</f>
        <v/>
      </c>
      <c r="K315" s="28">
        <f>IF(OR(A315="",C315=""),"",IF(IFERROR(INDEX(DayStat,A315-DATE(PlanYear,1,1)+1)&amp;"","")&lt;&gt;"",0,1))</f>
        <v/>
      </c>
      <c r="L315" s="28">
        <f>IF(K315="","",K315*IFERROR(VLOOKUP(C315,CodeTable,4,0),0))</f>
        <v/>
      </c>
    </row>
    <row r="316">
      <c r="A316" s="22" t="n"/>
      <c r="B316" s="23" t="n"/>
      <c r="C316" s="24" t="n"/>
      <c r="D316" s="25" t="n"/>
      <c r="E316" s="26" t="n"/>
      <c r="F316" s="26" t="n"/>
      <c r="G316" s="27">
        <f>IF(C316="","",IFERROR(VLOOKUP(C316,CodeTable,3,0),1))</f>
        <v/>
      </c>
      <c r="H316" s="27">
        <f>IF(C316="","",IF(E316&lt;&gt;"",E316,IF(IFERROR(VLOOKUP(C316,CodeTable,5,0)&amp;"","")="","All",VLOOKUP(C316,CodeTable,5,0)&amp;"")))</f>
        <v/>
      </c>
      <c r="I316" s="28">
        <f>IF(OR(A316="",C316=""),"",A316&amp;"|"&amp;B316&amp;"|"&amp;(COUNTIFS(FlDate,A316,FlShift,B316,FlCode,"&lt;&gt;",FlOrder,"&lt;"&amp;J316)+COUNTIFS(A$6:A316,A316,B$6:B316,B316,C$6:C316,"&lt;&gt;",J$6:J316,J316)))</f>
        <v/>
      </c>
      <c r="J316" s="28">
        <f>IF(C316="","",IF(D316="","zz","t"&amp;D316))</f>
        <v/>
      </c>
      <c r="K316" s="28">
        <f>IF(OR(A316="",C316=""),"",IF(IFERROR(INDEX(DayStat,A316-DATE(PlanYear,1,1)+1)&amp;"","")&lt;&gt;"",0,1))</f>
        <v/>
      </c>
      <c r="L316" s="28">
        <f>IF(K316="","",K316*IFERROR(VLOOKUP(C316,CodeTable,4,0),0))</f>
        <v/>
      </c>
    </row>
    <row r="317">
      <c r="A317" s="22" t="n"/>
      <c r="B317" s="23" t="n"/>
      <c r="C317" s="24" t="n"/>
      <c r="D317" s="25" t="n"/>
      <c r="E317" s="26" t="n"/>
      <c r="F317" s="26" t="n"/>
      <c r="G317" s="27">
        <f>IF(C317="","",IFERROR(VLOOKUP(C317,CodeTable,3,0),1))</f>
        <v/>
      </c>
      <c r="H317" s="27">
        <f>IF(C317="","",IF(E317&lt;&gt;"",E317,IF(IFERROR(VLOOKUP(C317,CodeTable,5,0)&amp;"","")="","All",VLOOKUP(C317,CodeTable,5,0)&amp;"")))</f>
        <v/>
      </c>
      <c r="I317" s="28">
        <f>IF(OR(A317="",C317=""),"",A317&amp;"|"&amp;B317&amp;"|"&amp;(COUNTIFS(FlDate,A317,FlShift,B317,FlCode,"&lt;&gt;",FlOrder,"&lt;"&amp;J317)+COUNTIFS(A$6:A317,A317,B$6:B317,B317,C$6:C317,"&lt;&gt;",J$6:J317,J317)))</f>
        <v/>
      </c>
      <c r="J317" s="28">
        <f>IF(C317="","",IF(D317="","zz","t"&amp;D317))</f>
        <v/>
      </c>
      <c r="K317" s="28">
        <f>IF(OR(A317="",C317=""),"",IF(IFERROR(INDEX(DayStat,A317-DATE(PlanYear,1,1)+1)&amp;"","")&lt;&gt;"",0,1))</f>
        <v/>
      </c>
      <c r="L317" s="28">
        <f>IF(K317="","",K317*IFERROR(VLOOKUP(C317,CodeTable,4,0),0))</f>
        <v/>
      </c>
    </row>
    <row r="318">
      <c r="A318" s="22" t="n"/>
      <c r="B318" s="23" t="n"/>
      <c r="C318" s="24" t="n"/>
      <c r="D318" s="25" t="n"/>
      <c r="E318" s="26" t="n"/>
      <c r="F318" s="26" t="n"/>
      <c r="G318" s="27">
        <f>IF(C318="","",IFERROR(VLOOKUP(C318,CodeTable,3,0),1))</f>
        <v/>
      </c>
      <c r="H318" s="27">
        <f>IF(C318="","",IF(E318&lt;&gt;"",E318,IF(IFERROR(VLOOKUP(C318,CodeTable,5,0)&amp;"","")="","All",VLOOKUP(C318,CodeTable,5,0)&amp;"")))</f>
        <v/>
      </c>
      <c r="I318" s="28">
        <f>IF(OR(A318="",C318=""),"",A318&amp;"|"&amp;B318&amp;"|"&amp;(COUNTIFS(FlDate,A318,FlShift,B318,FlCode,"&lt;&gt;",FlOrder,"&lt;"&amp;J318)+COUNTIFS(A$6:A318,A318,B$6:B318,B318,C$6:C318,"&lt;&gt;",J$6:J318,J318)))</f>
        <v/>
      </c>
      <c r="J318" s="28">
        <f>IF(C318="","",IF(D318="","zz","t"&amp;D318))</f>
        <v/>
      </c>
      <c r="K318" s="28">
        <f>IF(OR(A318="",C318=""),"",IF(IFERROR(INDEX(DayStat,A318-DATE(PlanYear,1,1)+1)&amp;"","")&lt;&gt;"",0,1))</f>
        <v/>
      </c>
      <c r="L318" s="28">
        <f>IF(K318="","",K318*IFERROR(VLOOKUP(C318,CodeTable,4,0),0))</f>
        <v/>
      </c>
    </row>
    <row r="319">
      <c r="A319" s="22" t="n"/>
      <c r="B319" s="23" t="n"/>
      <c r="C319" s="24" t="n"/>
      <c r="D319" s="25" t="n"/>
      <c r="E319" s="26" t="n"/>
      <c r="F319" s="26" t="n"/>
      <c r="G319" s="27">
        <f>IF(C319="","",IFERROR(VLOOKUP(C319,CodeTable,3,0),1))</f>
        <v/>
      </c>
      <c r="H319" s="27">
        <f>IF(C319="","",IF(E319&lt;&gt;"",E319,IF(IFERROR(VLOOKUP(C319,CodeTable,5,0)&amp;"","")="","All",VLOOKUP(C319,CodeTable,5,0)&amp;"")))</f>
        <v/>
      </c>
      <c r="I319" s="28">
        <f>IF(OR(A319="",C319=""),"",A319&amp;"|"&amp;B319&amp;"|"&amp;(COUNTIFS(FlDate,A319,FlShift,B319,FlCode,"&lt;&gt;",FlOrder,"&lt;"&amp;J319)+COUNTIFS(A$6:A319,A319,B$6:B319,B319,C$6:C319,"&lt;&gt;",J$6:J319,J319)))</f>
        <v/>
      </c>
      <c r="J319" s="28">
        <f>IF(C319="","",IF(D319="","zz","t"&amp;D319))</f>
        <v/>
      </c>
      <c r="K319" s="28">
        <f>IF(OR(A319="",C319=""),"",IF(IFERROR(INDEX(DayStat,A319-DATE(PlanYear,1,1)+1)&amp;"","")&lt;&gt;"",0,1))</f>
        <v/>
      </c>
      <c r="L319" s="28">
        <f>IF(K319="","",K319*IFERROR(VLOOKUP(C319,CodeTable,4,0),0))</f>
        <v/>
      </c>
    </row>
    <row r="320">
      <c r="A320" s="22" t="n"/>
      <c r="B320" s="23" t="n"/>
      <c r="C320" s="24" t="n"/>
      <c r="D320" s="25" t="n"/>
      <c r="E320" s="26" t="n"/>
      <c r="F320" s="26" t="n"/>
      <c r="G320" s="27">
        <f>IF(C320="","",IFERROR(VLOOKUP(C320,CodeTable,3,0),1))</f>
        <v/>
      </c>
      <c r="H320" s="27">
        <f>IF(C320="","",IF(E320&lt;&gt;"",E320,IF(IFERROR(VLOOKUP(C320,CodeTable,5,0)&amp;"","")="","All",VLOOKUP(C320,CodeTable,5,0)&amp;"")))</f>
        <v/>
      </c>
      <c r="I320" s="28">
        <f>IF(OR(A320="",C320=""),"",A320&amp;"|"&amp;B320&amp;"|"&amp;(COUNTIFS(FlDate,A320,FlShift,B320,FlCode,"&lt;&gt;",FlOrder,"&lt;"&amp;J320)+COUNTIFS(A$6:A320,A320,B$6:B320,B320,C$6:C320,"&lt;&gt;",J$6:J320,J320)))</f>
        <v/>
      </c>
      <c r="J320" s="28">
        <f>IF(C320="","",IF(D320="","zz","t"&amp;D320))</f>
        <v/>
      </c>
      <c r="K320" s="28">
        <f>IF(OR(A320="",C320=""),"",IF(IFERROR(INDEX(DayStat,A320-DATE(PlanYear,1,1)+1)&amp;"","")&lt;&gt;"",0,1))</f>
        <v/>
      </c>
      <c r="L320" s="28">
        <f>IF(K320="","",K320*IFERROR(VLOOKUP(C320,CodeTable,4,0),0))</f>
        <v/>
      </c>
    </row>
    <row r="321">
      <c r="A321" s="22" t="n"/>
      <c r="B321" s="23" t="n"/>
      <c r="C321" s="24" t="n"/>
      <c r="D321" s="25" t="n"/>
      <c r="E321" s="26" t="n"/>
      <c r="F321" s="26" t="n"/>
      <c r="G321" s="27">
        <f>IF(C321="","",IFERROR(VLOOKUP(C321,CodeTable,3,0),1))</f>
        <v/>
      </c>
      <c r="H321" s="27">
        <f>IF(C321="","",IF(E321&lt;&gt;"",E321,IF(IFERROR(VLOOKUP(C321,CodeTable,5,0)&amp;"","")="","All",VLOOKUP(C321,CodeTable,5,0)&amp;"")))</f>
        <v/>
      </c>
      <c r="I321" s="28">
        <f>IF(OR(A321="",C321=""),"",A321&amp;"|"&amp;B321&amp;"|"&amp;(COUNTIFS(FlDate,A321,FlShift,B321,FlCode,"&lt;&gt;",FlOrder,"&lt;"&amp;J321)+COUNTIFS(A$6:A321,A321,B$6:B321,B321,C$6:C321,"&lt;&gt;",J$6:J321,J321)))</f>
        <v/>
      </c>
      <c r="J321" s="28">
        <f>IF(C321="","",IF(D321="","zz","t"&amp;D321))</f>
        <v/>
      </c>
      <c r="K321" s="28">
        <f>IF(OR(A321="",C321=""),"",IF(IFERROR(INDEX(DayStat,A321-DATE(PlanYear,1,1)+1)&amp;"","")&lt;&gt;"",0,1))</f>
        <v/>
      </c>
      <c r="L321" s="28">
        <f>IF(K321="","",K321*IFERROR(VLOOKUP(C321,CodeTable,4,0),0))</f>
        <v/>
      </c>
    </row>
    <row r="322">
      <c r="A322" s="22" t="n"/>
      <c r="B322" s="23" t="n"/>
      <c r="C322" s="24" t="n"/>
      <c r="D322" s="25" t="n"/>
      <c r="E322" s="26" t="n"/>
      <c r="F322" s="26" t="n"/>
      <c r="G322" s="27">
        <f>IF(C322="","",IFERROR(VLOOKUP(C322,CodeTable,3,0),1))</f>
        <v/>
      </c>
      <c r="H322" s="27">
        <f>IF(C322="","",IF(E322&lt;&gt;"",E322,IF(IFERROR(VLOOKUP(C322,CodeTable,5,0)&amp;"","")="","All",VLOOKUP(C322,CodeTable,5,0)&amp;"")))</f>
        <v/>
      </c>
      <c r="I322" s="28">
        <f>IF(OR(A322="",C322=""),"",A322&amp;"|"&amp;B322&amp;"|"&amp;(COUNTIFS(FlDate,A322,FlShift,B322,FlCode,"&lt;&gt;",FlOrder,"&lt;"&amp;J322)+COUNTIFS(A$6:A322,A322,B$6:B322,B322,C$6:C322,"&lt;&gt;",J$6:J322,J322)))</f>
        <v/>
      </c>
      <c r="J322" s="28">
        <f>IF(C322="","",IF(D322="","zz","t"&amp;D322))</f>
        <v/>
      </c>
      <c r="K322" s="28">
        <f>IF(OR(A322="",C322=""),"",IF(IFERROR(INDEX(DayStat,A322-DATE(PlanYear,1,1)+1)&amp;"","")&lt;&gt;"",0,1))</f>
        <v/>
      </c>
      <c r="L322" s="28">
        <f>IF(K322="","",K322*IFERROR(VLOOKUP(C322,CodeTable,4,0),0))</f>
        <v/>
      </c>
    </row>
    <row r="323">
      <c r="A323" s="22" t="n"/>
      <c r="B323" s="23" t="n"/>
      <c r="C323" s="24" t="n"/>
      <c r="D323" s="25" t="n"/>
      <c r="E323" s="26" t="n"/>
      <c r="F323" s="26" t="n"/>
      <c r="G323" s="27">
        <f>IF(C323="","",IFERROR(VLOOKUP(C323,CodeTable,3,0),1))</f>
        <v/>
      </c>
      <c r="H323" s="27">
        <f>IF(C323="","",IF(E323&lt;&gt;"",E323,IF(IFERROR(VLOOKUP(C323,CodeTable,5,0)&amp;"","")="","All",VLOOKUP(C323,CodeTable,5,0)&amp;"")))</f>
        <v/>
      </c>
      <c r="I323" s="28">
        <f>IF(OR(A323="",C323=""),"",A323&amp;"|"&amp;B323&amp;"|"&amp;(COUNTIFS(FlDate,A323,FlShift,B323,FlCode,"&lt;&gt;",FlOrder,"&lt;"&amp;J323)+COUNTIFS(A$6:A323,A323,B$6:B323,B323,C$6:C323,"&lt;&gt;",J$6:J323,J323)))</f>
        <v/>
      </c>
      <c r="J323" s="28">
        <f>IF(C323="","",IF(D323="","zz","t"&amp;D323))</f>
        <v/>
      </c>
      <c r="K323" s="28">
        <f>IF(OR(A323="",C323=""),"",IF(IFERROR(INDEX(DayStat,A323-DATE(PlanYear,1,1)+1)&amp;"","")&lt;&gt;"",0,1))</f>
        <v/>
      </c>
      <c r="L323" s="28">
        <f>IF(K323="","",K323*IFERROR(VLOOKUP(C323,CodeTable,4,0),0))</f>
        <v/>
      </c>
    </row>
    <row r="324">
      <c r="A324" s="22" t="n"/>
      <c r="B324" s="23" t="n"/>
      <c r="C324" s="24" t="n"/>
      <c r="D324" s="25" t="n"/>
      <c r="E324" s="26" t="n"/>
      <c r="F324" s="26" t="n"/>
      <c r="G324" s="27">
        <f>IF(C324="","",IFERROR(VLOOKUP(C324,CodeTable,3,0),1))</f>
        <v/>
      </c>
      <c r="H324" s="27">
        <f>IF(C324="","",IF(E324&lt;&gt;"",E324,IF(IFERROR(VLOOKUP(C324,CodeTable,5,0)&amp;"","")="","All",VLOOKUP(C324,CodeTable,5,0)&amp;"")))</f>
        <v/>
      </c>
      <c r="I324" s="28">
        <f>IF(OR(A324="",C324=""),"",A324&amp;"|"&amp;B324&amp;"|"&amp;(COUNTIFS(FlDate,A324,FlShift,B324,FlCode,"&lt;&gt;",FlOrder,"&lt;"&amp;J324)+COUNTIFS(A$6:A324,A324,B$6:B324,B324,C$6:C324,"&lt;&gt;",J$6:J324,J324)))</f>
        <v/>
      </c>
      <c r="J324" s="28">
        <f>IF(C324="","",IF(D324="","zz","t"&amp;D324))</f>
        <v/>
      </c>
      <c r="K324" s="28">
        <f>IF(OR(A324="",C324=""),"",IF(IFERROR(INDEX(DayStat,A324-DATE(PlanYear,1,1)+1)&amp;"","")&lt;&gt;"",0,1))</f>
        <v/>
      </c>
      <c r="L324" s="28">
        <f>IF(K324="","",K324*IFERROR(VLOOKUP(C324,CodeTable,4,0),0))</f>
        <v/>
      </c>
    </row>
    <row r="325">
      <c r="A325" s="22" t="n"/>
      <c r="B325" s="23" t="n"/>
      <c r="C325" s="24" t="n"/>
      <c r="D325" s="25" t="n"/>
      <c r="E325" s="26" t="n"/>
      <c r="F325" s="26" t="n"/>
      <c r="G325" s="27">
        <f>IF(C325="","",IFERROR(VLOOKUP(C325,CodeTable,3,0),1))</f>
        <v/>
      </c>
      <c r="H325" s="27">
        <f>IF(C325="","",IF(E325&lt;&gt;"",E325,IF(IFERROR(VLOOKUP(C325,CodeTable,5,0)&amp;"","")="","All",VLOOKUP(C325,CodeTable,5,0)&amp;"")))</f>
        <v/>
      </c>
      <c r="I325" s="28">
        <f>IF(OR(A325="",C325=""),"",A325&amp;"|"&amp;B325&amp;"|"&amp;(COUNTIFS(FlDate,A325,FlShift,B325,FlCode,"&lt;&gt;",FlOrder,"&lt;"&amp;J325)+COUNTIFS(A$6:A325,A325,B$6:B325,B325,C$6:C325,"&lt;&gt;",J$6:J325,J325)))</f>
        <v/>
      </c>
      <c r="J325" s="28">
        <f>IF(C325="","",IF(D325="","zz","t"&amp;D325))</f>
        <v/>
      </c>
      <c r="K325" s="28">
        <f>IF(OR(A325="",C325=""),"",IF(IFERROR(INDEX(DayStat,A325-DATE(PlanYear,1,1)+1)&amp;"","")&lt;&gt;"",0,1))</f>
        <v/>
      </c>
      <c r="L325" s="28">
        <f>IF(K325="","",K325*IFERROR(VLOOKUP(C325,CodeTable,4,0),0))</f>
        <v/>
      </c>
    </row>
    <row r="326">
      <c r="A326" s="22" t="n"/>
      <c r="B326" s="23" t="n"/>
      <c r="C326" s="24" t="n"/>
      <c r="D326" s="25" t="n"/>
      <c r="E326" s="26" t="n"/>
      <c r="F326" s="26" t="n"/>
      <c r="G326" s="27">
        <f>IF(C326="","",IFERROR(VLOOKUP(C326,CodeTable,3,0),1))</f>
        <v/>
      </c>
      <c r="H326" s="27">
        <f>IF(C326="","",IF(E326&lt;&gt;"",E326,IF(IFERROR(VLOOKUP(C326,CodeTable,5,0)&amp;"","")="","All",VLOOKUP(C326,CodeTable,5,0)&amp;"")))</f>
        <v/>
      </c>
      <c r="I326" s="28">
        <f>IF(OR(A326="",C326=""),"",A326&amp;"|"&amp;B326&amp;"|"&amp;(COUNTIFS(FlDate,A326,FlShift,B326,FlCode,"&lt;&gt;",FlOrder,"&lt;"&amp;J326)+COUNTIFS(A$6:A326,A326,B$6:B326,B326,C$6:C326,"&lt;&gt;",J$6:J326,J326)))</f>
        <v/>
      </c>
      <c r="J326" s="28">
        <f>IF(C326="","",IF(D326="","zz","t"&amp;D326))</f>
        <v/>
      </c>
      <c r="K326" s="28">
        <f>IF(OR(A326="",C326=""),"",IF(IFERROR(INDEX(DayStat,A326-DATE(PlanYear,1,1)+1)&amp;"","")&lt;&gt;"",0,1))</f>
        <v/>
      </c>
      <c r="L326" s="28">
        <f>IF(K326="","",K326*IFERROR(VLOOKUP(C326,CodeTable,4,0),0))</f>
        <v/>
      </c>
    </row>
    <row r="327">
      <c r="A327" s="22" t="n"/>
      <c r="B327" s="23" t="n"/>
      <c r="C327" s="24" t="n"/>
      <c r="D327" s="25" t="n"/>
      <c r="E327" s="26" t="n"/>
      <c r="F327" s="26" t="n"/>
      <c r="G327" s="27">
        <f>IF(C327="","",IFERROR(VLOOKUP(C327,CodeTable,3,0),1))</f>
        <v/>
      </c>
      <c r="H327" s="27">
        <f>IF(C327="","",IF(E327&lt;&gt;"",E327,IF(IFERROR(VLOOKUP(C327,CodeTable,5,0)&amp;"","")="","All",VLOOKUP(C327,CodeTable,5,0)&amp;"")))</f>
        <v/>
      </c>
      <c r="I327" s="28">
        <f>IF(OR(A327="",C327=""),"",A327&amp;"|"&amp;B327&amp;"|"&amp;(COUNTIFS(FlDate,A327,FlShift,B327,FlCode,"&lt;&gt;",FlOrder,"&lt;"&amp;J327)+COUNTIFS(A$6:A327,A327,B$6:B327,B327,C$6:C327,"&lt;&gt;",J$6:J327,J327)))</f>
        <v/>
      </c>
      <c r="J327" s="28">
        <f>IF(C327="","",IF(D327="","zz","t"&amp;D327))</f>
        <v/>
      </c>
      <c r="K327" s="28">
        <f>IF(OR(A327="",C327=""),"",IF(IFERROR(INDEX(DayStat,A327-DATE(PlanYear,1,1)+1)&amp;"","")&lt;&gt;"",0,1))</f>
        <v/>
      </c>
      <c r="L327" s="28">
        <f>IF(K327="","",K327*IFERROR(VLOOKUP(C327,CodeTable,4,0),0))</f>
        <v/>
      </c>
    </row>
    <row r="328">
      <c r="A328" s="22" t="n"/>
      <c r="B328" s="23" t="n"/>
      <c r="C328" s="24" t="n"/>
      <c r="D328" s="25" t="n"/>
      <c r="E328" s="26" t="n"/>
      <c r="F328" s="26" t="n"/>
      <c r="G328" s="27">
        <f>IF(C328="","",IFERROR(VLOOKUP(C328,CodeTable,3,0),1))</f>
        <v/>
      </c>
      <c r="H328" s="27">
        <f>IF(C328="","",IF(E328&lt;&gt;"",E328,IF(IFERROR(VLOOKUP(C328,CodeTable,5,0)&amp;"","")="","All",VLOOKUP(C328,CodeTable,5,0)&amp;"")))</f>
        <v/>
      </c>
      <c r="I328" s="28">
        <f>IF(OR(A328="",C328=""),"",A328&amp;"|"&amp;B328&amp;"|"&amp;(COUNTIFS(FlDate,A328,FlShift,B328,FlCode,"&lt;&gt;",FlOrder,"&lt;"&amp;J328)+COUNTIFS(A$6:A328,A328,B$6:B328,B328,C$6:C328,"&lt;&gt;",J$6:J328,J328)))</f>
        <v/>
      </c>
      <c r="J328" s="28">
        <f>IF(C328="","",IF(D328="","zz","t"&amp;D328))</f>
        <v/>
      </c>
      <c r="K328" s="28">
        <f>IF(OR(A328="",C328=""),"",IF(IFERROR(INDEX(DayStat,A328-DATE(PlanYear,1,1)+1)&amp;"","")&lt;&gt;"",0,1))</f>
        <v/>
      </c>
      <c r="L328" s="28">
        <f>IF(K328="","",K328*IFERROR(VLOOKUP(C328,CodeTable,4,0),0))</f>
        <v/>
      </c>
    </row>
    <row r="329">
      <c r="A329" s="22" t="n"/>
      <c r="B329" s="23" t="n"/>
      <c r="C329" s="24" t="n"/>
      <c r="D329" s="25" t="n"/>
      <c r="E329" s="26" t="n"/>
      <c r="F329" s="26" t="n"/>
      <c r="G329" s="27">
        <f>IF(C329="","",IFERROR(VLOOKUP(C329,CodeTable,3,0),1))</f>
        <v/>
      </c>
      <c r="H329" s="27">
        <f>IF(C329="","",IF(E329&lt;&gt;"",E329,IF(IFERROR(VLOOKUP(C329,CodeTable,5,0)&amp;"","")="","All",VLOOKUP(C329,CodeTable,5,0)&amp;"")))</f>
        <v/>
      </c>
      <c r="I329" s="28">
        <f>IF(OR(A329="",C329=""),"",A329&amp;"|"&amp;B329&amp;"|"&amp;(COUNTIFS(FlDate,A329,FlShift,B329,FlCode,"&lt;&gt;",FlOrder,"&lt;"&amp;J329)+COUNTIFS(A$6:A329,A329,B$6:B329,B329,C$6:C329,"&lt;&gt;",J$6:J329,J329)))</f>
        <v/>
      </c>
      <c r="J329" s="28">
        <f>IF(C329="","",IF(D329="","zz","t"&amp;D329))</f>
        <v/>
      </c>
      <c r="K329" s="28">
        <f>IF(OR(A329="",C329=""),"",IF(IFERROR(INDEX(DayStat,A329-DATE(PlanYear,1,1)+1)&amp;"","")&lt;&gt;"",0,1))</f>
        <v/>
      </c>
      <c r="L329" s="28">
        <f>IF(K329="","",K329*IFERROR(VLOOKUP(C329,CodeTable,4,0),0))</f>
        <v/>
      </c>
    </row>
    <row r="330">
      <c r="A330" s="22" t="n"/>
      <c r="B330" s="23" t="n"/>
      <c r="C330" s="24" t="n"/>
      <c r="D330" s="25" t="n"/>
      <c r="E330" s="26" t="n"/>
      <c r="F330" s="26" t="n"/>
      <c r="G330" s="27">
        <f>IF(C330="","",IFERROR(VLOOKUP(C330,CodeTable,3,0),1))</f>
        <v/>
      </c>
      <c r="H330" s="27">
        <f>IF(C330="","",IF(E330&lt;&gt;"",E330,IF(IFERROR(VLOOKUP(C330,CodeTable,5,0)&amp;"","")="","All",VLOOKUP(C330,CodeTable,5,0)&amp;"")))</f>
        <v/>
      </c>
      <c r="I330" s="28">
        <f>IF(OR(A330="",C330=""),"",A330&amp;"|"&amp;B330&amp;"|"&amp;(COUNTIFS(FlDate,A330,FlShift,B330,FlCode,"&lt;&gt;",FlOrder,"&lt;"&amp;J330)+COUNTIFS(A$6:A330,A330,B$6:B330,B330,C$6:C330,"&lt;&gt;",J$6:J330,J330)))</f>
        <v/>
      </c>
      <c r="J330" s="28">
        <f>IF(C330="","",IF(D330="","zz","t"&amp;D330))</f>
        <v/>
      </c>
      <c r="K330" s="28">
        <f>IF(OR(A330="",C330=""),"",IF(IFERROR(INDEX(DayStat,A330-DATE(PlanYear,1,1)+1)&amp;"","")&lt;&gt;"",0,1))</f>
        <v/>
      </c>
      <c r="L330" s="28">
        <f>IF(K330="","",K330*IFERROR(VLOOKUP(C330,CodeTable,4,0),0))</f>
        <v/>
      </c>
    </row>
    <row r="331">
      <c r="A331" s="22" t="n"/>
      <c r="B331" s="23" t="n"/>
      <c r="C331" s="24" t="n"/>
      <c r="D331" s="25" t="n"/>
      <c r="E331" s="26" t="n"/>
      <c r="F331" s="26" t="n"/>
      <c r="G331" s="27">
        <f>IF(C331="","",IFERROR(VLOOKUP(C331,CodeTable,3,0),1))</f>
        <v/>
      </c>
      <c r="H331" s="27">
        <f>IF(C331="","",IF(E331&lt;&gt;"",E331,IF(IFERROR(VLOOKUP(C331,CodeTable,5,0)&amp;"","")="","All",VLOOKUP(C331,CodeTable,5,0)&amp;"")))</f>
        <v/>
      </c>
      <c r="I331" s="28">
        <f>IF(OR(A331="",C331=""),"",A331&amp;"|"&amp;B331&amp;"|"&amp;(COUNTIFS(FlDate,A331,FlShift,B331,FlCode,"&lt;&gt;",FlOrder,"&lt;"&amp;J331)+COUNTIFS(A$6:A331,A331,B$6:B331,B331,C$6:C331,"&lt;&gt;",J$6:J331,J331)))</f>
        <v/>
      </c>
      <c r="J331" s="28">
        <f>IF(C331="","",IF(D331="","zz","t"&amp;D331))</f>
        <v/>
      </c>
      <c r="K331" s="28">
        <f>IF(OR(A331="",C331=""),"",IF(IFERROR(INDEX(DayStat,A331-DATE(PlanYear,1,1)+1)&amp;"","")&lt;&gt;"",0,1))</f>
        <v/>
      </c>
      <c r="L331" s="28">
        <f>IF(K331="","",K331*IFERROR(VLOOKUP(C331,CodeTable,4,0),0))</f>
        <v/>
      </c>
    </row>
    <row r="332">
      <c r="A332" s="22" t="n"/>
      <c r="B332" s="23" t="n"/>
      <c r="C332" s="24" t="n"/>
      <c r="D332" s="25" t="n"/>
      <c r="E332" s="26" t="n"/>
      <c r="F332" s="26" t="n"/>
      <c r="G332" s="27">
        <f>IF(C332="","",IFERROR(VLOOKUP(C332,CodeTable,3,0),1))</f>
        <v/>
      </c>
      <c r="H332" s="27">
        <f>IF(C332="","",IF(E332&lt;&gt;"",E332,IF(IFERROR(VLOOKUP(C332,CodeTable,5,0)&amp;"","")="","All",VLOOKUP(C332,CodeTable,5,0)&amp;"")))</f>
        <v/>
      </c>
      <c r="I332" s="28">
        <f>IF(OR(A332="",C332=""),"",A332&amp;"|"&amp;B332&amp;"|"&amp;(COUNTIFS(FlDate,A332,FlShift,B332,FlCode,"&lt;&gt;",FlOrder,"&lt;"&amp;J332)+COUNTIFS(A$6:A332,A332,B$6:B332,B332,C$6:C332,"&lt;&gt;",J$6:J332,J332)))</f>
        <v/>
      </c>
      <c r="J332" s="28">
        <f>IF(C332="","",IF(D332="","zz","t"&amp;D332))</f>
        <v/>
      </c>
      <c r="K332" s="28">
        <f>IF(OR(A332="",C332=""),"",IF(IFERROR(INDEX(DayStat,A332-DATE(PlanYear,1,1)+1)&amp;"","")&lt;&gt;"",0,1))</f>
        <v/>
      </c>
      <c r="L332" s="28">
        <f>IF(K332="","",K332*IFERROR(VLOOKUP(C332,CodeTable,4,0),0))</f>
        <v/>
      </c>
    </row>
    <row r="333">
      <c r="A333" s="22" t="n"/>
      <c r="B333" s="23" t="n"/>
      <c r="C333" s="24" t="n"/>
      <c r="D333" s="25" t="n"/>
      <c r="E333" s="26" t="n"/>
      <c r="F333" s="26" t="n"/>
      <c r="G333" s="27">
        <f>IF(C333="","",IFERROR(VLOOKUP(C333,CodeTable,3,0),1))</f>
        <v/>
      </c>
      <c r="H333" s="27">
        <f>IF(C333="","",IF(E333&lt;&gt;"",E333,IF(IFERROR(VLOOKUP(C333,CodeTable,5,0)&amp;"","")="","All",VLOOKUP(C333,CodeTable,5,0)&amp;"")))</f>
        <v/>
      </c>
      <c r="I333" s="28">
        <f>IF(OR(A333="",C333=""),"",A333&amp;"|"&amp;B333&amp;"|"&amp;(COUNTIFS(FlDate,A333,FlShift,B333,FlCode,"&lt;&gt;",FlOrder,"&lt;"&amp;J333)+COUNTIFS(A$6:A333,A333,B$6:B333,B333,C$6:C333,"&lt;&gt;",J$6:J333,J333)))</f>
        <v/>
      </c>
      <c r="J333" s="28">
        <f>IF(C333="","",IF(D333="","zz","t"&amp;D333))</f>
        <v/>
      </c>
      <c r="K333" s="28">
        <f>IF(OR(A333="",C333=""),"",IF(IFERROR(INDEX(DayStat,A333-DATE(PlanYear,1,1)+1)&amp;"","")&lt;&gt;"",0,1))</f>
        <v/>
      </c>
      <c r="L333" s="28">
        <f>IF(K333="","",K333*IFERROR(VLOOKUP(C333,CodeTable,4,0),0))</f>
        <v/>
      </c>
    </row>
    <row r="334">
      <c r="A334" s="22" t="n"/>
      <c r="B334" s="23" t="n"/>
      <c r="C334" s="24" t="n"/>
      <c r="D334" s="25" t="n"/>
      <c r="E334" s="26" t="n"/>
      <c r="F334" s="26" t="n"/>
      <c r="G334" s="27">
        <f>IF(C334="","",IFERROR(VLOOKUP(C334,CodeTable,3,0),1))</f>
        <v/>
      </c>
      <c r="H334" s="27">
        <f>IF(C334="","",IF(E334&lt;&gt;"",E334,IF(IFERROR(VLOOKUP(C334,CodeTable,5,0)&amp;"","")="","All",VLOOKUP(C334,CodeTable,5,0)&amp;"")))</f>
        <v/>
      </c>
      <c r="I334" s="28">
        <f>IF(OR(A334="",C334=""),"",A334&amp;"|"&amp;B334&amp;"|"&amp;(COUNTIFS(FlDate,A334,FlShift,B334,FlCode,"&lt;&gt;",FlOrder,"&lt;"&amp;J334)+COUNTIFS(A$6:A334,A334,B$6:B334,B334,C$6:C334,"&lt;&gt;",J$6:J334,J334)))</f>
        <v/>
      </c>
      <c r="J334" s="28">
        <f>IF(C334="","",IF(D334="","zz","t"&amp;D334))</f>
        <v/>
      </c>
      <c r="K334" s="28">
        <f>IF(OR(A334="",C334=""),"",IF(IFERROR(INDEX(DayStat,A334-DATE(PlanYear,1,1)+1)&amp;"","")&lt;&gt;"",0,1))</f>
        <v/>
      </c>
      <c r="L334" s="28">
        <f>IF(K334="","",K334*IFERROR(VLOOKUP(C334,CodeTable,4,0),0))</f>
        <v/>
      </c>
    </row>
    <row r="335">
      <c r="A335" s="22" t="n"/>
      <c r="B335" s="23" t="n"/>
      <c r="C335" s="24" t="n"/>
      <c r="D335" s="25" t="n"/>
      <c r="E335" s="26" t="n"/>
      <c r="F335" s="26" t="n"/>
      <c r="G335" s="27">
        <f>IF(C335="","",IFERROR(VLOOKUP(C335,CodeTable,3,0),1))</f>
        <v/>
      </c>
      <c r="H335" s="27">
        <f>IF(C335="","",IF(E335&lt;&gt;"",E335,IF(IFERROR(VLOOKUP(C335,CodeTable,5,0)&amp;"","")="","All",VLOOKUP(C335,CodeTable,5,0)&amp;"")))</f>
        <v/>
      </c>
      <c r="I335" s="28">
        <f>IF(OR(A335="",C335=""),"",A335&amp;"|"&amp;B335&amp;"|"&amp;(COUNTIFS(FlDate,A335,FlShift,B335,FlCode,"&lt;&gt;",FlOrder,"&lt;"&amp;J335)+COUNTIFS(A$6:A335,A335,B$6:B335,B335,C$6:C335,"&lt;&gt;",J$6:J335,J335)))</f>
        <v/>
      </c>
      <c r="J335" s="28">
        <f>IF(C335="","",IF(D335="","zz","t"&amp;D335))</f>
        <v/>
      </c>
      <c r="K335" s="28">
        <f>IF(OR(A335="",C335=""),"",IF(IFERROR(INDEX(DayStat,A335-DATE(PlanYear,1,1)+1)&amp;"","")&lt;&gt;"",0,1))</f>
        <v/>
      </c>
      <c r="L335" s="28">
        <f>IF(K335="","",K335*IFERROR(VLOOKUP(C335,CodeTable,4,0),0))</f>
        <v/>
      </c>
    </row>
    <row r="336">
      <c r="A336" s="22" t="n"/>
      <c r="B336" s="23" t="n"/>
      <c r="C336" s="24" t="n"/>
      <c r="D336" s="25" t="n"/>
      <c r="E336" s="26" t="n"/>
      <c r="F336" s="26" t="n"/>
      <c r="G336" s="27">
        <f>IF(C336="","",IFERROR(VLOOKUP(C336,CodeTable,3,0),1))</f>
        <v/>
      </c>
      <c r="H336" s="27">
        <f>IF(C336="","",IF(E336&lt;&gt;"",E336,IF(IFERROR(VLOOKUP(C336,CodeTable,5,0)&amp;"","")="","All",VLOOKUP(C336,CodeTable,5,0)&amp;"")))</f>
        <v/>
      </c>
      <c r="I336" s="28">
        <f>IF(OR(A336="",C336=""),"",A336&amp;"|"&amp;B336&amp;"|"&amp;(COUNTIFS(FlDate,A336,FlShift,B336,FlCode,"&lt;&gt;",FlOrder,"&lt;"&amp;J336)+COUNTIFS(A$6:A336,A336,B$6:B336,B336,C$6:C336,"&lt;&gt;",J$6:J336,J336)))</f>
        <v/>
      </c>
      <c r="J336" s="28">
        <f>IF(C336="","",IF(D336="","zz","t"&amp;D336))</f>
        <v/>
      </c>
      <c r="K336" s="28">
        <f>IF(OR(A336="",C336=""),"",IF(IFERROR(INDEX(DayStat,A336-DATE(PlanYear,1,1)+1)&amp;"","")&lt;&gt;"",0,1))</f>
        <v/>
      </c>
      <c r="L336" s="28">
        <f>IF(K336="","",K336*IFERROR(VLOOKUP(C336,CodeTable,4,0),0))</f>
        <v/>
      </c>
    </row>
    <row r="337">
      <c r="A337" s="22" t="n"/>
      <c r="B337" s="23" t="n"/>
      <c r="C337" s="24" t="n"/>
      <c r="D337" s="25" t="n"/>
      <c r="E337" s="26" t="n"/>
      <c r="F337" s="26" t="n"/>
      <c r="G337" s="27">
        <f>IF(C337="","",IFERROR(VLOOKUP(C337,CodeTable,3,0),1))</f>
        <v/>
      </c>
      <c r="H337" s="27">
        <f>IF(C337="","",IF(E337&lt;&gt;"",E337,IF(IFERROR(VLOOKUP(C337,CodeTable,5,0)&amp;"","")="","All",VLOOKUP(C337,CodeTable,5,0)&amp;"")))</f>
        <v/>
      </c>
      <c r="I337" s="28">
        <f>IF(OR(A337="",C337=""),"",A337&amp;"|"&amp;B337&amp;"|"&amp;(COUNTIFS(FlDate,A337,FlShift,B337,FlCode,"&lt;&gt;",FlOrder,"&lt;"&amp;J337)+COUNTIFS(A$6:A337,A337,B$6:B337,B337,C$6:C337,"&lt;&gt;",J$6:J337,J337)))</f>
        <v/>
      </c>
      <c r="J337" s="28">
        <f>IF(C337="","",IF(D337="","zz","t"&amp;D337))</f>
        <v/>
      </c>
      <c r="K337" s="28">
        <f>IF(OR(A337="",C337=""),"",IF(IFERROR(INDEX(DayStat,A337-DATE(PlanYear,1,1)+1)&amp;"","")&lt;&gt;"",0,1))</f>
        <v/>
      </c>
      <c r="L337" s="28">
        <f>IF(K337="","",K337*IFERROR(VLOOKUP(C337,CodeTable,4,0),0))</f>
        <v/>
      </c>
    </row>
    <row r="338">
      <c r="A338" s="22" t="n"/>
      <c r="B338" s="23" t="n"/>
      <c r="C338" s="24" t="n"/>
      <c r="D338" s="25" t="n"/>
      <c r="E338" s="26" t="n"/>
      <c r="F338" s="26" t="n"/>
      <c r="G338" s="27">
        <f>IF(C338="","",IFERROR(VLOOKUP(C338,CodeTable,3,0),1))</f>
        <v/>
      </c>
      <c r="H338" s="27">
        <f>IF(C338="","",IF(E338&lt;&gt;"",E338,IF(IFERROR(VLOOKUP(C338,CodeTable,5,0)&amp;"","")="","All",VLOOKUP(C338,CodeTable,5,0)&amp;"")))</f>
        <v/>
      </c>
      <c r="I338" s="28">
        <f>IF(OR(A338="",C338=""),"",A338&amp;"|"&amp;B338&amp;"|"&amp;(COUNTIFS(FlDate,A338,FlShift,B338,FlCode,"&lt;&gt;",FlOrder,"&lt;"&amp;J338)+COUNTIFS(A$6:A338,A338,B$6:B338,B338,C$6:C338,"&lt;&gt;",J$6:J338,J338)))</f>
        <v/>
      </c>
      <c r="J338" s="28">
        <f>IF(C338="","",IF(D338="","zz","t"&amp;D338))</f>
        <v/>
      </c>
      <c r="K338" s="28">
        <f>IF(OR(A338="",C338=""),"",IF(IFERROR(INDEX(DayStat,A338-DATE(PlanYear,1,1)+1)&amp;"","")&lt;&gt;"",0,1))</f>
        <v/>
      </c>
      <c r="L338" s="28">
        <f>IF(K338="","",K338*IFERROR(VLOOKUP(C338,CodeTable,4,0),0))</f>
        <v/>
      </c>
    </row>
    <row r="339">
      <c r="A339" s="22" t="n"/>
      <c r="B339" s="23" t="n"/>
      <c r="C339" s="24" t="n"/>
      <c r="D339" s="25" t="n"/>
      <c r="E339" s="26" t="n"/>
      <c r="F339" s="26" t="n"/>
      <c r="G339" s="27">
        <f>IF(C339="","",IFERROR(VLOOKUP(C339,CodeTable,3,0),1))</f>
        <v/>
      </c>
      <c r="H339" s="27">
        <f>IF(C339="","",IF(E339&lt;&gt;"",E339,IF(IFERROR(VLOOKUP(C339,CodeTable,5,0)&amp;"","")="","All",VLOOKUP(C339,CodeTable,5,0)&amp;"")))</f>
        <v/>
      </c>
      <c r="I339" s="28">
        <f>IF(OR(A339="",C339=""),"",A339&amp;"|"&amp;B339&amp;"|"&amp;(COUNTIFS(FlDate,A339,FlShift,B339,FlCode,"&lt;&gt;",FlOrder,"&lt;"&amp;J339)+COUNTIFS(A$6:A339,A339,B$6:B339,B339,C$6:C339,"&lt;&gt;",J$6:J339,J339)))</f>
        <v/>
      </c>
      <c r="J339" s="28">
        <f>IF(C339="","",IF(D339="","zz","t"&amp;D339))</f>
        <v/>
      </c>
      <c r="K339" s="28">
        <f>IF(OR(A339="",C339=""),"",IF(IFERROR(INDEX(DayStat,A339-DATE(PlanYear,1,1)+1)&amp;"","")&lt;&gt;"",0,1))</f>
        <v/>
      </c>
      <c r="L339" s="28">
        <f>IF(K339="","",K339*IFERROR(VLOOKUP(C339,CodeTable,4,0),0))</f>
        <v/>
      </c>
    </row>
    <row r="340">
      <c r="A340" s="22" t="n"/>
      <c r="B340" s="23" t="n"/>
      <c r="C340" s="24" t="n"/>
      <c r="D340" s="25" t="n"/>
      <c r="E340" s="26" t="n"/>
      <c r="F340" s="26" t="n"/>
      <c r="G340" s="27">
        <f>IF(C340="","",IFERROR(VLOOKUP(C340,CodeTable,3,0),1))</f>
        <v/>
      </c>
      <c r="H340" s="27">
        <f>IF(C340="","",IF(E340&lt;&gt;"",E340,IF(IFERROR(VLOOKUP(C340,CodeTable,5,0)&amp;"","")="","All",VLOOKUP(C340,CodeTable,5,0)&amp;"")))</f>
        <v/>
      </c>
      <c r="I340" s="28">
        <f>IF(OR(A340="",C340=""),"",A340&amp;"|"&amp;B340&amp;"|"&amp;(COUNTIFS(FlDate,A340,FlShift,B340,FlCode,"&lt;&gt;",FlOrder,"&lt;"&amp;J340)+COUNTIFS(A$6:A340,A340,B$6:B340,B340,C$6:C340,"&lt;&gt;",J$6:J340,J340)))</f>
        <v/>
      </c>
      <c r="J340" s="28">
        <f>IF(C340="","",IF(D340="","zz","t"&amp;D340))</f>
        <v/>
      </c>
      <c r="K340" s="28">
        <f>IF(OR(A340="",C340=""),"",IF(IFERROR(INDEX(DayStat,A340-DATE(PlanYear,1,1)+1)&amp;"","")&lt;&gt;"",0,1))</f>
        <v/>
      </c>
      <c r="L340" s="28">
        <f>IF(K340="","",K340*IFERROR(VLOOKUP(C340,CodeTable,4,0),0))</f>
        <v/>
      </c>
    </row>
    <row r="341">
      <c r="A341" s="22" t="n"/>
      <c r="B341" s="23" t="n"/>
      <c r="C341" s="24" t="n"/>
      <c r="D341" s="25" t="n"/>
      <c r="E341" s="26" t="n"/>
      <c r="F341" s="26" t="n"/>
      <c r="G341" s="27">
        <f>IF(C341="","",IFERROR(VLOOKUP(C341,CodeTable,3,0),1))</f>
        <v/>
      </c>
      <c r="H341" s="27">
        <f>IF(C341="","",IF(E341&lt;&gt;"",E341,IF(IFERROR(VLOOKUP(C341,CodeTable,5,0)&amp;"","")="","All",VLOOKUP(C341,CodeTable,5,0)&amp;"")))</f>
        <v/>
      </c>
      <c r="I341" s="28">
        <f>IF(OR(A341="",C341=""),"",A341&amp;"|"&amp;B341&amp;"|"&amp;(COUNTIFS(FlDate,A341,FlShift,B341,FlCode,"&lt;&gt;",FlOrder,"&lt;"&amp;J341)+COUNTIFS(A$6:A341,A341,B$6:B341,B341,C$6:C341,"&lt;&gt;",J$6:J341,J341)))</f>
        <v/>
      </c>
      <c r="J341" s="28">
        <f>IF(C341="","",IF(D341="","zz","t"&amp;D341))</f>
        <v/>
      </c>
      <c r="K341" s="28">
        <f>IF(OR(A341="",C341=""),"",IF(IFERROR(INDEX(DayStat,A341-DATE(PlanYear,1,1)+1)&amp;"","")&lt;&gt;"",0,1))</f>
        <v/>
      </c>
      <c r="L341" s="28">
        <f>IF(K341="","",K341*IFERROR(VLOOKUP(C341,CodeTable,4,0),0))</f>
        <v/>
      </c>
    </row>
    <row r="342">
      <c r="A342" s="22" t="n"/>
      <c r="B342" s="23" t="n"/>
      <c r="C342" s="24" t="n"/>
      <c r="D342" s="25" t="n"/>
      <c r="E342" s="26" t="n"/>
      <c r="F342" s="26" t="n"/>
      <c r="G342" s="27">
        <f>IF(C342="","",IFERROR(VLOOKUP(C342,CodeTable,3,0),1))</f>
        <v/>
      </c>
      <c r="H342" s="27">
        <f>IF(C342="","",IF(E342&lt;&gt;"",E342,IF(IFERROR(VLOOKUP(C342,CodeTable,5,0)&amp;"","")="","All",VLOOKUP(C342,CodeTable,5,0)&amp;"")))</f>
        <v/>
      </c>
      <c r="I342" s="28">
        <f>IF(OR(A342="",C342=""),"",A342&amp;"|"&amp;B342&amp;"|"&amp;(COUNTIFS(FlDate,A342,FlShift,B342,FlCode,"&lt;&gt;",FlOrder,"&lt;"&amp;J342)+COUNTIFS(A$6:A342,A342,B$6:B342,B342,C$6:C342,"&lt;&gt;",J$6:J342,J342)))</f>
        <v/>
      </c>
      <c r="J342" s="28">
        <f>IF(C342="","",IF(D342="","zz","t"&amp;D342))</f>
        <v/>
      </c>
      <c r="K342" s="28">
        <f>IF(OR(A342="",C342=""),"",IF(IFERROR(INDEX(DayStat,A342-DATE(PlanYear,1,1)+1)&amp;"","")&lt;&gt;"",0,1))</f>
        <v/>
      </c>
      <c r="L342" s="28">
        <f>IF(K342="","",K342*IFERROR(VLOOKUP(C342,CodeTable,4,0),0))</f>
        <v/>
      </c>
    </row>
    <row r="343">
      <c r="A343" s="22" t="n"/>
      <c r="B343" s="23" t="n"/>
      <c r="C343" s="24" t="n"/>
      <c r="D343" s="25" t="n"/>
      <c r="E343" s="26" t="n"/>
      <c r="F343" s="26" t="n"/>
      <c r="G343" s="27">
        <f>IF(C343="","",IFERROR(VLOOKUP(C343,CodeTable,3,0),1))</f>
        <v/>
      </c>
      <c r="H343" s="27">
        <f>IF(C343="","",IF(E343&lt;&gt;"",E343,IF(IFERROR(VLOOKUP(C343,CodeTable,5,0)&amp;"","")="","All",VLOOKUP(C343,CodeTable,5,0)&amp;"")))</f>
        <v/>
      </c>
      <c r="I343" s="28">
        <f>IF(OR(A343="",C343=""),"",A343&amp;"|"&amp;B343&amp;"|"&amp;(COUNTIFS(FlDate,A343,FlShift,B343,FlCode,"&lt;&gt;",FlOrder,"&lt;"&amp;J343)+COUNTIFS(A$6:A343,A343,B$6:B343,B343,C$6:C343,"&lt;&gt;",J$6:J343,J343)))</f>
        <v/>
      </c>
      <c r="J343" s="28">
        <f>IF(C343="","",IF(D343="","zz","t"&amp;D343))</f>
        <v/>
      </c>
      <c r="K343" s="28">
        <f>IF(OR(A343="",C343=""),"",IF(IFERROR(INDEX(DayStat,A343-DATE(PlanYear,1,1)+1)&amp;"","")&lt;&gt;"",0,1))</f>
        <v/>
      </c>
      <c r="L343" s="28">
        <f>IF(K343="","",K343*IFERROR(VLOOKUP(C343,CodeTable,4,0),0))</f>
        <v/>
      </c>
    </row>
    <row r="344">
      <c r="A344" s="22" t="n"/>
      <c r="B344" s="23" t="n"/>
      <c r="C344" s="24" t="n"/>
      <c r="D344" s="25" t="n"/>
      <c r="E344" s="26" t="n"/>
      <c r="F344" s="26" t="n"/>
      <c r="G344" s="27">
        <f>IF(C344="","",IFERROR(VLOOKUP(C344,CodeTable,3,0),1))</f>
        <v/>
      </c>
      <c r="H344" s="27">
        <f>IF(C344="","",IF(E344&lt;&gt;"",E344,IF(IFERROR(VLOOKUP(C344,CodeTable,5,0)&amp;"","")="","All",VLOOKUP(C344,CodeTable,5,0)&amp;"")))</f>
        <v/>
      </c>
      <c r="I344" s="28">
        <f>IF(OR(A344="",C344=""),"",A344&amp;"|"&amp;B344&amp;"|"&amp;(COUNTIFS(FlDate,A344,FlShift,B344,FlCode,"&lt;&gt;",FlOrder,"&lt;"&amp;J344)+COUNTIFS(A$6:A344,A344,B$6:B344,B344,C$6:C344,"&lt;&gt;",J$6:J344,J344)))</f>
        <v/>
      </c>
      <c r="J344" s="28">
        <f>IF(C344="","",IF(D344="","zz","t"&amp;D344))</f>
        <v/>
      </c>
      <c r="K344" s="28">
        <f>IF(OR(A344="",C344=""),"",IF(IFERROR(INDEX(DayStat,A344-DATE(PlanYear,1,1)+1)&amp;"","")&lt;&gt;"",0,1))</f>
        <v/>
      </c>
      <c r="L344" s="28">
        <f>IF(K344="","",K344*IFERROR(VLOOKUP(C344,CodeTable,4,0),0))</f>
        <v/>
      </c>
    </row>
    <row r="345">
      <c r="A345" s="22" t="n"/>
      <c r="B345" s="23" t="n"/>
      <c r="C345" s="24" t="n"/>
      <c r="D345" s="25" t="n"/>
      <c r="E345" s="26" t="n"/>
      <c r="F345" s="26" t="n"/>
      <c r="G345" s="27">
        <f>IF(C345="","",IFERROR(VLOOKUP(C345,CodeTable,3,0),1))</f>
        <v/>
      </c>
      <c r="H345" s="27">
        <f>IF(C345="","",IF(E345&lt;&gt;"",E345,IF(IFERROR(VLOOKUP(C345,CodeTable,5,0)&amp;"","")="","All",VLOOKUP(C345,CodeTable,5,0)&amp;"")))</f>
        <v/>
      </c>
      <c r="I345" s="28">
        <f>IF(OR(A345="",C345=""),"",A345&amp;"|"&amp;B345&amp;"|"&amp;(COUNTIFS(FlDate,A345,FlShift,B345,FlCode,"&lt;&gt;",FlOrder,"&lt;"&amp;J345)+COUNTIFS(A$6:A345,A345,B$6:B345,B345,C$6:C345,"&lt;&gt;",J$6:J345,J345)))</f>
        <v/>
      </c>
      <c r="J345" s="28">
        <f>IF(C345="","",IF(D345="","zz","t"&amp;D345))</f>
        <v/>
      </c>
      <c r="K345" s="28">
        <f>IF(OR(A345="",C345=""),"",IF(IFERROR(INDEX(DayStat,A345-DATE(PlanYear,1,1)+1)&amp;"","")&lt;&gt;"",0,1))</f>
        <v/>
      </c>
      <c r="L345" s="28">
        <f>IF(K345="","",K345*IFERROR(VLOOKUP(C345,CodeTable,4,0),0))</f>
        <v/>
      </c>
    </row>
    <row r="346">
      <c r="A346" s="22" t="n"/>
      <c r="B346" s="23" t="n"/>
      <c r="C346" s="24" t="n"/>
      <c r="D346" s="25" t="n"/>
      <c r="E346" s="26" t="n"/>
      <c r="F346" s="26" t="n"/>
      <c r="G346" s="27">
        <f>IF(C346="","",IFERROR(VLOOKUP(C346,CodeTable,3,0),1))</f>
        <v/>
      </c>
      <c r="H346" s="27">
        <f>IF(C346="","",IF(E346&lt;&gt;"",E346,IF(IFERROR(VLOOKUP(C346,CodeTable,5,0)&amp;"","")="","All",VLOOKUP(C346,CodeTable,5,0)&amp;"")))</f>
        <v/>
      </c>
      <c r="I346" s="28">
        <f>IF(OR(A346="",C346=""),"",A346&amp;"|"&amp;B346&amp;"|"&amp;(COUNTIFS(FlDate,A346,FlShift,B346,FlCode,"&lt;&gt;",FlOrder,"&lt;"&amp;J346)+COUNTIFS(A$6:A346,A346,B$6:B346,B346,C$6:C346,"&lt;&gt;",J$6:J346,J346)))</f>
        <v/>
      </c>
      <c r="J346" s="28">
        <f>IF(C346="","",IF(D346="","zz","t"&amp;D346))</f>
        <v/>
      </c>
      <c r="K346" s="28">
        <f>IF(OR(A346="",C346=""),"",IF(IFERROR(INDEX(DayStat,A346-DATE(PlanYear,1,1)+1)&amp;"","")&lt;&gt;"",0,1))</f>
        <v/>
      </c>
      <c r="L346" s="28">
        <f>IF(K346="","",K346*IFERROR(VLOOKUP(C346,CodeTable,4,0),0))</f>
        <v/>
      </c>
    </row>
    <row r="347">
      <c r="A347" s="22" t="n"/>
      <c r="B347" s="23" t="n"/>
      <c r="C347" s="24" t="n"/>
      <c r="D347" s="25" t="n"/>
      <c r="E347" s="26" t="n"/>
      <c r="F347" s="26" t="n"/>
      <c r="G347" s="27">
        <f>IF(C347="","",IFERROR(VLOOKUP(C347,CodeTable,3,0),1))</f>
        <v/>
      </c>
      <c r="H347" s="27">
        <f>IF(C347="","",IF(E347&lt;&gt;"",E347,IF(IFERROR(VLOOKUP(C347,CodeTable,5,0)&amp;"","")="","All",VLOOKUP(C347,CodeTable,5,0)&amp;"")))</f>
        <v/>
      </c>
      <c r="I347" s="28">
        <f>IF(OR(A347="",C347=""),"",A347&amp;"|"&amp;B347&amp;"|"&amp;(COUNTIFS(FlDate,A347,FlShift,B347,FlCode,"&lt;&gt;",FlOrder,"&lt;"&amp;J347)+COUNTIFS(A$6:A347,A347,B$6:B347,B347,C$6:C347,"&lt;&gt;",J$6:J347,J347)))</f>
        <v/>
      </c>
      <c r="J347" s="28">
        <f>IF(C347="","",IF(D347="","zz","t"&amp;D347))</f>
        <v/>
      </c>
      <c r="K347" s="28">
        <f>IF(OR(A347="",C347=""),"",IF(IFERROR(INDEX(DayStat,A347-DATE(PlanYear,1,1)+1)&amp;"","")&lt;&gt;"",0,1))</f>
        <v/>
      </c>
      <c r="L347" s="28">
        <f>IF(K347="","",K347*IFERROR(VLOOKUP(C347,CodeTable,4,0),0))</f>
        <v/>
      </c>
    </row>
    <row r="348">
      <c r="A348" s="22" t="n"/>
      <c r="B348" s="23" t="n"/>
      <c r="C348" s="24" t="n"/>
      <c r="D348" s="25" t="n"/>
      <c r="E348" s="26" t="n"/>
      <c r="F348" s="26" t="n"/>
      <c r="G348" s="27">
        <f>IF(C348="","",IFERROR(VLOOKUP(C348,CodeTable,3,0),1))</f>
        <v/>
      </c>
      <c r="H348" s="27">
        <f>IF(C348="","",IF(E348&lt;&gt;"",E348,IF(IFERROR(VLOOKUP(C348,CodeTable,5,0)&amp;"","")="","All",VLOOKUP(C348,CodeTable,5,0)&amp;"")))</f>
        <v/>
      </c>
      <c r="I348" s="28">
        <f>IF(OR(A348="",C348=""),"",A348&amp;"|"&amp;B348&amp;"|"&amp;(COUNTIFS(FlDate,A348,FlShift,B348,FlCode,"&lt;&gt;",FlOrder,"&lt;"&amp;J348)+COUNTIFS(A$6:A348,A348,B$6:B348,B348,C$6:C348,"&lt;&gt;",J$6:J348,J348)))</f>
        <v/>
      </c>
      <c r="J348" s="28">
        <f>IF(C348="","",IF(D348="","zz","t"&amp;D348))</f>
        <v/>
      </c>
      <c r="K348" s="28">
        <f>IF(OR(A348="",C348=""),"",IF(IFERROR(INDEX(DayStat,A348-DATE(PlanYear,1,1)+1)&amp;"","")&lt;&gt;"",0,1))</f>
        <v/>
      </c>
      <c r="L348" s="28">
        <f>IF(K348="","",K348*IFERROR(VLOOKUP(C348,CodeTable,4,0),0))</f>
        <v/>
      </c>
    </row>
    <row r="349">
      <c r="A349" s="22" t="n"/>
      <c r="B349" s="23" t="n"/>
      <c r="C349" s="24" t="n"/>
      <c r="D349" s="25" t="n"/>
      <c r="E349" s="26" t="n"/>
      <c r="F349" s="26" t="n"/>
      <c r="G349" s="27">
        <f>IF(C349="","",IFERROR(VLOOKUP(C349,CodeTable,3,0),1))</f>
        <v/>
      </c>
      <c r="H349" s="27">
        <f>IF(C349="","",IF(E349&lt;&gt;"",E349,IF(IFERROR(VLOOKUP(C349,CodeTable,5,0)&amp;"","")="","All",VLOOKUP(C349,CodeTable,5,0)&amp;"")))</f>
        <v/>
      </c>
      <c r="I349" s="28">
        <f>IF(OR(A349="",C349=""),"",A349&amp;"|"&amp;B349&amp;"|"&amp;(COUNTIFS(FlDate,A349,FlShift,B349,FlCode,"&lt;&gt;",FlOrder,"&lt;"&amp;J349)+COUNTIFS(A$6:A349,A349,B$6:B349,B349,C$6:C349,"&lt;&gt;",J$6:J349,J349)))</f>
        <v/>
      </c>
      <c r="J349" s="28">
        <f>IF(C349="","",IF(D349="","zz","t"&amp;D349))</f>
        <v/>
      </c>
      <c r="K349" s="28">
        <f>IF(OR(A349="",C349=""),"",IF(IFERROR(INDEX(DayStat,A349-DATE(PlanYear,1,1)+1)&amp;"","")&lt;&gt;"",0,1))</f>
        <v/>
      </c>
      <c r="L349" s="28">
        <f>IF(K349="","",K349*IFERROR(VLOOKUP(C349,CodeTable,4,0),0))</f>
        <v/>
      </c>
    </row>
    <row r="350">
      <c r="A350" s="22" t="n"/>
      <c r="B350" s="23" t="n"/>
      <c r="C350" s="24" t="n"/>
      <c r="D350" s="25" t="n"/>
      <c r="E350" s="26" t="n"/>
      <c r="F350" s="26" t="n"/>
      <c r="G350" s="27">
        <f>IF(C350="","",IFERROR(VLOOKUP(C350,CodeTable,3,0),1))</f>
        <v/>
      </c>
      <c r="H350" s="27">
        <f>IF(C350="","",IF(E350&lt;&gt;"",E350,IF(IFERROR(VLOOKUP(C350,CodeTable,5,0)&amp;"","")="","All",VLOOKUP(C350,CodeTable,5,0)&amp;"")))</f>
        <v/>
      </c>
      <c r="I350" s="28">
        <f>IF(OR(A350="",C350=""),"",A350&amp;"|"&amp;B350&amp;"|"&amp;(COUNTIFS(FlDate,A350,FlShift,B350,FlCode,"&lt;&gt;",FlOrder,"&lt;"&amp;J350)+COUNTIFS(A$6:A350,A350,B$6:B350,B350,C$6:C350,"&lt;&gt;",J$6:J350,J350)))</f>
        <v/>
      </c>
      <c r="J350" s="28">
        <f>IF(C350="","",IF(D350="","zz","t"&amp;D350))</f>
        <v/>
      </c>
      <c r="K350" s="28">
        <f>IF(OR(A350="",C350=""),"",IF(IFERROR(INDEX(DayStat,A350-DATE(PlanYear,1,1)+1)&amp;"","")&lt;&gt;"",0,1))</f>
        <v/>
      </c>
      <c r="L350" s="28">
        <f>IF(K350="","",K350*IFERROR(VLOOKUP(C350,CodeTable,4,0),0))</f>
        <v/>
      </c>
    </row>
    <row r="351">
      <c r="A351" s="22" t="n"/>
      <c r="B351" s="23" t="n"/>
      <c r="C351" s="24" t="n"/>
      <c r="D351" s="25" t="n"/>
      <c r="E351" s="26" t="n"/>
      <c r="F351" s="26" t="n"/>
      <c r="G351" s="27">
        <f>IF(C351="","",IFERROR(VLOOKUP(C351,CodeTable,3,0),1))</f>
        <v/>
      </c>
      <c r="H351" s="27">
        <f>IF(C351="","",IF(E351&lt;&gt;"",E351,IF(IFERROR(VLOOKUP(C351,CodeTable,5,0)&amp;"","")="","All",VLOOKUP(C351,CodeTable,5,0)&amp;"")))</f>
        <v/>
      </c>
      <c r="I351" s="28">
        <f>IF(OR(A351="",C351=""),"",A351&amp;"|"&amp;B351&amp;"|"&amp;(COUNTIFS(FlDate,A351,FlShift,B351,FlCode,"&lt;&gt;",FlOrder,"&lt;"&amp;J351)+COUNTIFS(A$6:A351,A351,B$6:B351,B351,C$6:C351,"&lt;&gt;",J$6:J351,J351)))</f>
        <v/>
      </c>
      <c r="J351" s="28">
        <f>IF(C351="","",IF(D351="","zz","t"&amp;D351))</f>
        <v/>
      </c>
      <c r="K351" s="28">
        <f>IF(OR(A351="",C351=""),"",IF(IFERROR(INDEX(DayStat,A351-DATE(PlanYear,1,1)+1)&amp;"","")&lt;&gt;"",0,1))</f>
        <v/>
      </c>
      <c r="L351" s="28">
        <f>IF(K351="","",K351*IFERROR(VLOOKUP(C351,CodeTable,4,0),0))</f>
        <v/>
      </c>
    </row>
    <row r="352">
      <c r="A352" s="22" t="n"/>
      <c r="B352" s="23" t="n"/>
      <c r="C352" s="24" t="n"/>
      <c r="D352" s="25" t="n"/>
      <c r="E352" s="26" t="n"/>
      <c r="F352" s="26" t="n"/>
      <c r="G352" s="27">
        <f>IF(C352="","",IFERROR(VLOOKUP(C352,CodeTable,3,0),1))</f>
        <v/>
      </c>
      <c r="H352" s="27">
        <f>IF(C352="","",IF(E352&lt;&gt;"",E352,IF(IFERROR(VLOOKUP(C352,CodeTable,5,0)&amp;"","")="","All",VLOOKUP(C352,CodeTable,5,0)&amp;"")))</f>
        <v/>
      </c>
      <c r="I352" s="28">
        <f>IF(OR(A352="",C352=""),"",A352&amp;"|"&amp;B352&amp;"|"&amp;(COUNTIFS(FlDate,A352,FlShift,B352,FlCode,"&lt;&gt;",FlOrder,"&lt;"&amp;J352)+COUNTIFS(A$6:A352,A352,B$6:B352,B352,C$6:C352,"&lt;&gt;",J$6:J352,J352)))</f>
        <v/>
      </c>
      <c r="J352" s="28">
        <f>IF(C352="","",IF(D352="","zz","t"&amp;D352))</f>
        <v/>
      </c>
      <c r="K352" s="28">
        <f>IF(OR(A352="",C352=""),"",IF(IFERROR(INDEX(DayStat,A352-DATE(PlanYear,1,1)+1)&amp;"","")&lt;&gt;"",0,1))</f>
        <v/>
      </c>
      <c r="L352" s="28">
        <f>IF(K352="","",K352*IFERROR(VLOOKUP(C352,CodeTable,4,0),0))</f>
        <v/>
      </c>
    </row>
    <row r="353">
      <c r="A353" s="22" t="n"/>
      <c r="B353" s="23" t="n"/>
      <c r="C353" s="24" t="n"/>
      <c r="D353" s="25" t="n"/>
      <c r="E353" s="26" t="n"/>
      <c r="F353" s="26" t="n"/>
      <c r="G353" s="27">
        <f>IF(C353="","",IFERROR(VLOOKUP(C353,CodeTable,3,0),1))</f>
        <v/>
      </c>
      <c r="H353" s="27">
        <f>IF(C353="","",IF(E353&lt;&gt;"",E353,IF(IFERROR(VLOOKUP(C353,CodeTable,5,0)&amp;"","")="","All",VLOOKUP(C353,CodeTable,5,0)&amp;"")))</f>
        <v/>
      </c>
      <c r="I353" s="28">
        <f>IF(OR(A353="",C353=""),"",A353&amp;"|"&amp;B353&amp;"|"&amp;(COUNTIFS(FlDate,A353,FlShift,B353,FlCode,"&lt;&gt;",FlOrder,"&lt;"&amp;J353)+COUNTIFS(A$6:A353,A353,B$6:B353,B353,C$6:C353,"&lt;&gt;",J$6:J353,J353)))</f>
        <v/>
      </c>
      <c r="J353" s="28">
        <f>IF(C353="","",IF(D353="","zz","t"&amp;D353))</f>
        <v/>
      </c>
      <c r="K353" s="28">
        <f>IF(OR(A353="",C353=""),"",IF(IFERROR(INDEX(DayStat,A353-DATE(PlanYear,1,1)+1)&amp;"","")&lt;&gt;"",0,1))</f>
        <v/>
      </c>
      <c r="L353" s="28">
        <f>IF(K353="","",K353*IFERROR(VLOOKUP(C353,CodeTable,4,0),0))</f>
        <v/>
      </c>
    </row>
    <row r="354">
      <c r="A354" s="22" t="n"/>
      <c r="B354" s="23" t="n"/>
      <c r="C354" s="24" t="n"/>
      <c r="D354" s="25" t="n"/>
      <c r="E354" s="26" t="n"/>
      <c r="F354" s="26" t="n"/>
      <c r="G354" s="27">
        <f>IF(C354="","",IFERROR(VLOOKUP(C354,CodeTable,3,0),1))</f>
        <v/>
      </c>
      <c r="H354" s="27">
        <f>IF(C354="","",IF(E354&lt;&gt;"",E354,IF(IFERROR(VLOOKUP(C354,CodeTable,5,0)&amp;"","")="","All",VLOOKUP(C354,CodeTable,5,0)&amp;"")))</f>
        <v/>
      </c>
      <c r="I354" s="28">
        <f>IF(OR(A354="",C354=""),"",A354&amp;"|"&amp;B354&amp;"|"&amp;(COUNTIFS(FlDate,A354,FlShift,B354,FlCode,"&lt;&gt;",FlOrder,"&lt;"&amp;J354)+COUNTIFS(A$6:A354,A354,B$6:B354,B354,C$6:C354,"&lt;&gt;",J$6:J354,J354)))</f>
        <v/>
      </c>
      <c r="J354" s="28">
        <f>IF(C354="","",IF(D354="","zz","t"&amp;D354))</f>
        <v/>
      </c>
      <c r="K354" s="28">
        <f>IF(OR(A354="",C354=""),"",IF(IFERROR(INDEX(DayStat,A354-DATE(PlanYear,1,1)+1)&amp;"","")&lt;&gt;"",0,1))</f>
        <v/>
      </c>
      <c r="L354" s="28">
        <f>IF(K354="","",K354*IFERROR(VLOOKUP(C354,CodeTable,4,0),0))</f>
        <v/>
      </c>
    </row>
    <row r="355">
      <c r="A355" s="22" t="n"/>
      <c r="B355" s="23" t="n"/>
      <c r="C355" s="24" t="n"/>
      <c r="D355" s="25" t="n"/>
      <c r="E355" s="26" t="n"/>
      <c r="F355" s="26" t="n"/>
      <c r="G355" s="27">
        <f>IF(C355="","",IFERROR(VLOOKUP(C355,CodeTable,3,0),1))</f>
        <v/>
      </c>
      <c r="H355" s="27">
        <f>IF(C355="","",IF(E355&lt;&gt;"",E355,IF(IFERROR(VLOOKUP(C355,CodeTable,5,0)&amp;"","")="","All",VLOOKUP(C355,CodeTable,5,0)&amp;"")))</f>
        <v/>
      </c>
      <c r="I355" s="28">
        <f>IF(OR(A355="",C355=""),"",A355&amp;"|"&amp;B355&amp;"|"&amp;(COUNTIFS(FlDate,A355,FlShift,B355,FlCode,"&lt;&gt;",FlOrder,"&lt;"&amp;J355)+COUNTIFS(A$6:A355,A355,B$6:B355,B355,C$6:C355,"&lt;&gt;",J$6:J355,J355)))</f>
        <v/>
      </c>
      <c r="J355" s="28">
        <f>IF(C355="","",IF(D355="","zz","t"&amp;D355))</f>
        <v/>
      </c>
      <c r="K355" s="28">
        <f>IF(OR(A355="",C355=""),"",IF(IFERROR(INDEX(DayStat,A355-DATE(PlanYear,1,1)+1)&amp;"","")&lt;&gt;"",0,1))</f>
        <v/>
      </c>
      <c r="L355" s="28">
        <f>IF(K355="","",K355*IFERROR(VLOOKUP(C355,CodeTable,4,0),0))</f>
        <v/>
      </c>
    </row>
    <row r="356">
      <c r="A356" s="22" t="n"/>
      <c r="B356" s="23" t="n"/>
      <c r="C356" s="24" t="n"/>
      <c r="D356" s="25" t="n"/>
      <c r="E356" s="26" t="n"/>
      <c r="F356" s="26" t="n"/>
      <c r="G356" s="27">
        <f>IF(C356="","",IFERROR(VLOOKUP(C356,CodeTable,3,0),1))</f>
        <v/>
      </c>
      <c r="H356" s="27">
        <f>IF(C356="","",IF(E356&lt;&gt;"",E356,IF(IFERROR(VLOOKUP(C356,CodeTable,5,0)&amp;"","")="","All",VLOOKUP(C356,CodeTable,5,0)&amp;"")))</f>
        <v/>
      </c>
      <c r="I356" s="28">
        <f>IF(OR(A356="",C356=""),"",A356&amp;"|"&amp;B356&amp;"|"&amp;(COUNTIFS(FlDate,A356,FlShift,B356,FlCode,"&lt;&gt;",FlOrder,"&lt;"&amp;J356)+COUNTIFS(A$6:A356,A356,B$6:B356,B356,C$6:C356,"&lt;&gt;",J$6:J356,J356)))</f>
        <v/>
      </c>
      <c r="J356" s="28">
        <f>IF(C356="","",IF(D356="","zz","t"&amp;D356))</f>
        <v/>
      </c>
      <c r="K356" s="28">
        <f>IF(OR(A356="",C356=""),"",IF(IFERROR(INDEX(DayStat,A356-DATE(PlanYear,1,1)+1)&amp;"","")&lt;&gt;"",0,1))</f>
        <v/>
      </c>
      <c r="L356" s="28">
        <f>IF(K356="","",K356*IFERROR(VLOOKUP(C356,CodeTable,4,0),0))</f>
        <v/>
      </c>
    </row>
    <row r="357">
      <c r="A357" s="22" t="n"/>
      <c r="B357" s="23" t="n"/>
      <c r="C357" s="24" t="n"/>
      <c r="D357" s="25" t="n"/>
      <c r="E357" s="26" t="n"/>
      <c r="F357" s="26" t="n"/>
      <c r="G357" s="27">
        <f>IF(C357="","",IFERROR(VLOOKUP(C357,CodeTable,3,0),1))</f>
        <v/>
      </c>
      <c r="H357" s="27">
        <f>IF(C357="","",IF(E357&lt;&gt;"",E357,IF(IFERROR(VLOOKUP(C357,CodeTable,5,0)&amp;"","")="","All",VLOOKUP(C357,CodeTable,5,0)&amp;"")))</f>
        <v/>
      </c>
      <c r="I357" s="28">
        <f>IF(OR(A357="",C357=""),"",A357&amp;"|"&amp;B357&amp;"|"&amp;(COUNTIFS(FlDate,A357,FlShift,B357,FlCode,"&lt;&gt;",FlOrder,"&lt;"&amp;J357)+COUNTIFS(A$6:A357,A357,B$6:B357,B357,C$6:C357,"&lt;&gt;",J$6:J357,J357)))</f>
        <v/>
      </c>
      <c r="J357" s="28">
        <f>IF(C357="","",IF(D357="","zz","t"&amp;D357))</f>
        <v/>
      </c>
      <c r="K357" s="28">
        <f>IF(OR(A357="",C357=""),"",IF(IFERROR(INDEX(DayStat,A357-DATE(PlanYear,1,1)+1)&amp;"","")&lt;&gt;"",0,1))</f>
        <v/>
      </c>
      <c r="L357" s="28">
        <f>IF(K357="","",K357*IFERROR(VLOOKUP(C357,CodeTable,4,0),0))</f>
        <v/>
      </c>
    </row>
    <row r="358">
      <c r="A358" s="22" t="n"/>
      <c r="B358" s="23" t="n"/>
      <c r="C358" s="24" t="n"/>
      <c r="D358" s="25" t="n"/>
      <c r="E358" s="26" t="n"/>
      <c r="F358" s="26" t="n"/>
      <c r="G358" s="27">
        <f>IF(C358="","",IFERROR(VLOOKUP(C358,CodeTable,3,0),1))</f>
        <v/>
      </c>
      <c r="H358" s="27">
        <f>IF(C358="","",IF(E358&lt;&gt;"",E358,IF(IFERROR(VLOOKUP(C358,CodeTable,5,0)&amp;"","")="","All",VLOOKUP(C358,CodeTable,5,0)&amp;"")))</f>
        <v/>
      </c>
      <c r="I358" s="28">
        <f>IF(OR(A358="",C358=""),"",A358&amp;"|"&amp;B358&amp;"|"&amp;(COUNTIFS(FlDate,A358,FlShift,B358,FlCode,"&lt;&gt;",FlOrder,"&lt;"&amp;J358)+COUNTIFS(A$6:A358,A358,B$6:B358,B358,C$6:C358,"&lt;&gt;",J$6:J358,J358)))</f>
        <v/>
      </c>
      <c r="J358" s="28">
        <f>IF(C358="","",IF(D358="","zz","t"&amp;D358))</f>
        <v/>
      </c>
      <c r="K358" s="28">
        <f>IF(OR(A358="",C358=""),"",IF(IFERROR(INDEX(DayStat,A358-DATE(PlanYear,1,1)+1)&amp;"","")&lt;&gt;"",0,1))</f>
        <v/>
      </c>
      <c r="L358" s="28">
        <f>IF(K358="","",K358*IFERROR(VLOOKUP(C358,CodeTable,4,0),0))</f>
        <v/>
      </c>
    </row>
    <row r="359">
      <c r="A359" s="22" t="n"/>
      <c r="B359" s="23" t="n"/>
      <c r="C359" s="24" t="n"/>
      <c r="D359" s="25" t="n"/>
      <c r="E359" s="26" t="n"/>
      <c r="F359" s="26" t="n"/>
      <c r="G359" s="27">
        <f>IF(C359="","",IFERROR(VLOOKUP(C359,CodeTable,3,0),1))</f>
        <v/>
      </c>
      <c r="H359" s="27">
        <f>IF(C359="","",IF(E359&lt;&gt;"",E359,IF(IFERROR(VLOOKUP(C359,CodeTable,5,0)&amp;"","")="","All",VLOOKUP(C359,CodeTable,5,0)&amp;"")))</f>
        <v/>
      </c>
      <c r="I359" s="28">
        <f>IF(OR(A359="",C359=""),"",A359&amp;"|"&amp;B359&amp;"|"&amp;(COUNTIFS(FlDate,A359,FlShift,B359,FlCode,"&lt;&gt;",FlOrder,"&lt;"&amp;J359)+COUNTIFS(A$6:A359,A359,B$6:B359,B359,C$6:C359,"&lt;&gt;",J$6:J359,J359)))</f>
        <v/>
      </c>
      <c r="J359" s="28">
        <f>IF(C359="","",IF(D359="","zz","t"&amp;D359))</f>
        <v/>
      </c>
      <c r="K359" s="28">
        <f>IF(OR(A359="",C359=""),"",IF(IFERROR(INDEX(DayStat,A359-DATE(PlanYear,1,1)+1)&amp;"","")&lt;&gt;"",0,1))</f>
        <v/>
      </c>
      <c r="L359" s="28">
        <f>IF(K359="","",K359*IFERROR(VLOOKUP(C359,CodeTable,4,0),0))</f>
        <v/>
      </c>
    </row>
    <row r="360">
      <c r="A360" s="22" t="n"/>
      <c r="B360" s="23" t="n"/>
      <c r="C360" s="24" t="n"/>
      <c r="D360" s="25" t="n"/>
      <c r="E360" s="26" t="n"/>
      <c r="F360" s="26" t="n"/>
      <c r="G360" s="27">
        <f>IF(C360="","",IFERROR(VLOOKUP(C360,CodeTable,3,0),1))</f>
        <v/>
      </c>
      <c r="H360" s="27">
        <f>IF(C360="","",IF(E360&lt;&gt;"",E360,IF(IFERROR(VLOOKUP(C360,CodeTable,5,0)&amp;"","")="","All",VLOOKUP(C360,CodeTable,5,0)&amp;"")))</f>
        <v/>
      </c>
      <c r="I360" s="28">
        <f>IF(OR(A360="",C360=""),"",A360&amp;"|"&amp;B360&amp;"|"&amp;(COUNTIFS(FlDate,A360,FlShift,B360,FlCode,"&lt;&gt;",FlOrder,"&lt;"&amp;J360)+COUNTIFS(A$6:A360,A360,B$6:B360,B360,C$6:C360,"&lt;&gt;",J$6:J360,J360)))</f>
        <v/>
      </c>
      <c r="J360" s="28">
        <f>IF(C360="","",IF(D360="","zz","t"&amp;D360))</f>
        <v/>
      </c>
      <c r="K360" s="28">
        <f>IF(OR(A360="",C360=""),"",IF(IFERROR(INDEX(DayStat,A360-DATE(PlanYear,1,1)+1)&amp;"","")&lt;&gt;"",0,1))</f>
        <v/>
      </c>
      <c r="L360" s="28">
        <f>IF(K360="","",K360*IFERROR(VLOOKUP(C360,CodeTable,4,0),0))</f>
        <v/>
      </c>
    </row>
    <row r="361">
      <c r="A361" s="22" t="n"/>
      <c r="B361" s="23" t="n"/>
      <c r="C361" s="24" t="n"/>
      <c r="D361" s="25" t="n"/>
      <c r="E361" s="26" t="n"/>
      <c r="F361" s="26" t="n"/>
      <c r="G361" s="27">
        <f>IF(C361="","",IFERROR(VLOOKUP(C361,CodeTable,3,0),1))</f>
        <v/>
      </c>
      <c r="H361" s="27">
        <f>IF(C361="","",IF(E361&lt;&gt;"",E361,IF(IFERROR(VLOOKUP(C361,CodeTable,5,0)&amp;"","")="","All",VLOOKUP(C361,CodeTable,5,0)&amp;"")))</f>
        <v/>
      </c>
      <c r="I361" s="28">
        <f>IF(OR(A361="",C361=""),"",A361&amp;"|"&amp;B361&amp;"|"&amp;(COUNTIFS(FlDate,A361,FlShift,B361,FlCode,"&lt;&gt;",FlOrder,"&lt;"&amp;J361)+COUNTIFS(A$6:A361,A361,B$6:B361,B361,C$6:C361,"&lt;&gt;",J$6:J361,J361)))</f>
        <v/>
      </c>
      <c r="J361" s="28">
        <f>IF(C361="","",IF(D361="","zz","t"&amp;D361))</f>
        <v/>
      </c>
      <c r="K361" s="28">
        <f>IF(OR(A361="",C361=""),"",IF(IFERROR(INDEX(DayStat,A361-DATE(PlanYear,1,1)+1)&amp;"","")&lt;&gt;"",0,1))</f>
        <v/>
      </c>
      <c r="L361" s="28">
        <f>IF(K361="","",K361*IFERROR(VLOOKUP(C361,CodeTable,4,0),0))</f>
        <v/>
      </c>
    </row>
    <row r="362">
      <c r="A362" s="22" t="n"/>
      <c r="B362" s="23" t="n"/>
      <c r="C362" s="24" t="n"/>
      <c r="D362" s="25" t="n"/>
      <c r="E362" s="26" t="n"/>
      <c r="F362" s="26" t="n"/>
      <c r="G362" s="27">
        <f>IF(C362="","",IFERROR(VLOOKUP(C362,CodeTable,3,0),1))</f>
        <v/>
      </c>
      <c r="H362" s="27">
        <f>IF(C362="","",IF(E362&lt;&gt;"",E362,IF(IFERROR(VLOOKUP(C362,CodeTable,5,0)&amp;"","")="","All",VLOOKUP(C362,CodeTable,5,0)&amp;"")))</f>
        <v/>
      </c>
      <c r="I362" s="28">
        <f>IF(OR(A362="",C362=""),"",A362&amp;"|"&amp;B362&amp;"|"&amp;(COUNTIFS(FlDate,A362,FlShift,B362,FlCode,"&lt;&gt;",FlOrder,"&lt;"&amp;J362)+COUNTIFS(A$6:A362,A362,B$6:B362,B362,C$6:C362,"&lt;&gt;",J$6:J362,J362)))</f>
        <v/>
      </c>
      <c r="J362" s="28">
        <f>IF(C362="","",IF(D362="","zz","t"&amp;D362))</f>
        <v/>
      </c>
      <c r="K362" s="28">
        <f>IF(OR(A362="",C362=""),"",IF(IFERROR(INDEX(DayStat,A362-DATE(PlanYear,1,1)+1)&amp;"","")&lt;&gt;"",0,1))</f>
        <v/>
      </c>
      <c r="L362" s="28">
        <f>IF(K362="","",K362*IFERROR(VLOOKUP(C362,CodeTable,4,0),0))</f>
        <v/>
      </c>
    </row>
    <row r="363">
      <c r="A363" s="22" t="n"/>
      <c r="B363" s="23" t="n"/>
      <c r="C363" s="24" t="n"/>
      <c r="D363" s="25" t="n"/>
      <c r="E363" s="26" t="n"/>
      <c r="F363" s="26" t="n"/>
      <c r="G363" s="27">
        <f>IF(C363="","",IFERROR(VLOOKUP(C363,CodeTable,3,0),1))</f>
        <v/>
      </c>
      <c r="H363" s="27">
        <f>IF(C363="","",IF(E363&lt;&gt;"",E363,IF(IFERROR(VLOOKUP(C363,CodeTable,5,0)&amp;"","")="","All",VLOOKUP(C363,CodeTable,5,0)&amp;"")))</f>
        <v/>
      </c>
      <c r="I363" s="28">
        <f>IF(OR(A363="",C363=""),"",A363&amp;"|"&amp;B363&amp;"|"&amp;(COUNTIFS(FlDate,A363,FlShift,B363,FlCode,"&lt;&gt;",FlOrder,"&lt;"&amp;J363)+COUNTIFS(A$6:A363,A363,B$6:B363,B363,C$6:C363,"&lt;&gt;",J$6:J363,J363)))</f>
        <v/>
      </c>
      <c r="J363" s="28">
        <f>IF(C363="","",IF(D363="","zz","t"&amp;D363))</f>
        <v/>
      </c>
      <c r="K363" s="28">
        <f>IF(OR(A363="",C363=""),"",IF(IFERROR(INDEX(DayStat,A363-DATE(PlanYear,1,1)+1)&amp;"","")&lt;&gt;"",0,1))</f>
        <v/>
      </c>
      <c r="L363" s="28">
        <f>IF(K363="","",K363*IFERROR(VLOOKUP(C363,CodeTable,4,0),0))</f>
        <v/>
      </c>
    </row>
    <row r="364">
      <c r="A364" s="22" t="n"/>
      <c r="B364" s="23" t="n"/>
      <c r="C364" s="24" t="n"/>
      <c r="D364" s="25" t="n"/>
      <c r="E364" s="26" t="n"/>
      <c r="F364" s="26" t="n"/>
      <c r="G364" s="27">
        <f>IF(C364="","",IFERROR(VLOOKUP(C364,CodeTable,3,0),1))</f>
        <v/>
      </c>
      <c r="H364" s="27">
        <f>IF(C364="","",IF(E364&lt;&gt;"",E364,IF(IFERROR(VLOOKUP(C364,CodeTable,5,0)&amp;"","")="","All",VLOOKUP(C364,CodeTable,5,0)&amp;"")))</f>
        <v/>
      </c>
      <c r="I364" s="28">
        <f>IF(OR(A364="",C364=""),"",A364&amp;"|"&amp;B364&amp;"|"&amp;(COUNTIFS(FlDate,A364,FlShift,B364,FlCode,"&lt;&gt;",FlOrder,"&lt;"&amp;J364)+COUNTIFS(A$6:A364,A364,B$6:B364,B364,C$6:C364,"&lt;&gt;",J$6:J364,J364)))</f>
        <v/>
      </c>
      <c r="J364" s="28">
        <f>IF(C364="","",IF(D364="","zz","t"&amp;D364))</f>
        <v/>
      </c>
      <c r="K364" s="28">
        <f>IF(OR(A364="",C364=""),"",IF(IFERROR(INDEX(DayStat,A364-DATE(PlanYear,1,1)+1)&amp;"","")&lt;&gt;"",0,1))</f>
        <v/>
      </c>
      <c r="L364" s="28">
        <f>IF(K364="","",K364*IFERROR(VLOOKUP(C364,CodeTable,4,0),0))</f>
        <v/>
      </c>
    </row>
    <row r="365">
      <c r="A365" s="22" t="n"/>
      <c r="B365" s="23" t="n"/>
      <c r="C365" s="24" t="n"/>
      <c r="D365" s="25" t="n"/>
      <c r="E365" s="26" t="n"/>
      <c r="F365" s="26" t="n"/>
      <c r="G365" s="27">
        <f>IF(C365="","",IFERROR(VLOOKUP(C365,CodeTable,3,0),1))</f>
        <v/>
      </c>
      <c r="H365" s="27">
        <f>IF(C365="","",IF(E365&lt;&gt;"",E365,IF(IFERROR(VLOOKUP(C365,CodeTable,5,0)&amp;"","")="","All",VLOOKUP(C365,CodeTable,5,0)&amp;"")))</f>
        <v/>
      </c>
      <c r="I365" s="28">
        <f>IF(OR(A365="",C365=""),"",A365&amp;"|"&amp;B365&amp;"|"&amp;(COUNTIFS(FlDate,A365,FlShift,B365,FlCode,"&lt;&gt;",FlOrder,"&lt;"&amp;J365)+COUNTIFS(A$6:A365,A365,B$6:B365,B365,C$6:C365,"&lt;&gt;",J$6:J365,J365)))</f>
        <v/>
      </c>
      <c r="J365" s="28">
        <f>IF(C365="","",IF(D365="","zz","t"&amp;D365))</f>
        <v/>
      </c>
      <c r="K365" s="28">
        <f>IF(OR(A365="",C365=""),"",IF(IFERROR(INDEX(DayStat,A365-DATE(PlanYear,1,1)+1)&amp;"","")&lt;&gt;"",0,1))</f>
        <v/>
      </c>
      <c r="L365" s="28">
        <f>IF(K365="","",K365*IFERROR(VLOOKUP(C365,CodeTable,4,0),0))</f>
        <v/>
      </c>
    </row>
    <row r="366">
      <c r="A366" s="22" t="n"/>
      <c r="B366" s="23" t="n"/>
      <c r="C366" s="24" t="n"/>
      <c r="D366" s="25" t="n"/>
      <c r="E366" s="26" t="n"/>
      <c r="F366" s="26" t="n"/>
      <c r="G366" s="27">
        <f>IF(C366="","",IFERROR(VLOOKUP(C366,CodeTable,3,0),1))</f>
        <v/>
      </c>
      <c r="H366" s="27">
        <f>IF(C366="","",IF(E366&lt;&gt;"",E366,IF(IFERROR(VLOOKUP(C366,CodeTable,5,0)&amp;"","")="","All",VLOOKUP(C366,CodeTable,5,0)&amp;"")))</f>
        <v/>
      </c>
      <c r="I366" s="28">
        <f>IF(OR(A366="",C366=""),"",A366&amp;"|"&amp;B366&amp;"|"&amp;(COUNTIFS(FlDate,A366,FlShift,B366,FlCode,"&lt;&gt;",FlOrder,"&lt;"&amp;J366)+COUNTIFS(A$6:A366,A366,B$6:B366,B366,C$6:C366,"&lt;&gt;",J$6:J366,J366)))</f>
        <v/>
      </c>
      <c r="J366" s="28">
        <f>IF(C366="","",IF(D366="","zz","t"&amp;D366))</f>
        <v/>
      </c>
      <c r="K366" s="28">
        <f>IF(OR(A366="",C366=""),"",IF(IFERROR(INDEX(DayStat,A366-DATE(PlanYear,1,1)+1)&amp;"","")&lt;&gt;"",0,1))</f>
        <v/>
      </c>
      <c r="L366" s="28">
        <f>IF(K366="","",K366*IFERROR(VLOOKUP(C366,CodeTable,4,0),0))</f>
        <v/>
      </c>
    </row>
    <row r="367">
      <c r="A367" s="22" t="n"/>
      <c r="B367" s="23" t="n"/>
      <c r="C367" s="24" t="n"/>
      <c r="D367" s="25" t="n"/>
      <c r="E367" s="26" t="n"/>
      <c r="F367" s="26" t="n"/>
      <c r="G367" s="27">
        <f>IF(C367="","",IFERROR(VLOOKUP(C367,CodeTable,3,0),1))</f>
        <v/>
      </c>
      <c r="H367" s="27">
        <f>IF(C367="","",IF(E367&lt;&gt;"",E367,IF(IFERROR(VLOOKUP(C367,CodeTable,5,0)&amp;"","")="","All",VLOOKUP(C367,CodeTable,5,0)&amp;"")))</f>
        <v/>
      </c>
      <c r="I367" s="28">
        <f>IF(OR(A367="",C367=""),"",A367&amp;"|"&amp;B367&amp;"|"&amp;(COUNTIFS(FlDate,A367,FlShift,B367,FlCode,"&lt;&gt;",FlOrder,"&lt;"&amp;J367)+COUNTIFS(A$6:A367,A367,B$6:B367,B367,C$6:C367,"&lt;&gt;",J$6:J367,J367)))</f>
        <v/>
      </c>
      <c r="J367" s="28">
        <f>IF(C367="","",IF(D367="","zz","t"&amp;D367))</f>
        <v/>
      </c>
      <c r="K367" s="28">
        <f>IF(OR(A367="",C367=""),"",IF(IFERROR(INDEX(DayStat,A367-DATE(PlanYear,1,1)+1)&amp;"","")&lt;&gt;"",0,1))</f>
        <v/>
      </c>
      <c r="L367" s="28">
        <f>IF(K367="","",K367*IFERROR(VLOOKUP(C367,CodeTable,4,0),0))</f>
        <v/>
      </c>
    </row>
    <row r="368">
      <c r="A368" s="22" t="n"/>
      <c r="B368" s="23" t="n"/>
      <c r="C368" s="24" t="n"/>
      <c r="D368" s="25" t="n"/>
      <c r="E368" s="26" t="n"/>
      <c r="F368" s="26" t="n"/>
      <c r="G368" s="27">
        <f>IF(C368="","",IFERROR(VLOOKUP(C368,CodeTable,3,0),1))</f>
        <v/>
      </c>
      <c r="H368" s="27">
        <f>IF(C368="","",IF(E368&lt;&gt;"",E368,IF(IFERROR(VLOOKUP(C368,CodeTable,5,0)&amp;"","")="","All",VLOOKUP(C368,CodeTable,5,0)&amp;"")))</f>
        <v/>
      </c>
      <c r="I368" s="28">
        <f>IF(OR(A368="",C368=""),"",A368&amp;"|"&amp;B368&amp;"|"&amp;(COUNTIFS(FlDate,A368,FlShift,B368,FlCode,"&lt;&gt;",FlOrder,"&lt;"&amp;J368)+COUNTIFS(A$6:A368,A368,B$6:B368,B368,C$6:C368,"&lt;&gt;",J$6:J368,J368)))</f>
        <v/>
      </c>
      <c r="J368" s="28">
        <f>IF(C368="","",IF(D368="","zz","t"&amp;D368))</f>
        <v/>
      </c>
      <c r="K368" s="28">
        <f>IF(OR(A368="",C368=""),"",IF(IFERROR(INDEX(DayStat,A368-DATE(PlanYear,1,1)+1)&amp;"","")&lt;&gt;"",0,1))</f>
        <v/>
      </c>
      <c r="L368" s="28">
        <f>IF(K368="","",K368*IFERROR(VLOOKUP(C368,CodeTable,4,0),0))</f>
        <v/>
      </c>
    </row>
    <row r="369">
      <c r="A369" s="22" t="n"/>
      <c r="B369" s="23" t="n"/>
      <c r="C369" s="24" t="n"/>
      <c r="D369" s="25" t="n"/>
      <c r="E369" s="26" t="n"/>
      <c r="F369" s="26" t="n"/>
      <c r="G369" s="27">
        <f>IF(C369="","",IFERROR(VLOOKUP(C369,CodeTable,3,0),1))</f>
        <v/>
      </c>
      <c r="H369" s="27">
        <f>IF(C369="","",IF(E369&lt;&gt;"",E369,IF(IFERROR(VLOOKUP(C369,CodeTable,5,0)&amp;"","")="","All",VLOOKUP(C369,CodeTable,5,0)&amp;"")))</f>
        <v/>
      </c>
      <c r="I369" s="28">
        <f>IF(OR(A369="",C369=""),"",A369&amp;"|"&amp;B369&amp;"|"&amp;(COUNTIFS(FlDate,A369,FlShift,B369,FlCode,"&lt;&gt;",FlOrder,"&lt;"&amp;J369)+COUNTIFS(A$6:A369,A369,B$6:B369,B369,C$6:C369,"&lt;&gt;",J$6:J369,J369)))</f>
        <v/>
      </c>
      <c r="J369" s="28">
        <f>IF(C369="","",IF(D369="","zz","t"&amp;D369))</f>
        <v/>
      </c>
      <c r="K369" s="28">
        <f>IF(OR(A369="",C369=""),"",IF(IFERROR(INDEX(DayStat,A369-DATE(PlanYear,1,1)+1)&amp;"","")&lt;&gt;"",0,1))</f>
        <v/>
      </c>
      <c r="L369" s="28">
        <f>IF(K369="","",K369*IFERROR(VLOOKUP(C369,CodeTable,4,0),0))</f>
        <v/>
      </c>
    </row>
    <row r="370">
      <c r="A370" s="22" t="n"/>
      <c r="B370" s="23" t="n"/>
      <c r="C370" s="24" t="n"/>
      <c r="D370" s="25" t="n"/>
      <c r="E370" s="26" t="n"/>
      <c r="F370" s="26" t="n"/>
      <c r="G370" s="27">
        <f>IF(C370="","",IFERROR(VLOOKUP(C370,CodeTable,3,0),1))</f>
        <v/>
      </c>
      <c r="H370" s="27">
        <f>IF(C370="","",IF(E370&lt;&gt;"",E370,IF(IFERROR(VLOOKUP(C370,CodeTable,5,0)&amp;"","")="","All",VLOOKUP(C370,CodeTable,5,0)&amp;"")))</f>
        <v/>
      </c>
      <c r="I370" s="28">
        <f>IF(OR(A370="",C370=""),"",A370&amp;"|"&amp;B370&amp;"|"&amp;(COUNTIFS(FlDate,A370,FlShift,B370,FlCode,"&lt;&gt;",FlOrder,"&lt;"&amp;J370)+COUNTIFS(A$6:A370,A370,B$6:B370,B370,C$6:C370,"&lt;&gt;",J$6:J370,J370)))</f>
        <v/>
      </c>
      <c r="J370" s="28">
        <f>IF(C370="","",IF(D370="","zz","t"&amp;D370))</f>
        <v/>
      </c>
      <c r="K370" s="28">
        <f>IF(OR(A370="",C370=""),"",IF(IFERROR(INDEX(DayStat,A370-DATE(PlanYear,1,1)+1)&amp;"","")&lt;&gt;"",0,1))</f>
        <v/>
      </c>
      <c r="L370" s="28">
        <f>IF(K370="","",K370*IFERROR(VLOOKUP(C370,CodeTable,4,0),0))</f>
        <v/>
      </c>
    </row>
    <row r="371">
      <c r="A371" s="22" t="n"/>
      <c r="B371" s="23" t="n"/>
      <c r="C371" s="24" t="n"/>
      <c r="D371" s="25" t="n"/>
      <c r="E371" s="26" t="n"/>
      <c r="F371" s="26" t="n"/>
      <c r="G371" s="27">
        <f>IF(C371="","",IFERROR(VLOOKUP(C371,CodeTable,3,0),1))</f>
        <v/>
      </c>
      <c r="H371" s="27">
        <f>IF(C371="","",IF(E371&lt;&gt;"",E371,IF(IFERROR(VLOOKUP(C371,CodeTable,5,0)&amp;"","")="","All",VLOOKUP(C371,CodeTable,5,0)&amp;"")))</f>
        <v/>
      </c>
      <c r="I371" s="28">
        <f>IF(OR(A371="",C371=""),"",A371&amp;"|"&amp;B371&amp;"|"&amp;(COUNTIFS(FlDate,A371,FlShift,B371,FlCode,"&lt;&gt;",FlOrder,"&lt;"&amp;J371)+COUNTIFS(A$6:A371,A371,B$6:B371,B371,C$6:C371,"&lt;&gt;",J$6:J371,J371)))</f>
        <v/>
      </c>
      <c r="J371" s="28">
        <f>IF(C371="","",IF(D371="","zz","t"&amp;D371))</f>
        <v/>
      </c>
      <c r="K371" s="28">
        <f>IF(OR(A371="",C371=""),"",IF(IFERROR(INDEX(DayStat,A371-DATE(PlanYear,1,1)+1)&amp;"","")&lt;&gt;"",0,1))</f>
        <v/>
      </c>
      <c r="L371" s="28">
        <f>IF(K371="","",K371*IFERROR(VLOOKUP(C371,CodeTable,4,0),0))</f>
        <v/>
      </c>
    </row>
    <row r="372">
      <c r="A372" s="22" t="n"/>
      <c r="B372" s="23" t="n"/>
      <c r="C372" s="24" t="n"/>
      <c r="D372" s="25" t="n"/>
      <c r="E372" s="26" t="n"/>
      <c r="F372" s="26" t="n"/>
      <c r="G372" s="27">
        <f>IF(C372="","",IFERROR(VLOOKUP(C372,CodeTable,3,0),1))</f>
        <v/>
      </c>
      <c r="H372" s="27">
        <f>IF(C372="","",IF(E372&lt;&gt;"",E372,IF(IFERROR(VLOOKUP(C372,CodeTable,5,0)&amp;"","")="","All",VLOOKUP(C372,CodeTable,5,0)&amp;"")))</f>
        <v/>
      </c>
      <c r="I372" s="28">
        <f>IF(OR(A372="",C372=""),"",A372&amp;"|"&amp;B372&amp;"|"&amp;(COUNTIFS(FlDate,A372,FlShift,B372,FlCode,"&lt;&gt;",FlOrder,"&lt;"&amp;J372)+COUNTIFS(A$6:A372,A372,B$6:B372,B372,C$6:C372,"&lt;&gt;",J$6:J372,J372)))</f>
        <v/>
      </c>
      <c r="J372" s="28">
        <f>IF(C372="","",IF(D372="","zz","t"&amp;D372))</f>
        <v/>
      </c>
      <c r="K372" s="28">
        <f>IF(OR(A372="",C372=""),"",IF(IFERROR(INDEX(DayStat,A372-DATE(PlanYear,1,1)+1)&amp;"","")&lt;&gt;"",0,1))</f>
        <v/>
      </c>
      <c r="L372" s="28">
        <f>IF(K372="","",K372*IFERROR(VLOOKUP(C372,CodeTable,4,0),0))</f>
        <v/>
      </c>
    </row>
    <row r="373">
      <c r="A373" s="22" t="n"/>
      <c r="B373" s="23" t="n"/>
      <c r="C373" s="24" t="n"/>
      <c r="D373" s="25" t="n"/>
      <c r="E373" s="26" t="n"/>
      <c r="F373" s="26" t="n"/>
      <c r="G373" s="27">
        <f>IF(C373="","",IFERROR(VLOOKUP(C373,CodeTable,3,0),1))</f>
        <v/>
      </c>
      <c r="H373" s="27">
        <f>IF(C373="","",IF(E373&lt;&gt;"",E373,IF(IFERROR(VLOOKUP(C373,CodeTable,5,0)&amp;"","")="","All",VLOOKUP(C373,CodeTable,5,0)&amp;"")))</f>
        <v/>
      </c>
      <c r="I373" s="28">
        <f>IF(OR(A373="",C373=""),"",A373&amp;"|"&amp;B373&amp;"|"&amp;(COUNTIFS(FlDate,A373,FlShift,B373,FlCode,"&lt;&gt;",FlOrder,"&lt;"&amp;J373)+COUNTIFS(A$6:A373,A373,B$6:B373,B373,C$6:C373,"&lt;&gt;",J$6:J373,J373)))</f>
        <v/>
      </c>
      <c r="J373" s="28">
        <f>IF(C373="","",IF(D373="","zz","t"&amp;D373))</f>
        <v/>
      </c>
      <c r="K373" s="28">
        <f>IF(OR(A373="",C373=""),"",IF(IFERROR(INDEX(DayStat,A373-DATE(PlanYear,1,1)+1)&amp;"","")&lt;&gt;"",0,1))</f>
        <v/>
      </c>
      <c r="L373" s="28">
        <f>IF(K373="","",K373*IFERROR(VLOOKUP(C373,CodeTable,4,0),0))</f>
        <v/>
      </c>
    </row>
    <row r="374">
      <c r="A374" s="22" t="n"/>
      <c r="B374" s="23" t="n"/>
      <c r="C374" s="24" t="n"/>
      <c r="D374" s="25" t="n"/>
      <c r="E374" s="26" t="n"/>
      <c r="F374" s="26" t="n"/>
      <c r="G374" s="27">
        <f>IF(C374="","",IFERROR(VLOOKUP(C374,CodeTable,3,0),1))</f>
        <v/>
      </c>
      <c r="H374" s="27">
        <f>IF(C374="","",IF(E374&lt;&gt;"",E374,IF(IFERROR(VLOOKUP(C374,CodeTable,5,0)&amp;"","")="","All",VLOOKUP(C374,CodeTable,5,0)&amp;"")))</f>
        <v/>
      </c>
      <c r="I374" s="28">
        <f>IF(OR(A374="",C374=""),"",A374&amp;"|"&amp;B374&amp;"|"&amp;(COUNTIFS(FlDate,A374,FlShift,B374,FlCode,"&lt;&gt;",FlOrder,"&lt;"&amp;J374)+COUNTIFS(A$6:A374,A374,B$6:B374,B374,C$6:C374,"&lt;&gt;",J$6:J374,J374)))</f>
        <v/>
      </c>
      <c r="J374" s="28">
        <f>IF(C374="","",IF(D374="","zz","t"&amp;D374))</f>
        <v/>
      </c>
      <c r="K374" s="28">
        <f>IF(OR(A374="",C374=""),"",IF(IFERROR(INDEX(DayStat,A374-DATE(PlanYear,1,1)+1)&amp;"","")&lt;&gt;"",0,1))</f>
        <v/>
      </c>
      <c r="L374" s="28">
        <f>IF(K374="","",K374*IFERROR(VLOOKUP(C374,CodeTable,4,0),0))</f>
        <v/>
      </c>
    </row>
    <row r="375">
      <c r="A375" s="22" t="n"/>
      <c r="B375" s="23" t="n"/>
      <c r="C375" s="24" t="n"/>
      <c r="D375" s="25" t="n"/>
      <c r="E375" s="26" t="n"/>
      <c r="F375" s="26" t="n"/>
      <c r="G375" s="27">
        <f>IF(C375="","",IFERROR(VLOOKUP(C375,CodeTable,3,0),1))</f>
        <v/>
      </c>
      <c r="H375" s="27">
        <f>IF(C375="","",IF(E375&lt;&gt;"",E375,IF(IFERROR(VLOOKUP(C375,CodeTable,5,0)&amp;"","")="","All",VLOOKUP(C375,CodeTable,5,0)&amp;"")))</f>
        <v/>
      </c>
      <c r="I375" s="28">
        <f>IF(OR(A375="",C375=""),"",A375&amp;"|"&amp;B375&amp;"|"&amp;(COUNTIFS(FlDate,A375,FlShift,B375,FlCode,"&lt;&gt;",FlOrder,"&lt;"&amp;J375)+COUNTIFS(A$6:A375,A375,B$6:B375,B375,C$6:C375,"&lt;&gt;",J$6:J375,J375)))</f>
        <v/>
      </c>
      <c r="J375" s="28">
        <f>IF(C375="","",IF(D375="","zz","t"&amp;D375))</f>
        <v/>
      </c>
      <c r="K375" s="28">
        <f>IF(OR(A375="",C375=""),"",IF(IFERROR(INDEX(DayStat,A375-DATE(PlanYear,1,1)+1)&amp;"","")&lt;&gt;"",0,1))</f>
        <v/>
      </c>
      <c r="L375" s="28">
        <f>IF(K375="","",K375*IFERROR(VLOOKUP(C375,CodeTable,4,0),0))</f>
        <v/>
      </c>
    </row>
    <row r="376">
      <c r="A376" s="22" t="n"/>
      <c r="B376" s="23" t="n"/>
      <c r="C376" s="24" t="n"/>
      <c r="D376" s="25" t="n"/>
      <c r="E376" s="26" t="n"/>
      <c r="F376" s="26" t="n"/>
      <c r="G376" s="27">
        <f>IF(C376="","",IFERROR(VLOOKUP(C376,CodeTable,3,0),1))</f>
        <v/>
      </c>
      <c r="H376" s="27">
        <f>IF(C376="","",IF(E376&lt;&gt;"",E376,IF(IFERROR(VLOOKUP(C376,CodeTable,5,0)&amp;"","")="","All",VLOOKUP(C376,CodeTable,5,0)&amp;"")))</f>
        <v/>
      </c>
      <c r="I376" s="28">
        <f>IF(OR(A376="",C376=""),"",A376&amp;"|"&amp;B376&amp;"|"&amp;(COUNTIFS(FlDate,A376,FlShift,B376,FlCode,"&lt;&gt;",FlOrder,"&lt;"&amp;J376)+COUNTIFS(A$6:A376,A376,B$6:B376,B376,C$6:C376,"&lt;&gt;",J$6:J376,J376)))</f>
        <v/>
      </c>
      <c r="J376" s="28">
        <f>IF(C376="","",IF(D376="","zz","t"&amp;D376))</f>
        <v/>
      </c>
      <c r="K376" s="28">
        <f>IF(OR(A376="",C376=""),"",IF(IFERROR(INDEX(DayStat,A376-DATE(PlanYear,1,1)+1)&amp;"","")&lt;&gt;"",0,1))</f>
        <v/>
      </c>
      <c r="L376" s="28">
        <f>IF(K376="","",K376*IFERROR(VLOOKUP(C376,CodeTable,4,0),0))</f>
        <v/>
      </c>
    </row>
    <row r="377">
      <c r="A377" s="22" t="n"/>
      <c r="B377" s="23" t="n"/>
      <c r="C377" s="24" t="n"/>
      <c r="D377" s="25" t="n"/>
      <c r="E377" s="26" t="n"/>
      <c r="F377" s="26" t="n"/>
      <c r="G377" s="27">
        <f>IF(C377="","",IFERROR(VLOOKUP(C377,CodeTable,3,0),1))</f>
        <v/>
      </c>
      <c r="H377" s="27">
        <f>IF(C377="","",IF(E377&lt;&gt;"",E377,IF(IFERROR(VLOOKUP(C377,CodeTable,5,0)&amp;"","")="","All",VLOOKUP(C377,CodeTable,5,0)&amp;"")))</f>
        <v/>
      </c>
      <c r="I377" s="28">
        <f>IF(OR(A377="",C377=""),"",A377&amp;"|"&amp;B377&amp;"|"&amp;(COUNTIFS(FlDate,A377,FlShift,B377,FlCode,"&lt;&gt;",FlOrder,"&lt;"&amp;J377)+COUNTIFS(A$6:A377,A377,B$6:B377,B377,C$6:C377,"&lt;&gt;",J$6:J377,J377)))</f>
        <v/>
      </c>
      <c r="J377" s="28">
        <f>IF(C377="","",IF(D377="","zz","t"&amp;D377))</f>
        <v/>
      </c>
      <c r="K377" s="28">
        <f>IF(OR(A377="",C377=""),"",IF(IFERROR(INDEX(DayStat,A377-DATE(PlanYear,1,1)+1)&amp;"","")&lt;&gt;"",0,1))</f>
        <v/>
      </c>
      <c r="L377" s="28">
        <f>IF(K377="","",K377*IFERROR(VLOOKUP(C377,CodeTable,4,0),0))</f>
        <v/>
      </c>
    </row>
    <row r="378">
      <c r="A378" s="22" t="n"/>
      <c r="B378" s="23" t="n"/>
      <c r="C378" s="24" t="n"/>
      <c r="D378" s="25" t="n"/>
      <c r="E378" s="26" t="n"/>
      <c r="F378" s="26" t="n"/>
      <c r="G378" s="27">
        <f>IF(C378="","",IFERROR(VLOOKUP(C378,CodeTable,3,0),1))</f>
        <v/>
      </c>
      <c r="H378" s="27">
        <f>IF(C378="","",IF(E378&lt;&gt;"",E378,IF(IFERROR(VLOOKUP(C378,CodeTable,5,0)&amp;"","")="","All",VLOOKUP(C378,CodeTable,5,0)&amp;"")))</f>
        <v/>
      </c>
      <c r="I378" s="28">
        <f>IF(OR(A378="",C378=""),"",A378&amp;"|"&amp;B378&amp;"|"&amp;(COUNTIFS(FlDate,A378,FlShift,B378,FlCode,"&lt;&gt;",FlOrder,"&lt;"&amp;J378)+COUNTIFS(A$6:A378,A378,B$6:B378,B378,C$6:C378,"&lt;&gt;",J$6:J378,J378)))</f>
        <v/>
      </c>
      <c r="J378" s="28">
        <f>IF(C378="","",IF(D378="","zz","t"&amp;D378))</f>
        <v/>
      </c>
      <c r="K378" s="28">
        <f>IF(OR(A378="",C378=""),"",IF(IFERROR(INDEX(DayStat,A378-DATE(PlanYear,1,1)+1)&amp;"","")&lt;&gt;"",0,1))</f>
        <v/>
      </c>
      <c r="L378" s="28">
        <f>IF(K378="","",K378*IFERROR(VLOOKUP(C378,CodeTable,4,0),0))</f>
        <v/>
      </c>
    </row>
    <row r="379">
      <c r="A379" s="22" t="n"/>
      <c r="B379" s="23" t="n"/>
      <c r="C379" s="24" t="n"/>
      <c r="D379" s="25" t="n"/>
      <c r="E379" s="26" t="n"/>
      <c r="F379" s="26" t="n"/>
      <c r="G379" s="27">
        <f>IF(C379="","",IFERROR(VLOOKUP(C379,CodeTable,3,0),1))</f>
        <v/>
      </c>
      <c r="H379" s="27">
        <f>IF(C379="","",IF(E379&lt;&gt;"",E379,IF(IFERROR(VLOOKUP(C379,CodeTable,5,0)&amp;"","")="","All",VLOOKUP(C379,CodeTable,5,0)&amp;"")))</f>
        <v/>
      </c>
      <c r="I379" s="28">
        <f>IF(OR(A379="",C379=""),"",A379&amp;"|"&amp;B379&amp;"|"&amp;(COUNTIFS(FlDate,A379,FlShift,B379,FlCode,"&lt;&gt;",FlOrder,"&lt;"&amp;J379)+COUNTIFS(A$6:A379,A379,B$6:B379,B379,C$6:C379,"&lt;&gt;",J$6:J379,J379)))</f>
        <v/>
      </c>
      <c r="J379" s="28">
        <f>IF(C379="","",IF(D379="","zz","t"&amp;D379))</f>
        <v/>
      </c>
      <c r="K379" s="28">
        <f>IF(OR(A379="",C379=""),"",IF(IFERROR(INDEX(DayStat,A379-DATE(PlanYear,1,1)+1)&amp;"","")&lt;&gt;"",0,1))</f>
        <v/>
      </c>
      <c r="L379" s="28">
        <f>IF(K379="","",K379*IFERROR(VLOOKUP(C379,CodeTable,4,0),0))</f>
        <v/>
      </c>
    </row>
    <row r="380">
      <c r="A380" s="22" t="n"/>
      <c r="B380" s="23" t="n"/>
      <c r="C380" s="24" t="n"/>
      <c r="D380" s="25" t="n"/>
      <c r="E380" s="26" t="n"/>
      <c r="F380" s="26" t="n"/>
      <c r="G380" s="27">
        <f>IF(C380="","",IFERROR(VLOOKUP(C380,CodeTable,3,0),1))</f>
        <v/>
      </c>
      <c r="H380" s="27">
        <f>IF(C380="","",IF(E380&lt;&gt;"",E380,IF(IFERROR(VLOOKUP(C380,CodeTable,5,0)&amp;"","")="","All",VLOOKUP(C380,CodeTable,5,0)&amp;"")))</f>
        <v/>
      </c>
      <c r="I380" s="28">
        <f>IF(OR(A380="",C380=""),"",A380&amp;"|"&amp;B380&amp;"|"&amp;(COUNTIFS(FlDate,A380,FlShift,B380,FlCode,"&lt;&gt;",FlOrder,"&lt;"&amp;J380)+COUNTIFS(A$6:A380,A380,B$6:B380,B380,C$6:C380,"&lt;&gt;",J$6:J380,J380)))</f>
        <v/>
      </c>
      <c r="J380" s="28">
        <f>IF(C380="","",IF(D380="","zz","t"&amp;D380))</f>
        <v/>
      </c>
      <c r="K380" s="28">
        <f>IF(OR(A380="",C380=""),"",IF(IFERROR(INDEX(DayStat,A380-DATE(PlanYear,1,1)+1)&amp;"","")&lt;&gt;"",0,1))</f>
        <v/>
      </c>
      <c r="L380" s="28">
        <f>IF(K380="","",K380*IFERROR(VLOOKUP(C380,CodeTable,4,0),0))</f>
        <v/>
      </c>
    </row>
    <row r="381">
      <c r="A381" s="22" t="n"/>
      <c r="B381" s="23" t="n"/>
      <c r="C381" s="24" t="n"/>
      <c r="D381" s="25" t="n"/>
      <c r="E381" s="26" t="n"/>
      <c r="F381" s="26" t="n"/>
      <c r="G381" s="27">
        <f>IF(C381="","",IFERROR(VLOOKUP(C381,CodeTable,3,0),1))</f>
        <v/>
      </c>
      <c r="H381" s="27">
        <f>IF(C381="","",IF(E381&lt;&gt;"",E381,IF(IFERROR(VLOOKUP(C381,CodeTable,5,0)&amp;"","")="","All",VLOOKUP(C381,CodeTable,5,0)&amp;"")))</f>
        <v/>
      </c>
      <c r="I381" s="28">
        <f>IF(OR(A381="",C381=""),"",A381&amp;"|"&amp;B381&amp;"|"&amp;(COUNTIFS(FlDate,A381,FlShift,B381,FlCode,"&lt;&gt;",FlOrder,"&lt;"&amp;J381)+COUNTIFS(A$6:A381,A381,B$6:B381,B381,C$6:C381,"&lt;&gt;",J$6:J381,J381)))</f>
        <v/>
      </c>
      <c r="J381" s="28">
        <f>IF(C381="","",IF(D381="","zz","t"&amp;D381))</f>
        <v/>
      </c>
      <c r="K381" s="28">
        <f>IF(OR(A381="",C381=""),"",IF(IFERROR(INDEX(DayStat,A381-DATE(PlanYear,1,1)+1)&amp;"","")&lt;&gt;"",0,1))</f>
        <v/>
      </c>
      <c r="L381" s="28">
        <f>IF(K381="","",K381*IFERROR(VLOOKUP(C381,CodeTable,4,0),0))</f>
        <v/>
      </c>
    </row>
    <row r="382">
      <c r="A382" s="22" t="n"/>
      <c r="B382" s="23" t="n"/>
      <c r="C382" s="24" t="n"/>
      <c r="D382" s="25" t="n"/>
      <c r="E382" s="26" t="n"/>
      <c r="F382" s="26" t="n"/>
      <c r="G382" s="27">
        <f>IF(C382="","",IFERROR(VLOOKUP(C382,CodeTable,3,0),1))</f>
        <v/>
      </c>
      <c r="H382" s="27">
        <f>IF(C382="","",IF(E382&lt;&gt;"",E382,IF(IFERROR(VLOOKUP(C382,CodeTable,5,0)&amp;"","")="","All",VLOOKUP(C382,CodeTable,5,0)&amp;"")))</f>
        <v/>
      </c>
      <c r="I382" s="28">
        <f>IF(OR(A382="",C382=""),"",A382&amp;"|"&amp;B382&amp;"|"&amp;(COUNTIFS(FlDate,A382,FlShift,B382,FlCode,"&lt;&gt;",FlOrder,"&lt;"&amp;J382)+COUNTIFS(A$6:A382,A382,B$6:B382,B382,C$6:C382,"&lt;&gt;",J$6:J382,J382)))</f>
        <v/>
      </c>
      <c r="J382" s="28">
        <f>IF(C382="","",IF(D382="","zz","t"&amp;D382))</f>
        <v/>
      </c>
      <c r="K382" s="28">
        <f>IF(OR(A382="",C382=""),"",IF(IFERROR(INDEX(DayStat,A382-DATE(PlanYear,1,1)+1)&amp;"","")&lt;&gt;"",0,1))</f>
        <v/>
      </c>
      <c r="L382" s="28">
        <f>IF(K382="","",K382*IFERROR(VLOOKUP(C382,CodeTable,4,0),0))</f>
        <v/>
      </c>
    </row>
    <row r="383">
      <c r="A383" s="22" t="n"/>
      <c r="B383" s="23" t="n"/>
      <c r="C383" s="24" t="n"/>
      <c r="D383" s="25" t="n"/>
      <c r="E383" s="26" t="n"/>
      <c r="F383" s="26" t="n"/>
      <c r="G383" s="27">
        <f>IF(C383="","",IFERROR(VLOOKUP(C383,CodeTable,3,0),1))</f>
        <v/>
      </c>
      <c r="H383" s="27">
        <f>IF(C383="","",IF(E383&lt;&gt;"",E383,IF(IFERROR(VLOOKUP(C383,CodeTable,5,0)&amp;"","")="","All",VLOOKUP(C383,CodeTable,5,0)&amp;"")))</f>
        <v/>
      </c>
      <c r="I383" s="28">
        <f>IF(OR(A383="",C383=""),"",A383&amp;"|"&amp;B383&amp;"|"&amp;(COUNTIFS(FlDate,A383,FlShift,B383,FlCode,"&lt;&gt;",FlOrder,"&lt;"&amp;J383)+COUNTIFS(A$6:A383,A383,B$6:B383,B383,C$6:C383,"&lt;&gt;",J$6:J383,J383)))</f>
        <v/>
      </c>
      <c r="J383" s="28">
        <f>IF(C383="","",IF(D383="","zz","t"&amp;D383))</f>
        <v/>
      </c>
      <c r="K383" s="28">
        <f>IF(OR(A383="",C383=""),"",IF(IFERROR(INDEX(DayStat,A383-DATE(PlanYear,1,1)+1)&amp;"","")&lt;&gt;"",0,1))</f>
        <v/>
      </c>
      <c r="L383" s="28">
        <f>IF(K383="","",K383*IFERROR(VLOOKUP(C383,CodeTable,4,0),0))</f>
        <v/>
      </c>
    </row>
    <row r="384">
      <c r="A384" s="22" t="n"/>
      <c r="B384" s="23" t="n"/>
      <c r="C384" s="24" t="n"/>
      <c r="D384" s="25" t="n"/>
      <c r="E384" s="26" t="n"/>
      <c r="F384" s="26" t="n"/>
      <c r="G384" s="27">
        <f>IF(C384="","",IFERROR(VLOOKUP(C384,CodeTable,3,0),1))</f>
        <v/>
      </c>
      <c r="H384" s="27">
        <f>IF(C384="","",IF(E384&lt;&gt;"",E384,IF(IFERROR(VLOOKUP(C384,CodeTable,5,0)&amp;"","")="","All",VLOOKUP(C384,CodeTable,5,0)&amp;"")))</f>
        <v/>
      </c>
      <c r="I384" s="28">
        <f>IF(OR(A384="",C384=""),"",A384&amp;"|"&amp;B384&amp;"|"&amp;(COUNTIFS(FlDate,A384,FlShift,B384,FlCode,"&lt;&gt;",FlOrder,"&lt;"&amp;J384)+COUNTIFS(A$6:A384,A384,B$6:B384,B384,C$6:C384,"&lt;&gt;",J$6:J384,J384)))</f>
        <v/>
      </c>
      <c r="J384" s="28">
        <f>IF(C384="","",IF(D384="","zz","t"&amp;D384))</f>
        <v/>
      </c>
      <c r="K384" s="28">
        <f>IF(OR(A384="",C384=""),"",IF(IFERROR(INDEX(DayStat,A384-DATE(PlanYear,1,1)+1)&amp;"","")&lt;&gt;"",0,1))</f>
        <v/>
      </c>
      <c r="L384" s="28">
        <f>IF(K384="","",K384*IFERROR(VLOOKUP(C384,CodeTable,4,0),0))</f>
        <v/>
      </c>
    </row>
    <row r="385">
      <c r="A385" s="22" t="n"/>
      <c r="B385" s="23" t="n"/>
      <c r="C385" s="24" t="n"/>
      <c r="D385" s="25" t="n"/>
      <c r="E385" s="26" t="n"/>
      <c r="F385" s="26" t="n"/>
      <c r="G385" s="27">
        <f>IF(C385="","",IFERROR(VLOOKUP(C385,CodeTable,3,0),1))</f>
        <v/>
      </c>
      <c r="H385" s="27">
        <f>IF(C385="","",IF(E385&lt;&gt;"",E385,IF(IFERROR(VLOOKUP(C385,CodeTable,5,0)&amp;"","")="","All",VLOOKUP(C385,CodeTable,5,0)&amp;"")))</f>
        <v/>
      </c>
      <c r="I385" s="28">
        <f>IF(OR(A385="",C385=""),"",A385&amp;"|"&amp;B385&amp;"|"&amp;(COUNTIFS(FlDate,A385,FlShift,B385,FlCode,"&lt;&gt;",FlOrder,"&lt;"&amp;J385)+COUNTIFS(A$6:A385,A385,B$6:B385,B385,C$6:C385,"&lt;&gt;",J$6:J385,J385)))</f>
        <v/>
      </c>
      <c r="J385" s="28">
        <f>IF(C385="","",IF(D385="","zz","t"&amp;D385))</f>
        <v/>
      </c>
      <c r="K385" s="28">
        <f>IF(OR(A385="",C385=""),"",IF(IFERROR(INDEX(DayStat,A385-DATE(PlanYear,1,1)+1)&amp;"","")&lt;&gt;"",0,1))</f>
        <v/>
      </c>
      <c r="L385" s="28">
        <f>IF(K385="","",K385*IFERROR(VLOOKUP(C385,CodeTable,4,0),0))</f>
        <v/>
      </c>
    </row>
    <row r="386">
      <c r="A386" s="22" t="n"/>
      <c r="B386" s="23" t="n"/>
      <c r="C386" s="24" t="n"/>
      <c r="D386" s="25" t="n"/>
      <c r="E386" s="26" t="n"/>
      <c r="F386" s="26" t="n"/>
      <c r="G386" s="27">
        <f>IF(C386="","",IFERROR(VLOOKUP(C386,CodeTable,3,0),1))</f>
        <v/>
      </c>
      <c r="H386" s="27">
        <f>IF(C386="","",IF(E386&lt;&gt;"",E386,IF(IFERROR(VLOOKUP(C386,CodeTable,5,0)&amp;"","")="","All",VLOOKUP(C386,CodeTable,5,0)&amp;"")))</f>
        <v/>
      </c>
      <c r="I386" s="28">
        <f>IF(OR(A386="",C386=""),"",A386&amp;"|"&amp;B386&amp;"|"&amp;(COUNTIFS(FlDate,A386,FlShift,B386,FlCode,"&lt;&gt;",FlOrder,"&lt;"&amp;J386)+COUNTIFS(A$6:A386,A386,B$6:B386,B386,C$6:C386,"&lt;&gt;",J$6:J386,J386)))</f>
        <v/>
      </c>
      <c r="J386" s="28">
        <f>IF(C386="","",IF(D386="","zz","t"&amp;D386))</f>
        <v/>
      </c>
      <c r="K386" s="28">
        <f>IF(OR(A386="",C386=""),"",IF(IFERROR(INDEX(DayStat,A386-DATE(PlanYear,1,1)+1)&amp;"","")&lt;&gt;"",0,1))</f>
        <v/>
      </c>
      <c r="L386" s="28">
        <f>IF(K386="","",K386*IFERROR(VLOOKUP(C386,CodeTable,4,0),0))</f>
        <v/>
      </c>
    </row>
    <row r="387">
      <c r="A387" s="22" t="n"/>
      <c r="B387" s="23" t="n"/>
      <c r="C387" s="24" t="n"/>
      <c r="D387" s="25" t="n"/>
      <c r="E387" s="26" t="n"/>
      <c r="F387" s="26" t="n"/>
      <c r="G387" s="27">
        <f>IF(C387="","",IFERROR(VLOOKUP(C387,CodeTable,3,0),1))</f>
        <v/>
      </c>
      <c r="H387" s="27">
        <f>IF(C387="","",IF(E387&lt;&gt;"",E387,IF(IFERROR(VLOOKUP(C387,CodeTable,5,0)&amp;"","")="","All",VLOOKUP(C387,CodeTable,5,0)&amp;"")))</f>
        <v/>
      </c>
      <c r="I387" s="28">
        <f>IF(OR(A387="",C387=""),"",A387&amp;"|"&amp;B387&amp;"|"&amp;(COUNTIFS(FlDate,A387,FlShift,B387,FlCode,"&lt;&gt;",FlOrder,"&lt;"&amp;J387)+COUNTIFS(A$6:A387,A387,B$6:B387,B387,C$6:C387,"&lt;&gt;",J$6:J387,J387)))</f>
        <v/>
      </c>
      <c r="J387" s="28">
        <f>IF(C387="","",IF(D387="","zz","t"&amp;D387))</f>
        <v/>
      </c>
      <c r="K387" s="28">
        <f>IF(OR(A387="",C387=""),"",IF(IFERROR(INDEX(DayStat,A387-DATE(PlanYear,1,1)+1)&amp;"","")&lt;&gt;"",0,1))</f>
        <v/>
      </c>
      <c r="L387" s="28">
        <f>IF(K387="","",K387*IFERROR(VLOOKUP(C387,CodeTable,4,0),0))</f>
        <v/>
      </c>
    </row>
    <row r="388">
      <c r="A388" s="22" t="n"/>
      <c r="B388" s="23" t="n"/>
      <c r="C388" s="24" t="n"/>
      <c r="D388" s="25" t="n"/>
      <c r="E388" s="26" t="n"/>
      <c r="F388" s="26" t="n"/>
      <c r="G388" s="27">
        <f>IF(C388="","",IFERROR(VLOOKUP(C388,CodeTable,3,0),1))</f>
        <v/>
      </c>
      <c r="H388" s="27">
        <f>IF(C388="","",IF(E388&lt;&gt;"",E388,IF(IFERROR(VLOOKUP(C388,CodeTable,5,0)&amp;"","")="","All",VLOOKUP(C388,CodeTable,5,0)&amp;"")))</f>
        <v/>
      </c>
      <c r="I388" s="28">
        <f>IF(OR(A388="",C388=""),"",A388&amp;"|"&amp;B388&amp;"|"&amp;(COUNTIFS(FlDate,A388,FlShift,B388,FlCode,"&lt;&gt;",FlOrder,"&lt;"&amp;J388)+COUNTIFS(A$6:A388,A388,B$6:B388,B388,C$6:C388,"&lt;&gt;",J$6:J388,J388)))</f>
        <v/>
      </c>
      <c r="J388" s="28">
        <f>IF(C388="","",IF(D388="","zz","t"&amp;D388))</f>
        <v/>
      </c>
      <c r="K388" s="28">
        <f>IF(OR(A388="",C388=""),"",IF(IFERROR(INDEX(DayStat,A388-DATE(PlanYear,1,1)+1)&amp;"","")&lt;&gt;"",0,1))</f>
        <v/>
      </c>
      <c r="L388" s="28">
        <f>IF(K388="","",K388*IFERROR(VLOOKUP(C388,CodeTable,4,0),0))</f>
        <v/>
      </c>
    </row>
    <row r="389">
      <c r="A389" s="22" t="n"/>
      <c r="B389" s="23" t="n"/>
      <c r="C389" s="24" t="n"/>
      <c r="D389" s="25" t="n"/>
      <c r="E389" s="26" t="n"/>
      <c r="F389" s="26" t="n"/>
      <c r="G389" s="27">
        <f>IF(C389="","",IFERROR(VLOOKUP(C389,CodeTable,3,0),1))</f>
        <v/>
      </c>
      <c r="H389" s="27">
        <f>IF(C389="","",IF(E389&lt;&gt;"",E389,IF(IFERROR(VLOOKUP(C389,CodeTable,5,0)&amp;"","")="","All",VLOOKUP(C389,CodeTable,5,0)&amp;"")))</f>
        <v/>
      </c>
      <c r="I389" s="28">
        <f>IF(OR(A389="",C389=""),"",A389&amp;"|"&amp;B389&amp;"|"&amp;(COUNTIFS(FlDate,A389,FlShift,B389,FlCode,"&lt;&gt;",FlOrder,"&lt;"&amp;J389)+COUNTIFS(A$6:A389,A389,B$6:B389,B389,C$6:C389,"&lt;&gt;",J$6:J389,J389)))</f>
        <v/>
      </c>
      <c r="J389" s="28">
        <f>IF(C389="","",IF(D389="","zz","t"&amp;D389))</f>
        <v/>
      </c>
      <c r="K389" s="28">
        <f>IF(OR(A389="",C389=""),"",IF(IFERROR(INDEX(DayStat,A389-DATE(PlanYear,1,1)+1)&amp;"","")&lt;&gt;"",0,1))</f>
        <v/>
      </c>
      <c r="L389" s="28">
        <f>IF(K389="","",K389*IFERROR(VLOOKUP(C389,CodeTable,4,0),0))</f>
        <v/>
      </c>
    </row>
    <row r="390">
      <c r="A390" s="22" t="n"/>
      <c r="B390" s="23" t="n"/>
      <c r="C390" s="24" t="n"/>
      <c r="D390" s="25" t="n"/>
      <c r="E390" s="26" t="n"/>
      <c r="F390" s="26" t="n"/>
      <c r="G390" s="27">
        <f>IF(C390="","",IFERROR(VLOOKUP(C390,CodeTable,3,0),1))</f>
        <v/>
      </c>
      <c r="H390" s="27">
        <f>IF(C390="","",IF(E390&lt;&gt;"",E390,IF(IFERROR(VLOOKUP(C390,CodeTable,5,0)&amp;"","")="","All",VLOOKUP(C390,CodeTable,5,0)&amp;"")))</f>
        <v/>
      </c>
      <c r="I390" s="28">
        <f>IF(OR(A390="",C390=""),"",A390&amp;"|"&amp;B390&amp;"|"&amp;(COUNTIFS(FlDate,A390,FlShift,B390,FlCode,"&lt;&gt;",FlOrder,"&lt;"&amp;J390)+COUNTIFS(A$6:A390,A390,B$6:B390,B390,C$6:C390,"&lt;&gt;",J$6:J390,J390)))</f>
        <v/>
      </c>
      <c r="J390" s="28">
        <f>IF(C390="","",IF(D390="","zz","t"&amp;D390))</f>
        <v/>
      </c>
      <c r="K390" s="28">
        <f>IF(OR(A390="",C390=""),"",IF(IFERROR(INDEX(DayStat,A390-DATE(PlanYear,1,1)+1)&amp;"","")&lt;&gt;"",0,1))</f>
        <v/>
      </c>
      <c r="L390" s="28">
        <f>IF(K390="","",K390*IFERROR(VLOOKUP(C390,CodeTable,4,0),0))</f>
        <v/>
      </c>
    </row>
    <row r="391">
      <c r="A391" s="22" t="n"/>
      <c r="B391" s="23" t="n"/>
      <c r="C391" s="24" t="n"/>
      <c r="D391" s="25" t="n"/>
      <c r="E391" s="26" t="n"/>
      <c r="F391" s="26" t="n"/>
      <c r="G391" s="27">
        <f>IF(C391="","",IFERROR(VLOOKUP(C391,CodeTable,3,0),1))</f>
        <v/>
      </c>
      <c r="H391" s="27">
        <f>IF(C391="","",IF(E391&lt;&gt;"",E391,IF(IFERROR(VLOOKUP(C391,CodeTable,5,0)&amp;"","")="","All",VLOOKUP(C391,CodeTable,5,0)&amp;"")))</f>
        <v/>
      </c>
      <c r="I391" s="28">
        <f>IF(OR(A391="",C391=""),"",A391&amp;"|"&amp;B391&amp;"|"&amp;(COUNTIFS(FlDate,A391,FlShift,B391,FlCode,"&lt;&gt;",FlOrder,"&lt;"&amp;J391)+COUNTIFS(A$6:A391,A391,B$6:B391,B391,C$6:C391,"&lt;&gt;",J$6:J391,J391)))</f>
        <v/>
      </c>
      <c r="J391" s="28">
        <f>IF(C391="","",IF(D391="","zz","t"&amp;D391))</f>
        <v/>
      </c>
      <c r="K391" s="28">
        <f>IF(OR(A391="",C391=""),"",IF(IFERROR(INDEX(DayStat,A391-DATE(PlanYear,1,1)+1)&amp;"","")&lt;&gt;"",0,1))</f>
        <v/>
      </c>
      <c r="L391" s="28">
        <f>IF(K391="","",K391*IFERROR(VLOOKUP(C391,CodeTable,4,0),0))</f>
        <v/>
      </c>
    </row>
    <row r="392">
      <c r="A392" s="22" t="n"/>
      <c r="B392" s="23" t="n"/>
      <c r="C392" s="24" t="n"/>
      <c r="D392" s="25" t="n"/>
      <c r="E392" s="26" t="n"/>
      <c r="F392" s="26" t="n"/>
      <c r="G392" s="27">
        <f>IF(C392="","",IFERROR(VLOOKUP(C392,CodeTable,3,0),1))</f>
        <v/>
      </c>
      <c r="H392" s="27">
        <f>IF(C392="","",IF(E392&lt;&gt;"",E392,IF(IFERROR(VLOOKUP(C392,CodeTable,5,0)&amp;"","")="","All",VLOOKUP(C392,CodeTable,5,0)&amp;"")))</f>
        <v/>
      </c>
      <c r="I392" s="28">
        <f>IF(OR(A392="",C392=""),"",A392&amp;"|"&amp;B392&amp;"|"&amp;(COUNTIFS(FlDate,A392,FlShift,B392,FlCode,"&lt;&gt;",FlOrder,"&lt;"&amp;J392)+COUNTIFS(A$6:A392,A392,B$6:B392,B392,C$6:C392,"&lt;&gt;",J$6:J392,J392)))</f>
        <v/>
      </c>
      <c r="J392" s="28">
        <f>IF(C392="","",IF(D392="","zz","t"&amp;D392))</f>
        <v/>
      </c>
      <c r="K392" s="28">
        <f>IF(OR(A392="",C392=""),"",IF(IFERROR(INDEX(DayStat,A392-DATE(PlanYear,1,1)+1)&amp;"","")&lt;&gt;"",0,1))</f>
        <v/>
      </c>
      <c r="L392" s="28">
        <f>IF(K392="","",K392*IFERROR(VLOOKUP(C392,CodeTable,4,0),0))</f>
        <v/>
      </c>
    </row>
    <row r="393">
      <c r="A393" s="22" t="n"/>
      <c r="B393" s="23" t="n"/>
      <c r="C393" s="24" t="n"/>
      <c r="D393" s="25" t="n"/>
      <c r="E393" s="26" t="n"/>
      <c r="F393" s="26" t="n"/>
      <c r="G393" s="27">
        <f>IF(C393="","",IFERROR(VLOOKUP(C393,CodeTable,3,0),1))</f>
        <v/>
      </c>
      <c r="H393" s="27">
        <f>IF(C393="","",IF(E393&lt;&gt;"",E393,IF(IFERROR(VLOOKUP(C393,CodeTable,5,0)&amp;"","")="","All",VLOOKUP(C393,CodeTable,5,0)&amp;"")))</f>
        <v/>
      </c>
      <c r="I393" s="28">
        <f>IF(OR(A393="",C393=""),"",A393&amp;"|"&amp;B393&amp;"|"&amp;(COUNTIFS(FlDate,A393,FlShift,B393,FlCode,"&lt;&gt;",FlOrder,"&lt;"&amp;J393)+COUNTIFS(A$6:A393,A393,B$6:B393,B393,C$6:C393,"&lt;&gt;",J$6:J393,J393)))</f>
        <v/>
      </c>
      <c r="J393" s="28">
        <f>IF(C393="","",IF(D393="","zz","t"&amp;D393))</f>
        <v/>
      </c>
      <c r="K393" s="28">
        <f>IF(OR(A393="",C393=""),"",IF(IFERROR(INDEX(DayStat,A393-DATE(PlanYear,1,1)+1)&amp;"","")&lt;&gt;"",0,1))</f>
        <v/>
      </c>
      <c r="L393" s="28">
        <f>IF(K393="","",K393*IFERROR(VLOOKUP(C393,CodeTable,4,0),0))</f>
        <v/>
      </c>
    </row>
    <row r="394">
      <c r="A394" s="22" t="n"/>
      <c r="B394" s="23" t="n"/>
      <c r="C394" s="24" t="n"/>
      <c r="D394" s="25" t="n"/>
      <c r="E394" s="26" t="n"/>
      <c r="F394" s="26" t="n"/>
      <c r="G394" s="27">
        <f>IF(C394="","",IFERROR(VLOOKUP(C394,CodeTable,3,0),1))</f>
        <v/>
      </c>
      <c r="H394" s="27">
        <f>IF(C394="","",IF(E394&lt;&gt;"",E394,IF(IFERROR(VLOOKUP(C394,CodeTable,5,0)&amp;"","")="","All",VLOOKUP(C394,CodeTable,5,0)&amp;"")))</f>
        <v/>
      </c>
      <c r="I394" s="28">
        <f>IF(OR(A394="",C394=""),"",A394&amp;"|"&amp;B394&amp;"|"&amp;(COUNTIFS(FlDate,A394,FlShift,B394,FlCode,"&lt;&gt;",FlOrder,"&lt;"&amp;J394)+COUNTIFS(A$6:A394,A394,B$6:B394,B394,C$6:C394,"&lt;&gt;",J$6:J394,J394)))</f>
        <v/>
      </c>
      <c r="J394" s="28">
        <f>IF(C394="","",IF(D394="","zz","t"&amp;D394))</f>
        <v/>
      </c>
      <c r="K394" s="28">
        <f>IF(OR(A394="",C394=""),"",IF(IFERROR(INDEX(DayStat,A394-DATE(PlanYear,1,1)+1)&amp;"","")&lt;&gt;"",0,1))</f>
        <v/>
      </c>
      <c r="L394" s="28">
        <f>IF(K394="","",K394*IFERROR(VLOOKUP(C394,CodeTable,4,0),0))</f>
        <v/>
      </c>
    </row>
    <row r="395">
      <c r="A395" s="22" t="n"/>
      <c r="B395" s="23" t="n"/>
      <c r="C395" s="24" t="n"/>
      <c r="D395" s="25" t="n"/>
      <c r="E395" s="26" t="n"/>
      <c r="F395" s="26" t="n"/>
      <c r="G395" s="27">
        <f>IF(C395="","",IFERROR(VLOOKUP(C395,CodeTable,3,0),1))</f>
        <v/>
      </c>
      <c r="H395" s="27">
        <f>IF(C395="","",IF(E395&lt;&gt;"",E395,IF(IFERROR(VLOOKUP(C395,CodeTable,5,0)&amp;"","")="","All",VLOOKUP(C395,CodeTable,5,0)&amp;"")))</f>
        <v/>
      </c>
      <c r="I395" s="28">
        <f>IF(OR(A395="",C395=""),"",A395&amp;"|"&amp;B395&amp;"|"&amp;(COUNTIFS(FlDate,A395,FlShift,B395,FlCode,"&lt;&gt;",FlOrder,"&lt;"&amp;J395)+COUNTIFS(A$6:A395,A395,B$6:B395,B395,C$6:C395,"&lt;&gt;",J$6:J395,J395)))</f>
        <v/>
      </c>
      <c r="J395" s="28">
        <f>IF(C395="","",IF(D395="","zz","t"&amp;D395))</f>
        <v/>
      </c>
      <c r="K395" s="28">
        <f>IF(OR(A395="",C395=""),"",IF(IFERROR(INDEX(DayStat,A395-DATE(PlanYear,1,1)+1)&amp;"","")&lt;&gt;"",0,1))</f>
        <v/>
      </c>
      <c r="L395" s="28">
        <f>IF(K395="","",K395*IFERROR(VLOOKUP(C395,CodeTable,4,0),0))</f>
        <v/>
      </c>
    </row>
    <row r="396">
      <c r="A396" s="22" t="n"/>
      <c r="B396" s="23" t="n"/>
      <c r="C396" s="24" t="n"/>
      <c r="D396" s="25" t="n"/>
      <c r="E396" s="26" t="n"/>
      <c r="F396" s="26" t="n"/>
      <c r="G396" s="27">
        <f>IF(C396="","",IFERROR(VLOOKUP(C396,CodeTable,3,0),1))</f>
        <v/>
      </c>
      <c r="H396" s="27">
        <f>IF(C396="","",IF(E396&lt;&gt;"",E396,IF(IFERROR(VLOOKUP(C396,CodeTable,5,0)&amp;"","")="","All",VLOOKUP(C396,CodeTable,5,0)&amp;"")))</f>
        <v/>
      </c>
      <c r="I396" s="28">
        <f>IF(OR(A396="",C396=""),"",A396&amp;"|"&amp;B396&amp;"|"&amp;(COUNTIFS(FlDate,A396,FlShift,B396,FlCode,"&lt;&gt;",FlOrder,"&lt;"&amp;J396)+COUNTIFS(A$6:A396,A396,B$6:B396,B396,C$6:C396,"&lt;&gt;",J$6:J396,J396)))</f>
        <v/>
      </c>
      <c r="J396" s="28">
        <f>IF(C396="","",IF(D396="","zz","t"&amp;D396))</f>
        <v/>
      </c>
      <c r="K396" s="28">
        <f>IF(OR(A396="",C396=""),"",IF(IFERROR(INDEX(DayStat,A396-DATE(PlanYear,1,1)+1)&amp;"","")&lt;&gt;"",0,1))</f>
        <v/>
      </c>
      <c r="L396" s="28">
        <f>IF(K396="","",K396*IFERROR(VLOOKUP(C396,CodeTable,4,0),0))</f>
        <v/>
      </c>
    </row>
    <row r="397">
      <c r="A397" s="22" t="n"/>
      <c r="B397" s="23" t="n"/>
      <c r="C397" s="24" t="n"/>
      <c r="D397" s="25" t="n"/>
      <c r="E397" s="26" t="n"/>
      <c r="F397" s="26" t="n"/>
      <c r="G397" s="27">
        <f>IF(C397="","",IFERROR(VLOOKUP(C397,CodeTable,3,0),1))</f>
        <v/>
      </c>
      <c r="H397" s="27">
        <f>IF(C397="","",IF(E397&lt;&gt;"",E397,IF(IFERROR(VLOOKUP(C397,CodeTable,5,0)&amp;"","")="","All",VLOOKUP(C397,CodeTable,5,0)&amp;"")))</f>
        <v/>
      </c>
      <c r="I397" s="28">
        <f>IF(OR(A397="",C397=""),"",A397&amp;"|"&amp;B397&amp;"|"&amp;(COUNTIFS(FlDate,A397,FlShift,B397,FlCode,"&lt;&gt;",FlOrder,"&lt;"&amp;J397)+COUNTIFS(A$6:A397,A397,B$6:B397,B397,C$6:C397,"&lt;&gt;",J$6:J397,J397)))</f>
        <v/>
      </c>
      <c r="J397" s="28">
        <f>IF(C397="","",IF(D397="","zz","t"&amp;D397))</f>
        <v/>
      </c>
      <c r="K397" s="28">
        <f>IF(OR(A397="",C397=""),"",IF(IFERROR(INDEX(DayStat,A397-DATE(PlanYear,1,1)+1)&amp;"","")&lt;&gt;"",0,1))</f>
        <v/>
      </c>
      <c r="L397" s="28">
        <f>IF(K397="","",K397*IFERROR(VLOOKUP(C397,CodeTable,4,0),0))</f>
        <v/>
      </c>
    </row>
    <row r="398">
      <c r="A398" s="22" t="n"/>
      <c r="B398" s="23" t="n"/>
      <c r="C398" s="24" t="n"/>
      <c r="D398" s="25" t="n"/>
      <c r="E398" s="26" t="n"/>
      <c r="F398" s="26" t="n"/>
      <c r="G398" s="27">
        <f>IF(C398="","",IFERROR(VLOOKUP(C398,CodeTable,3,0),1))</f>
        <v/>
      </c>
      <c r="H398" s="27">
        <f>IF(C398="","",IF(E398&lt;&gt;"",E398,IF(IFERROR(VLOOKUP(C398,CodeTable,5,0)&amp;"","")="","All",VLOOKUP(C398,CodeTable,5,0)&amp;"")))</f>
        <v/>
      </c>
      <c r="I398" s="28">
        <f>IF(OR(A398="",C398=""),"",A398&amp;"|"&amp;B398&amp;"|"&amp;(COUNTIFS(FlDate,A398,FlShift,B398,FlCode,"&lt;&gt;",FlOrder,"&lt;"&amp;J398)+COUNTIFS(A$6:A398,A398,B$6:B398,B398,C$6:C398,"&lt;&gt;",J$6:J398,J398)))</f>
        <v/>
      </c>
      <c r="J398" s="28">
        <f>IF(C398="","",IF(D398="","zz","t"&amp;D398))</f>
        <v/>
      </c>
      <c r="K398" s="28">
        <f>IF(OR(A398="",C398=""),"",IF(IFERROR(INDEX(DayStat,A398-DATE(PlanYear,1,1)+1)&amp;"","")&lt;&gt;"",0,1))</f>
        <v/>
      </c>
      <c r="L398" s="28">
        <f>IF(K398="","",K398*IFERROR(VLOOKUP(C398,CodeTable,4,0),0))</f>
        <v/>
      </c>
    </row>
    <row r="399">
      <c r="A399" s="22" t="n"/>
      <c r="B399" s="23" t="n"/>
      <c r="C399" s="24" t="n"/>
      <c r="D399" s="25" t="n"/>
      <c r="E399" s="26" t="n"/>
      <c r="F399" s="26" t="n"/>
      <c r="G399" s="27">
        <f>IF(C399="","",IFERROR(VLOOKUP(C399,CodeTable,3,0),1))</f>
        <v/>
      </c>
      <c r="H399" s="27">
        <f>IF(C399="","",IF(E399&lt;&gt;"",E399,IF(IFERROR(VLOOKUP(C399,CodeTable,5,0)&amp;"","")="","All",VLOOKUP(C399,CodeTable,5,0)&amp;"")))</f>
        <v/>
      </c>
      <c r="I399" s="28">
        <f>IF(OR(A399="",C399=""),"",A399&amp;"|"&amp;B399&amp;"|"&amp;(COUNTIFS(FlDate,A399,FlShift,B399,FlCode,"&lt;&gt;",FlOrder,"&lt;"&amp;J399)+COUNTIFS(A$6:A399,A399,B$6:B399,B399,C$6:C399,"&lt;&gt;",J$6:J399,J399)))</f>
        <v/>
      </c>
      <c r="J399" s="28">
        <f>IF(C399="","",IF(D399="","zz","t"&amp;D399))</f>
        <v/>
      </c>
      <c r="K399" s="28">
        <f>IF(OR(A399="",C399=""),"",IF(IFERROR(INDEX(DayStat,A399-DATE(PlanYear,1,1)+1)&amp;"","")&lt;&gt;"",0,1))</f>
        <v/>
      </c>
      <c r="L399" s="28">
        <f>IF(K399="","",K399*IFERROR(VLOOKUP(C399,CodeTable,4,0),0))</f>
        <v/>
      </c>
    </row>
    <row r="400">
      <c r="A400" s="22" t="n"/>
      <c r="B400" s="23" t="n"/>
      <c r="C400" s="24" t="n"/>
      <c r="D400" s="25" t="n"/>
      <c r="E400" s="26" t="n"/>
      <c r="F400" s="26" t="n"/>
      <c r="G400" s="27">
        <f>IF(C400="","",IFERROR(VLOOKUP(C400,CodeTable,3,0),1))</f>
        <v/>
      </c>
      <c r="H400" s="27">
        <f>IF(C400="","",IF(E400&lt;&gt;"",E400,IF(IFERROR(VLOOKUP(C400,CodeTable,5,0)&amp;"","")="","All",VLOOKUP(C400,CodeTable,5,0)&amp;"")))</f>
        <v/>
      </c>
      <c r="I400" s="28">
        <f>IF(OR(A400="",C400=""),"",A400&amp;"|"&amp;B400&amp;"|"&amp;(COUNTIFS(FlDate,A400,FlShift,B400,FlCode,"&lt;&gt;",FlOrder,"&lt;"&amp;J400)+COUNTIFS(A$6:A400,A400,B$6:B400,B400,C$6:C400,"&lt;&gt;",J$6:J400,J400)))</f>
        <v/>
      </c>
      <c r="J400" s="28">
        <f>IF(C400="","",IF(D400="","zz","t"&amp;D400))</f>
        <v/>
      </c>
      <c r="K400" s="28">
        <f>IF(OR(A400="",C400=""),"",IF(IFERROR(INDEX(DayStat,A400-DATE(PlanYear,1,1)+1)&amp;"","")&lt;&gt;"",0,1))</f>
        <v/>
      </c>
      <c r="L400" s="28">
        <f>IF(K400="","",K400*IFERROR(VLOOKUP(C400,CodeTable,4,0),0))</f>
        <v/>
      </c>
    </row>
    <row r="401">
      <c r="A401" s="22" t="n"/>
      <c r="B401" s="23" t="n"/>
      <c r="C401" s="24" t="n"/>
      <c r="D401" s="25" t="n"/>
      <c r="E401" s="26" t="n"/>
      <c r="F401" s="26" t="n"/>
      <c r="G401" s="27">
        <f>IF(C401="","",IFERROR(VLOOKUP(C401,CodeTable,3,0),1))</f>
        <v/>
      </c>
      <c r="H401" s="27">
        <f>IF(C401="","",IF(E401&lt;&gt;"",E401,IF(IFERROR(VLOOKUP(C401,CodeTable,5,0)&amp;"","")="","All",VLOOKUP(C401,CodeTable,5,0)&amp;"")))</f>
        <v/>
      </c>
      <c r="I401" s="28">
        <f>IF(OR(A401="",C401=""),"",A401&amp;"|"&amp;B401&amp;"|"&amp;(COUNTIFS(FlDate,A401,FlShift,B401,FlCode,"&lt;&gt;",FlOrder,"&lt;"&amp;J401)+COUNTIFS(A$6:A401,A401,B$6:B401,B401,C$6:C401,"&lt;&gt;",J$6:J401,J401)))</f>
        <v/>
      </c>
      <c r="J401" s="28">
        <f>IF(C401="","",IF(D401="","zz","t"&amp;D401))</f>
        <v/>
      </c>
      <c r="K401" s="28">
        <f>IF(OR(A401="",C401=""),"",IF(IFERROR(INDEX(DayStat,A401-DATE(PlanYear,1,1)+1)&amp;"","")&lt;&gt;"",0,1))</f>
        <v/>
      </c>
      <c r="L401" s="28">
        <f>IF(K401="","",K401*IFERROR(VLOOKUP(C401,CodeTable,4,0),0))</f>
        <v/>
      </c>
    </row>
    <row r="402">
      <c r="A402" s="22" t="n"/>
      <c r="B402" s="23" t="n"/>
      <c r="C402" s="24" t="n"/>
      <c r="D402" s="25" t="n"/>
      <c r="E402" s="26" t="n"/>
      <c r="F402" s="26" t="n"/>
      <c r="G402" s="27">
        <f>IF(C402="","",IFERROR(VLOOKUP(C402,CodeTable,3,0),1))</f>
        <v/>
      </c>
      <c r="H402" s="27">
        <f>IF(C402="","",IF(E402&lt;&gt;"",E402,IF(IFERROR(VLOOKUP(C402,CodeTable,5,0)&amp;"","")="","All",VLOOKUP(C402,CodeTable,5,0)&amp;"")))</f>
        <v/>
      </c>
      <c r="I402" s="28">
        <f>IF(OR(A402="",C402=""),"",A402&amp;"|"&amp;B402&amp;"|"&amp;(COUNTIFS(FlDate,A402,FlShift,B402,FlCode,"&lt;&gt;",FlOrder,"&lt;"&amp;J402)+COUNTIFS(A$6:A402,A402,B$6:B402,B402,C$6:C402,"&lt;&gt;",J$6:J402,J402)))</f>
        <v/>
      </c>
      <c r="J402" s="28">
        <f>IF(C402="","",IF(D402="","zz","t"&amp;D402))</f>
        <v/>
      </c>
      <c r="K402" s="28">
        <f>IF(OR(A402="",C402=""),"",IF(IFERROR(INDEX(DayStat,A402-DATE(PlanYear,1,1)+1)&amp;"","")&lt;&gt;"",0,1))</f>
        <v/>
      </c>
      <c r="L402" s="28">
        <f>IF(K402="","",K402*IFERROR(VLOOKUP(C402,CodeTable,4,0),0))</f>
        <v/>
      </c>
    </row>
    <row r="403">
      <c r="A403" s="22" t="n"/>
      <c r="B403" s="23" t="n"/>
      <c r="C403" s="24" t="n"/>
      <c r="D403" s="25" t="n"/>
      <c r="E403" s="26" t="n"/>
      <c r="F403" s="26" t="n"/>
      <c r="G403" s="27">
        <f>IF(C403="","",IFERROR(VLOOKUP(C403,CodeTable,3,0),1))</f>
        <v/>
      </c>
      <c r="H403" s="27">
        <f>IF(C403="","",IF(E403&lt;&gt;"",E403,IF(IFERROR(VLOOKUP(C403,CodeTable,5,0)&amp;"","")="","All",VLOOKUP(C403,CodeTable,5,0)&amp;"")))</f>
        <v/>
      </c>
      <c r="I403" s="28">
        <f>IF(OR(A403="",C403=""),"",A403&amp;"|"&amp;B403&amp;"|"&amp;(COUNTIFS(FlDate,A403,FlShift,B403,FlCode,"&lt;&gt;",FlOrder,"&lt;"&amp;J403)+COUNTIFS(A$6:A403,A403,B$6:B403,B403,C$6:C403,"&lt;&gt;",J$6:J403,J403)))</f>
        <v/>
      </c>
      <c r="J403" s="28">
        <f>IF(C403="","",IF(D403="","zz","t"&amp;D403))</f>
        <v/>
      </c>
      <c r="K403" s="28">
        <f>IF(OR(A403="",C403=""),"",IF(IFERROR(INDEX(DayStat,A403-DATE(PlanYear,1,1)+1)&amp;"","")&lt;&gt;"",0,1))</f>
        <v/>
      </c>
      <c r="L403" s="28">
        <f>IF(K403="","",K403*IFERROR(VLOOKUP(C403,CodeTable,4,0),0))</f>
        <v/>
      </c>
    </row>
    <row r="404">
      <c r="A404" s="22" t="n"/>
      <c r="B404" s="23" t="n"/>
      <c r="C404" s="24" t="n"/>
      <c r="D404" s="25" t="n"/>
      <c r="E404" s="26" t="n"/>
      <c r="F404" s="26" t="n"/>
      <c r="G404" s="27">
        <f>IF(C404="","",IFERROR(VLOOKUP(C404,CodeTable,3,0),1))</f>
        <v/>
      </c>
      <c r="H404" s="27">
        <f>IF(C404="","",IF(E404&lt;&gt;"",E404,IF(IFERROR(VLOOKUP(C404,CodeTable,5,0)&amp;"","")="","All",VLOOKUP(C404,CodeTable,5,0)&amp;"")))</f>
        <v/>
      </c>
      <c r="I404" s="28">
        <f>IF(OR(A404="",C404=""),"",A404&amp;"|"&amp;B404&amp;"|"&amp;(COUNTIFS(FlDate,A404,FlShift,B404,FlCode,"&lt;&gt;",FlOrder,"&lt;"&amp;J404)+COUNTIFS(A$6:A404,A404,B$6:B404,B404,C$6:C404,"&lt;&gt;",J$6:J404,J404)))</f>
        <v/>
      </c>
      <c r="J404" s="28">
        <f>IF(C404="","",IF(D404="","zz","t"&amp;D404))</f>
        <v/>
      </c>
      <c r="K404" s="28">
        <f>IF(OR(A404="",C404=""),"",IF(IFERROR(INDEX(DayStat,A404-DATE(PlanYear,1,1)+1)&amp;"","")&lt;&gt;"",0,1))</f>
        <v/>
      </c>
      <c r="L404" s="28">
        <f>IF(K404="","",K404*IFERROR(VLOOKUP(C404,CodeTable,4,0),0))</f>
        <v/>
      </c>
    </row>
    <row r="405">
      <c r="A405" s="22" t="n"/>
      <c r="B405" s="23" t="n"/>
      <c r="C405" s="24" t="n"/>
      <c r="D405" s="25" t="n"/>
      <c r="E405" s="26" t="n"/>
      <c r="F405" s="26" t="n"/>
      <c r="G405" s="27">
        <f>IF(C405="","",IFERROR(VLOOKUP(C405,CodeTable,3,0),1))</f>
        <v/>
      </c>
      <c r="H405" s="27">
        <f>IF(C405="","",IF(E405&lt;&gt;"",E405,IF(IFERROR(VLOOKUP(C405,CodeTable,5,0)&amp;"","")="","All",VLOOKUP(C405,CodeTable,5,0)&amp;"")))</f>
        <v/>
      </c>
      <c r="I405" s="28">
        <f>IF(OR(A405="",C405=""),"",A405&amp;"|"&amp;B405&amp;"|"&amp;(COUNTIFS(FlDate,A405,FlShift,B405,FlCode,"&lt;&gt;",FlOrder,"&lt;"&amp;J405)+COUNTIFS(A$6:A405,A405,B$6:B405,B405,C$6:C405,"&lt;&gt;",J$6:J405,J405)))</f>
        <v/>
      </c>
      <c r="J405" s="28">
        <f>IF(C405="","",IF(D405="","zz","t"&amp;D405))</f>
        <v/>
      </c>
      <c r="K405" s="28">
        <f>IF(OR(A405="",C405=""),"",IF(IFERROR(INDEX(DayStat,A405-DATE(PlanYear,1,1)+1)&amp;"","")&lt;&gt;"",0,1))</f>
        <v/>
      </c>
      <c r="L405" s="28">
        <f>IF(K405="","",K405*IFERROR(VLOOKUP(C405,CodeTable,4,0),0))</f>
        <v/>
      </c>
    </row>
    <row r="406">
      <c r="A406" s="22" t="n"/>
      <c r="B406" s="23" t="n"/>
      <c r="C406" s="24" t="n"/>
      <c r="D406" s="25" t="n"/>
      <c r="E406" s="26" t="n"/>
      <c r="F406" s="26" t="n"/>
      <c r="G406" s="27">
        <f>IF(C406="","",IFERROR(VLOOKUP(C406,CodeTable,3,0),1))</f>
        <v/>
      </c>
      <c r="H406" s="27">
        <f>IF(C406="","",IF(E406&lt;&gt;"",E406,IF(IFERROR(VLOOKUP(C406,CodeTable,5,0)&amp;"","")="","All",VLOOKUP(C406,CodeTable,5,0)&amp;"")))</f>
        <v/>
      </c>
      <c r="I406" s="28">
        <f>IF(OR(A406="",C406=""),"",A406&amp;"|"&amp;B406&amp;"|"&amp;(COUNTIFS(FlDate,A406,FlShift,B406,FlCode,"&lt;&gt;",FlOrder,"&lt;"&amp;J406)+COUNTIFS(A$6:A406,A406,B$6:B406,B406,C$6:C406,"&lt;&gt;",J$6:J406,J406)))</f>
        <v/>
      </c>
      <c r="J406" s="28">
        <f>IF(C406="","",IF(D406="","zz","t"&amp;D406))</f>
        <v/>
      </c>
      <c r="K406" s="28">
        <f>IF(OR(A406="",C406=""),"",IF(IFERROR(INDEX(DayStat,A406-DATE(PlanYear,1,1)+1)&amp;"","")&lt;&gt;"",0,1))</f>
        <v/>
      </c>
      <c r="L406" s="28">
        <f>IF(K406="","",K406*IFERROR(VLOOKUP(C406,CodeTable,4,0),0))</f>
        <v/>
      </c>
    </row>
    <row r="407">
      <c r="A407" s="22" t="n"/>
      <c r="B407" s="23" t="n"/>
      <c r="C407" s="24" t="n"/>
      <c r="D407" s="25" t="n"/>
      <c r="E407" s="26" t="n"/>
      <c r="F407" s="26" t="n"/>
      <c r="G407" s="27">
        <f>IF(C407="","",IFERROR(VLOOKUP(C407,CodeTable,3,0),1))</f>
        <v/>
      </c>
      <c r="H407" s="27">
        <f>IF(C407="","",IF(E407&lt;&gt;"",E407,IF(IFERROR(VLOOKUP(C407,CodeTable,5,0)&amp;"","")="","All",VLOOKUP(C407,CodeTable,5,0)&amp;"")))</f>
        <v/>
      </c>
      <c r="I407" s="28">
        <f>IF(OR(A407="",C407=""),"",A407&amp;"|"&amp;B407&amp;"|"&amp;(COUNTIFS(FlDate,A407,FlShift,B407,FlCode,"&lt;&gt;",FlOrder,"&lt;"&amp;J407)+COUNTIFS(A$6:A407,A407,B$6:B407,B407,C$6:C407,"&lt;&gt;",J$6:J407,J407)))</f>
        <v/>
      </c>
      <c r="J407" s="28">
        <f>IF(C407="","",IF(D407="","zz","t"&amp;D407))</f>
        <v/>
      </c>
      <c r="K407" s="28">
        <f>IF(OR(A407="",C407=""),"",IF(IFERROR(INDEX(DayStat,A407-DATE(PlanYear,1,1)+1)&amp;"","")&lt;&gt;"",0,1))</f>
        <v/>
      </c>
      <c r="L407" s="28">
        <f>IF(K407="","",K407*IFERROR(VLOOKUP(C407,CodeTable,4,0),0))</f>
        <v/>
      </c>
    </row>
    <row r="408">
      <c r="A408" s="22" t="n"/>
      <c r="B408" s="23" t="n"/>
      <c r="C408" s="24" t="n"/>
      <c r="D408" s="25" t="n"/>
      <c r="E408" s="26" t="n"/>
      <c r="F408" s="26" t="n"/>
      <c r="G408" s="27">
        <f>IF(C408="","",IFERROR(VLOOKUP(C408,CodeTable,3,0),1))</f>
        <v/>
      </c>
      <c r="H408" s="27">
        <f>IF(C408="","",IF(E408&lt;&gt;"",E408,IF(IFERROR(VLOOKUP(C408,CodeTable,5,0)&amp;"","")="","All",VLOOKUP(C408,CodeTable,5,0)&amp;"")))</f>
        <v/>
      </c>
      <c r="I408" s="28">
        <f>IF(OR(A408="",C408=""),"",A408&amp;"|"&amp;B408&amp;"|"&amp;(COUNTIFS(FlDate,A408,FlShift,B408,FlCode,"&lt;&gt;",FlOrder,"&lt;"&amp;J408)+COUNTIFS(A$6:A408,A408,B$6:B408,B408,C$6:C408,"&lt;&gt;",J$6:J408,J408)))</f>
        <v/>
      </c>
      <c r="J408" s="28">
        <f>IF(C408="","",IF(D408="","zz","t"&amp;D408))</f>
        <v/>
      </c>
      <c r="K408" s="28">
        <f>IF(OR(A408="",C408=""),"",IF(IFERROR(INDEX(DayStat,A408-DATE(PlanYear,1,1)+1)&amp;"","")&lt;&gt;"",0,1))</f>
        <v/>
      </c>
      <c r="L408" s="28">
        <f>IF(K408="","",K408*IFERROR(VLOOKUP(C408,CodeTable,4,0),0))</f>
        <v/>
      </c>
    </row>
    <row r="409">
      <c r="A409" s="22" t="n"/>
      <c r="B409" s="23" t="n"/>
      <c r="C409" s="24" t="n"/>
      <c r="D409" s="25" t="n"/>
      <c r="E409" s="26" t="n"/>
      <c r="F409" s="26" t="n"/>
      <c r="G409" s="27">
        <f>IF(C409="","",IFERROR(VLOOKUP(C409,CodeTable,3,0),1))</f>
        <v/>
      </c>
      <c r="H409" s="27">
        <f>IF(C409="","",IF(E409&lt;&gt;"",E409,IF(IFERROR(VLOOKUP(C409,CodeTable,5,0)&amp;"","")="","All",VLOOKUP(C409,CodeTable,5,0)&amp;"")))</f>
        <v/>
      </c>
      <c r="I409" s="28">
        <f>IF(OR(A409="",C409=""),"",A409&amp;"|"&amp;B409&amp;"|"&amp;(COUNTIFS(FlDate,A409,FlShift,B409,FlCode,"&lt;&gt;",FlOrder,"&lt;"&amp;J409)+COUNTIFS(A$6:A409,A409,B$6:B409,B409,C$6:C409,"&lt;&gt;",J$6:J409,J409)))</f>
        <v/>
      </c>
      <c r="J409" s="28">
        <f>IF(C409="","",IF(D409="","zz","t"&amp;D409))</f>
        <v/>
      </c>
      <c r="K409" s="28">
        <f>IF(OR(A409="",C409=""),"",IF(IFERROR(INDEX(DayStat,A409-DATE(PlanYear,1,1)+1)&amp;"","")&lt;&gt;"",0,1))</f>
        <v/>
      </c>
      <c r="L409" s="28">
        <f>IF(K409="","",K409*IFERROR(VLOOKUP(C409,CodeTable,4,0),0))</f>
        <v/>
      </c>
    </row>
    <row r="410">
      <c r="A410" s="22" t="n"/>
      <c r="B410" s="23" t="n"/>
      <c r="C410" s="24" t="n"/>
      <c r="D410" s="25" t="n"/>
      <c r="E410" s="26" t="n"/>
      <c r="F410" s="26" t="n"/>
      <c r="G410" s="27">
        <f>IF(C410="","",IFERROR(VLOOKUP(C410,CodeTable,3,0),1))</f>
        <v/>
      </c>
      <c r="H410" s="27">
        <f>IF(C410="","",IF(E410&lt;&gt;"",E410,IF(IFERROR(VLOOKUP(C410,CodeTable,5,0)&amp;"","")="","All",VLOOKUP(C410,CodeTable,5,0)&amp;"")))</f>
        <v/>
      </c>
      <c r="I410" s="28">
        <f>IF(OR(A410="",C410=""),"",A410&amp;"|"&amp;B410&amp;"|"&amp;(COUNTIFS(FlDate,A410,FlShift,B410,FlCode,"&lt;&gt;",FlOrder,"&lt;"&amp;J410)+COUNTIFS(A$6:A410,A410,B$6:B410,B410,C$6:C410,"&lt;&gt;",J$6:J410,J410)))</f>
        <v/>
      </c>
      <c r="J410" s="28">
        <f>IF(C410="","",IF(D410="","zz","t"&amp;D410))</f>
        <v/>
      </c>
      <c r="K410" s="28">
        <f>IF(OR(A410="",C410=""),"",IF(IFERROR(INDEX(DayStat,A410-DATE(PlanYear,1,1)+1)&amp;"","")&lt;&gt;"",0,1))</f>
        <v/>
      </c>
      <c r="L410" s="28">
        <f>IF(K410="","",K410*IFERROR(VLOOKUP(C410,CodeTable,4,0),0))</f>
        <v/>
      </c>
    </row>
    <row r="411">
      <c r="A411" s="22" t="n"/>
      <c r="B411" s="23" t="n"/>
      <c r="C411" s="24" t="n"/>
      <c r="D411" s="25" t="n"/>
      <c r="E411" s="26" t="n"/>
      <c r="F411" s="26" t="n"/>
      <c r="G411" s="27">
        <f>IF(C411="","",IFERROR(VLOOKUP(C411,CodeTable,3,0),1))</f>
        <v/>
      </c>
      <c r="H411" s="27">
        <f>IF(C411="","",IF(E411&lt;&gt;"",E411,IF(IFERROR(VLOOKUP(C411,CodeTable,5,0)&amp;"","")="","All",VLOOKUP(C411,CodeTable,5,0)&amp;"")))</f>
        <v/>
      </c>
      <c r="I411" s="28">
        <f>IF(OR(A411="",C411=""),"",A411&amp;"|"&amp;B411&amp;"|"&amp;(COUNTIFS(FlDate,A411,FlShift,B411,FlCode,"&lt;&gt;",FlOrder,"&lt;"&amp;J411)+COUNTIFS(A$6:A411,A411,B$6:B411,B411,C$6:C411,"&lt;&gt;",J$6:J411,J411)))</f>
        <v/>
      </c>
      <c r="J411" s="28">
        <f>IF(C411="","",IF(D411="","zz","t"&amp;D411))</f>
        <v/>
      </c>
      <c r="K411" s="28">
        <f>IF(OR(A411="",C411=""),"",IF(IFERROR(INDEX(DayStat,A411-DATE(PlanYear,1,1)+1)&amp;"","")&lt;&gt;"",0,1))</f>
        <v/>
      </c>
      <c r="L411" s="28">
        <f>IF(K411="","",K411*IFERROR(VLOOKUP(C411,CodeTable,4,0),0))</f>
        <v/>
      </c>
    </row>
    <row r="412">
      <c r="A412" s="22" t="n"/>
      <c r="B412" s="23" t="n"/>
      <c r="C412" s="24" t="n"/>
      <c r="D412" s="25" t="n"/>
      <c r="E412" s="26" t="n"/>
      <c r="F412" s="26" t="n"/>
      <c r="G412" s="27">
        <f>IF(C412="","",IFERROR(VLOOKUP(C412,CodeTable,3,0),1))</f>
        <v/>
      </c>
      <c r="H412" s="27">
        <f>IF(C412="","",IF(E412&lt;&gt;"",E412,IF(IFERROR(VLOOKUP(C412,CodeTable,5,0)&amp;"","")="","All",VLOOKUP(C412,CodeTable,5,0)&amp;"")))</f>
        <v/>
      </c>
      <c r="I412" s="28">
        <f>IF(OR(A412="",C412=""),"",A412&amp;"|"&amp;B412&amp;"|"&amp;(COUNTIFS(FlDate,A412,FlShift,B412,FlCode,"&lt;&gt;",FlOrder,"&lt;"&amp;J412)+COUNTIFS(A$6:A412,A412,B$6:B412,B412,C$6:C412,"&lt;&gt;",J$6:J412,J412)))</f>
        <v/>
      </c>
      <c r="J412" s="28">
        <f>IF(C412="","",IF(D412="","zz","t"&amp;D412))</f>
        <v/>
      </c>
      <c r="K412" s="28">
        <f>IF(OR(A412="",C412=""),"",IF(IFERROR(INDEX(DayStat,A412-DATE(PlanYear,1,1)+1)&amp;"","")&lt;&gt;"",0,1))</f>
        <v/>
      </c>
      <c r="L412" s="28">
        <f>IF(K412="","",K412*IFERROR(VLOOKUP(C412,CodeTable,4,0),0))</f>
        <v/>
      </c>
    </row>
    <row r="413">
      <c r="A413" s="22" t="n"/>
      <c r="B413" s="23" t="n"/>
      <c r="C413" s="24" t="n"/>
      <c r="D413" s="25" t="n"/>
      <c r="E413" s="26" t="n"/>
      <c r="F413" s="26" t="n"/>
      <c r="G413" s="27">
        <f>IF(C413="","",IFERROR(VLOOKUP(C413,CodeTable,3,0),1))</f>
        <v/>
      </c>
      <c r="H413" s="27">
        <f>IF(C413="","",IF(E413&lt;&gt;"",E413,IF(IFERROR(VLOOKUP(C413,CodeTable,5,0)&amp;"","")="","All",VLOOKUP(C413,CodeTable,5,0)&amp;"")))</f>
        <v/>
      </c>
      <c r="I413" s="28">
        <f>IF(OR(A413="",C413=""),"",A413&amp;"|"&amp;B413&amp;"|"&amp;(COUNTIFS(FlDate,A413,FlShift,B413,FlCode,"&lt;&gt;",FlOrder,"&lt;"&amp;J413)+COUNTIFS(A$6:A413,A413,B$6:B413,B413,C$6:C413,"&lt;&gt;",J$6:J413,J413)))</f>
        <v/>
      </c>
      <c r="J413" s="28">
        <f>IF(C413="","",IF(D413="","zz","t"&amp;D413))</f>
        <v/>
      </c>
      <c r="K413" s="28">
        <f>IF(OR(A413="",C413=""),"",IF(IFERROR(INDEX(DayStat,A413-DATE(PlanYear,1,1)+1)&amp;"","")&lt;&gt;"",0,1))</f>
        <v/>
      </c>
      <c r="L413" s="28">
        <f>IF(K413="","",K413*IFERROR(VLOOKUP(C413,CodeTable,4,0),0))</f>
        <v/>
      </c>
    </row>
    <row r="414">
      <c r="A414" s="22" t="n"/>
      <c r="B414" s="23" t="n"/>
      <c r="C414" s="24" t="n"/>
      <c r="D414" s="25" t="n"/>
      <c r="E414" s="26" t="n"/>
      <c r="F414" s="26" t="n"/>
      <c r="G414" s="27">
        <f>IF(C414="","",IFERROR(VLOOKUP(C414,CodeTable,3,0),1))</f>
        <v/>
      </c>
      <c r="H414" s="27">
        <f>IF(C414="","",IF(E414&lt;&gt;"",E414,IF(IFERROR(VLOOKUP(C414,CodeTable,5,0)&amp;"","")="","All",VLOOKUP(C414,CodeTable,5,0)&amp;"")))</f>
        <v/>
      </c>
      <c r="I414" s="28">
        <f>IF(OR(A414="",C414=""),"",A414&amp;"|"&amp;B414&amp;"|"&amp;(COUNTIFS(FlDate,A414,FlShift,B414,FlCode,"&lt;&gt;",FlOrder,"&lt;"&amp;J414)+COUNTIFS(A$6:A414,A414,B$6:B414,B414,C$6:C414,"&lt;&gt;",J$6:J414,J414)))</f>
        <v/>
      </c>
      <c r="J414" s="28">
        <f>IF(C414="","",IF(D414="","zz","t"&amp;D414))</f>
        <v/>
      </c>
      <c r="K414" s="28">
        <f>IF(OR(A414="",C414=""),"",IF(IFERROR(INDEX(DayStat,A414-DATE(PlanYear,1,1)+1)&amp;"","")&lt;&gt;"",0,1))</f>
        <v/>
      </c>
      <c r="L414" s="28">
        <f>IF(K414="","",K414*IFERROR(VLOOKUP(C414,CodeTable,4,0),0))</f>
        <v/>
      </c>
    </row>
    <row r="415">
      <c r="A415" s="22" t="n"/>
      <c r="B415" s="23" t="n"/>
      <c r="C415" s="24" t="n"/>
      <c r="D415" s="25" t="n"/>
      <c r="E415" s="26" t="n"/>
      <c r="F415" s="26" t="n"/>
      <c r="G415" s="27">
        <f>IF(C415="","",IFERROR(VLOOKUP(C415,CodeTable,3,0),1))</f>
        <v/>
      </c>
      <c r="H415" s="27">
        <f>IF(C415="","",IF(E415&lt;&gt;"",E415,IF(IFERROR(VLOOKUP(C415,CodeTable,5,0)&amp;"","")="","All",VLOOKUP(C415,CodeTable,5,0)&amp;"")))</f>
        <v/>
      </c>
      <c r="I415" s="28">
        <f>IF(OR(A415="",C415=""),"",A415&amp;"|"&amp;B415&amp;"|"&amp;(COUNTIFS(FlDate,A415,FlShift,B415,FlCode,"&lt;&gt;",FlOrder,"&lt;"&amp;J415)+COUNTIFS(A$6:A415,A415,B$6:B415,B415,C$6:C415,"&lt;&gt;",J$6:J415,J415)))</f>
        <v/>
      </c>
      <c r="J415" s="28">
        <f>IF(C415="","",IF(D415="","zz","t"&amp;D415))</f>
        <v/>
      </c>
      <c r="K415" s="28">
        <f>IF(OR(A415="",C415=""),"",IF(IFERROR(INDEX(DayStat,A415-DATE(PlanYear,1,1)+1)&amp;"","")&lt;&gt;"",0,1))</f>
        <v/>
      </c>
      <c r="L415" s="28">
        <f>IF(K415="","",K415*IFERROR(VLOOKUP(C415,CodeTable,4,0),0))</f>
        <v/>
      </c>
    </row>
    <row r="416">
      <c r="A416" s="22" t="n"/>
      <c r="B416" s="23" t="n"/>
      <c r="C416" s="24" t="n"/>
      <c r="D416" s="25" t="n"/>
      <c r="E416" s="26" t="n"/>
      <c r="F416" s="26" t="n"/>
      <c r="G416" s="27">
        <f>IF(C416="","",IFERROR(VLOOKUP(C416,CodeTable,3,0),1))</f>
        <v/>
      </c>
      <c r="H416" s="27">
        <f>IF(C416="","",IF(E416&lt;&gt;"",E416,IF(IFERROR(VLOOKUP(C416,CodeTable,5,0)&amp;"","")="","All",VLOOKUP(C416,CodeTable,5,0)&amp;"")))</f>
        <v/>
      </c>
      <c r="I416" s="28">
        <f>IF(OR(A416="",C416=""),"",A416&amp;"|"&amp;B416&amp;"|"&amp;(COUNTIFS(FlDate,A416,FlShift,B416,FlCode,"&lt;&gt;",FlOrder,"&lt;"&amp;J416)+COUNTIFS(A$6:A416,A416,B$6:B416,B416,C$6:C416,"&lt;&gt;",J$6:J416,J416)))</f>
        <v/>
      </c>
      <c r="J416" s="28">
        <f>IF(C416="","",IF(D416="","zz","t"&amp;D416))</f>
        <v/>
      </c>
      <c r="K416" s="28">
        <f>IF(OR(A416="",C416=""),"",IF(IFERROR(INDEX(DayStat,A416-DATE(PlanYear,1,1)+1)&amp;"","")&lt;&gt;"",0,1))</f>
        <v/>
      </c>
      <c r="L416" s="28">
        <f>IF(K416="","",K416*IFERROR(VLOOKUP(C416,CodeTable,4,0),0))</f>
        <v/>
      </c>
    </row>
    <row r="417">
      <c r="A417" s="22" t="n"/>
      <c r="B417" s="23" t="n"/>
      <c r="C417" s="24" t="n"/>
      <c r="D417" s="25" t="n"/>
      <c r="E417" s="26" t="n"/>
      <c r="F417" s="26" t="n"/>
      <c r="G417" s="27">
        <f>IF(C417="","",IFERROR(VLOOKUP(C417,CodeTable,3,0),1))</f>
        <v/>
      </c>
      <c r="H417" s="27">
        <f>IF(C417="","",IF(E417&lt;&gt;"",E417,IF(IFERROR(VLOOKUP(C417,CodeTable,5,0)&amp;"","")="","All",VLOOKUP(C417,CodeTable,5,0)&amp;"")))</f>
        <v/>
      </c>
      <c r="I417" s="28">
        <f>IF(OR(A417="",C417=""),"",A417&amp;"|"&amp;B417&amp;"|"&amp;(COUNTIFS(FlDate,A417,FlShift,B417,FlCode,"&lt;&gt;",FlOrder,"&lt;"&amp;J417)+COUNTIFS(A$6:A417,A417,B$6:B417,B417,C$6:C417,"&lt;&gt;",J$6:J417,J417)))</f>
        <v/>
      </c>
      <c r="J417" s="28">
        <f>IF(C417="","",IF(D417="","zz","t"&amp;D417))</f>
        <v/>
      </c>
      <c r="K417" s="28">
        <f>IF(OR(A417="",C417=""),"",IF(IFERROR(INDEX(DayStat,A417-DATE(PlanYear,1,1)+1)&amp;"","")&lt;&gt;"",0,1))</f>
        <v/>
      </c>
      <c r="L417" s="28">
        <f>IF(K417="","",K417*IFERROR(VLOOKUP(C417,CodeTable,4,0),0))</f>
        <v/>
      </c>
    </row>
    <row r="418">
      <c r="A418" s="22" t="n"/>
      <c r="B418" s="23" t="n"/>
      <c r="C418" s="24" t="n"/>
      <c r="D418" s="25" t="n"/>
      <c r="E418" s="26" t="n"/>
      <c r="F418" s="26" t="n"/>
      <c r="G418" s="27">
        <f>IF(C418="","",IFERROR(VLOOKUP(C418,CodeTable,3,0),1))</f>
        <v/>
      </c>
      <c r="H418" s="27">
        <f>IF(C418="","",IF(E418&lt;&gt;"",E418,IF(IFERROR(VLOOKUP(C418,CodeTable,5,0)&amp;"","")="","All",VLOOKUP(C418,CodeTable,5,0)&amp;"")))</f>
        <v/>
      </c>
      <c r="I418" s="28">
        <f>IF(OR(A418="",C418=""),"",A418&amp;"|"&amp;B418&amp;"|"&amp;(COUNTIFS(FlDate,A418,FlShift,B418,FlCode,"&lt;&gt;",FlOrder,"&lt;"&amp;J418)+COUNTIFS(A$6:A418,A418,B$6:B418,B418,C$6:C418,"&lt;&gt;",J$6:J418,J418)))</f>
        <v/>
      </c>
      <c r="J418" s="28">
        <f>IF(C418="","",IF(D418="","zz","t"&amp;D418))</f>
        <v/>
      </c>
      <c r="K418" s="28">
        <f>IF(OR(A418="",C418=""),"",IF(IFERROR(INDEX(DayStat,A418-DATE(PlanYear,1,1)+1)&amp;"","")&lt;&gt;"",0,1))</f>
        <v/>
      </c>
      <c r="L418" s="28">
        <f>IF(K418="","",K418*IFERROR(VLOOKUP(C418,CodeTable,4,0),0))</f>
        <v/>
      </c>
    </row>
    <row r="419">
      <c r="A419" s="22" t="n"/>
      <c r="B419" s="23" t="n"/>
      <c r="C419" s="24" t="n"/>
      <c r="D419" s="25" t="n"/>
      <c r="E419" s="26" t="n"/>
      <c r="F419" s="26" t="n"/>
      <c r="G419" s="27">
        <f>IF(C419="","",IFERROR(VLOOKUP(C419,CodeTable,3,0),1))</f>
        <v/>
      </c>
      <c r="H419" s="27">
        <f>IF(C419="","",IF(E419&lt;&gt;"",E419,IF(IFERROR(VLOOKUP(C419,CodeTable,5,0)&amp;"","")="","All",VLOOKUP(C419,CodeTable,5,0)&amp;"")))</f>
        <v/>
      </c>
      <c r="I419" s="28">
        <f>IF(OR(A419="",C419=""),"",A419&amp;"|"&amp;B419&amp;"|"&amp;(COUNTIFS(FlDate,A419,FlShift,B419,FlCode,"&lt;&gt;",FlOrder,"&lt;"&amp;J419)+COUNTIFS(A$6:A419,A419,B$6:B419,B419,C$6:C419,"&lt;&gt;",J$6:J419,J419)))</f>
        <v/>
      </c>
      <c r="J419" s="28">
        <f>IF(C419="","",IF(D419="","zz","t"&amp;D419))</f>
        <v/>
      </c>
      <c r="K419" s="28">
        <f>IF(OR(A419="",C419=""),"",IF(IFERROR(INDEX(DayStat,A419-DATE(PlanYear,1,1)+1)&amp;"","")&lt;&gt;"",0,1))</f>
        <v/>
      </c>
      <c r="L419" s="28">
        <f>IF(K419="","",K419*IFERROR(VLOOKUP(C419,CodeTable,4,0),0))</f>
        <v/>
      </c>
    </row>
    <row r="420">
      <c r="A420" s="22" t="n"/>
      <c r="B420" s="23" t="n"/>
      <c r="C420" s="24" t="n"/>
      <c r="D420" s="25" t="n"/>
      <c r="E420" s="26" t="n"/>
      <c r="F420" s="26" t="n"/>
      <c r="G420" s="27">
        <f>IF(C420="","",IFERROR(VLOOKUP(C420,CodeTable,3,0),1))</f>
        <v/>
      </c>
      <c r="H420" s="27">
        <f>IF(C420="","",IF(E420&lt;&gt;"",E420,IF(IFERROR(VLOOKUP(C420,CodeTable,5,0)&amp;"","")="","All",VLOOKUP(C420,CodeTable,5,0)&amp;"")))</f>
        <v/>
      </c>
      <c r="I420" s="28">
        <f>IF(OR(A420="",C420=""),"",A420&amp;"|"&amp;B420&amp;"|"&amp;(COUNTIFS(FlDate,A420,FlShift,B420,FlCode,"&lt;&gt;",FlOrder,"&lt;"&amp;J420)+COUNTIFS(A$6:A420,A420,B$6:B420,B420,C$6:C420,"&lt;&gt;",J$6:J420,J420)))</f>
        <v/>
      </c>
      <c r="J420" s="28">
        <f>IF(C420="","",IF(D420="","zz","t"&amp;D420))</f>
        <v/>
      </c>
      <c r="K420" s="28">
        <f>IF(OR(A420="",C420=""),"",IF(IFERROR(INDEX(DayStat,A420-DATE(PlanYear,1,1)+1)&amp;"","")&lt;&gt;"",0,1))</f>
        <v/>
      </c>
      <c r="L420" s="28">
        <f>IF(K420="","",K420*IFERROR(VLOOKUP(C420,CodeTable,4,0),0))</f>
        <v/>
      </c>
    </row>
    <row r="421">
      <c r="A421" s="22" t="n"/>
      <c r="B421" s="23" t="n"/>
      <c r="C421" s="24" t="n"/>
      <c r="D421" s="25" t="n"/>
      <c r="E421" s="26" t="n"/>
      <c r="F421" s="26" t="n"/>
      <c r="G421" s="27">
        <f>IF(C421="","",IFERROR(VLOOKUP(C421,CodeTable,3,0),1))</f>
        <v/>
      </c>
      <c r="H421" s="27">
        <f>IF(C421="","",IF(E421&lt;&gt;"",E421,IF(IFERROR(VLOOKUP(C421,CodeTable,5,0)&amp;"","")="","All",VLOOKUP(C421,CodeTable,5,0)&amp;"")))</f>
        <v/>
      </c>
      <c r="I421" s="28">
        <f>IF(OR(A421="",C421=""),"",A421&amp;"|"&amp;B421&amp;"|"&amp;(COUNTIFS(FlDate,A421,FlShift,B421,FlCode,"&lt;&gt;",FlOrder,"&lt;"&amp;J421)+COUNTIFS(A$6:A421,A421,B$6:B421,B421,C$6:C421,"&lt;&gt;",J$6:J421,J421)))</f>
        <v/>
      </c>
      <c r="J421" s="28">
        <f>IF(C421="","",IF(D421="","zz","t"&amp;D421))</f>
        <v/>
      </c>
      <c r="K421" s="28">
        <f>IF(OR(A421="",C421=""),"",IF(IFERROR(INDEX(DayStat,A421-DATE(PlanYear,1,1)+1)&amp;"","")&lt;&gt;"",0,1))</f>
        <v/>
      </c>
      <c r="L421" s="28">
        <f>IF(K421="","",K421*IFERROR(VLOOKUP(C421,CodeTable,4,0),0))</f>
        <v/>
      </c>
    </row>
    <row r="422">
      <c r="A422" s="22" t="n"/>
      <c r="B422" s="23" t="n"/>
      <c r="C422" s="24" t="n"/>
      <c r="D422" s="25" t="n"/>
      <c r="E422" s="26" t="n"/>
      <c r="F422" s="26" t="n"/>
      <c r="G422" s="27">
        <f>IF(C422="","",IFERROR(VLOOKUP(C422,CodeTable,3,0),1))</f>
        <v/>
      </c>
      <c r="H422" s="27">
        <f>IF(C422="","",IF(E422&lt;&gt;"",E422,IF(IFERROR(VLOOKUP(C422,CodeTable,5,0)&amp;"","")="","All",VLOOKUP(C422,CodeTable,5,0)&amp;"")))</f>
        <v/>
      </c>
      <c r="I422" s="28">
        <f>IF(OR(A422="",C422=""),"",A422&amp;"|"&amp;B422&amp;"|"&amp;(COUNTIFS(FlDate,A422,FlShift,B422,FlCode,"&lt;&gt;",FlOrder,"&lt;"&amp;J422)+COUNTIFS(A$6:A422,A422,B$6:B422,B422,C$6:C422,"&lt;&gt;",J$6:J422,J422)))</f>
        <v/>
      </c>
      <c r="J422" s="28">
        <f>IF(C422="","",IF(D422="","zz","t"&amp;D422))</f>
        <v/>
      </c>
      <c r="K422" s="28">
        <f>IF(OR(A422="",C422=""),"",IF(IFERROR(INDEX(DayStat,A422-DATE(PlanYear,1,1)+1)&amp;"","")&lt;&gt;"",0,1))</f>
        <v/>
      </c>
      <c r="L422" s="28">
        <f>IF(K422="","",K422*IFERROR(VLOOKUP(C422,CodeTable,4,0),0))</f>
        <v/>
      </c>
    </row>
    <row r="423">
      <c r="A423" s="22" t="n"/>
      <c r="B423" s="23" t="n"/>
      <c r="C423" s="24" t="n"/>
      <c r="D423" s="25" t="n"/>
      <c r="E423" s="26" t="n"/>
      <c r="F423" s="26" t="n"/>
      <c r="G423" s="27">
        <f>IF(C423="","",IFERROR(VLOOKUP(C423,CodeTable,3,0),1))</f>
        <v/>
      </c>
      <c r="H423" s="27">
        <f>IF(C423="","",IF(E423&lt;&gt;"",E423,IF(IFERROR(VLOOKUP(C423,CodeTable,5,0)&amp;"","")="","All",VLOOKUP(C423,CodeTable,5,0)&amp;"")))</f>
        <v/>
      </c>
      <c r="I423" s="28">
        <f>IF(OR(A423="",C423=""),"",A423&amp;"|"&amp;B423&amp;"|"&amp;(COUNTIFS(FlDate,A423,FlShift,B423,FlCode,"&lt;&gt;",FlOrder,"&lt;"&amp;J423)+COUNTIFS(A$6:A423,A423,B$6:B423,B423,C$6:C423,"&lt;&gt;",J$6:J423,J423)))</f>
        <v/>
      </c>
      <c r="J423" s="28">
        <f>IF(C423="","",IF(D423="","zz","t"&amp;D423))</f>
        <v/>
      </c>
      <c r="K423" s="28">
        <f>IF(OR(A423="",C423=""),"",IF(IFERROR(INDEX(DayStat,A423-DATE(PlanYear,1,1)+1)&amp;"","")&lt;&gt;"",0,1))</f>
        <v/>
      </c>
      <c r="L423" s="28">
        <f>IF(K423="","",K423*IFERROR(VLOOKUP(C423,CodeTable,4,0),0))</f>
        <v/>
      </c>
    </row>
    <row r="424">
      <c r="A424" s="22" t="n"/>
      <c r="B424" s="23" t="n"/>
      <c r="C424" s="24" t="n"/>
      <c r="D424" s="25" t="n"/>
      <c r="E424" s="26" t="n"/>
      <c r="F424" s="26" t="n"/>
      <c r="G424" s="27">
        <f>IF(C424="","",IFERROR(VLOOKUP(C424,CodeTable,3,0),1))</f>
        <v/>
      </c>
      <c r="H424" s="27">
        <f>IF(C424="","",IF(E424&lt;&gt;"",E424,IF(IFERROR(VLOOKUP(C424,CodeTable,5,0)&amp;"","")="","All",VLOOKUP(C424,CodeTable,5,0)&amp;"")))</f>
        <v/>
      </c>
      <c r="I424" s="28">
        <f>IF(OR(A424="",C424=""),"",A424&amp;"|"&amp;B424&amp;"|"&amp;(COUNTIFS(FlDate,A424,FlShift,B424,FlCode,"&lt;&gt;",FlOrder,"&lt;"&amp;J424)+COUNTIFS(A$6:A424,A424,B$6:B424,B424,C$6:C424,"&lt;&gt;",J$6:J424,J424)))</f>
        <v/>
      </c>
      <c r="J424" s="28">
        <f>IF(C424="","",IF(D424="","zz","t"&amp;D424))</f>
        <v/>
      </c>
      <c r="K424" s="28">
        <f>IF(OR(A424="",C424=""),"",IF(IFERROR(INDEX(DayStat,A424-DATE(PlanYear,1,1)+1)&amp;"","")&lt;&gt;"",0,1))</f>
        <v/>
      </c>
      <c r="L424" s="28">
        <f>IF(K424="","",K424*IFERROR(VLOOKUP(C424,CodeTable,4,0),0))</f>
        <v/>
      </c>
    </row>
    <row r="425">
      <c r="A425" s="22" t="n"/>
      <c r="B425" s="23" t="n"/>
      <c r="C425" s="24" t="n"/>
      <c r="D425" s="25" t="n"/>
      <c r="E425" s="26" t="n"/>
      <c r="F425" s="26" t="n"/>
      <c r="G425" s="27">
        <f>IF(C425="","",IFERROR(VLOOKUP(C425,CodeTable,3,0),1))</f>
        <v/>
      </c>
      <c r="H425" s="27">
        <f>IF(C425="","",IF(E425&lt;&gt;"",E425,IF(IFERROR(VLOOKUP(C425,CodeTable,5,0)&amp;"","")="","All",VLOOKUP(C425,CodeTable,5,0)&amp;"")))</f>
        <v/>
      </c>
      <c r="I425" s="28">
        <f>IF(OR(A425="",C425=""),"",A425&amp;"|"&amp;B425&amp;"|"&amp;(COUNTIFS(FlDate,A425,FlShift,B425,FlCode,"&lt;&gt;",FlOrder,"&lt;"&amp;J425)+COUNTIFS(A$6:A425,A425,B$6:B425,B425,C$6:C425,"&lt;&gt;",J$6:J425,J425)))</f>
        <v/>
      </c>
      <c r="J425" s="28">
        <f>IF(C425="","",IF(D425="","zz","t"&amp;D425))</f>
        <v/>
      </c>
      <c r="K425" s="28">
        <f>IF(OR(A425="",C425=""),"",IF(IFERROR(INDEX(DayStat,A425-DATE(PlanYear,1,1)+1)&amp;"","")&lt;&gt;"",0,1))</f>
        <v/>
      </c>
      <c r="L425" s="28">
        <f>IF(K425="","",K425*IFERROR(VLOOKUP(C425,CodeTable,4,0),0))</f>
        <v/>
      </c>
    </row>
    <row r="426">
      <c r="A426" s="22" t="n"/>
      <c r="B426" s="23" t="n"/>
      <c r="C426" s="24" t="n"/>
      <c r="D426" s="25" t="n"/>
      <c r="E426" s="26" t="n"/>
      <c r="F426" s="26" t="n"/>
      <c r="G426" s="27">
        <f>IF(C426="","",IFERROR(VLOOKUP(C426,CodeTable,3,0),1))</f>
        <v/>
      </c>
      <c r="H426" s="27">
        <f>IF(C426="","",IF(E426&lt;&gt;"",E426,IF(IFERROR(VLOOKUP(C426,CodeTable,5,0)&amp;"","")="","All",VLOOKUP(C426,CodeTable,5,0)&amp;"")))</f>
        <v/>
      </c>
      <c r="I426" s="28">
        <f>IF(OR(A426="",C426=""),"",A426&amp;"|"&amp;B426&amp;"|"&amp;(COUNTIFS(FlDate,A426,FlShift,B426,FlCode,"&lt;&gt;",FlOrder,"&lt;"&amp;J426)+COUNTIFS(A$6:A426,A426,B$6:B426,B426,C$6:C426,"&lt;&gt;",J$6:J426,J426)))</f>
        <v/>
      </c>
      <c r="J426" s="28">
        <f>IF(C426="","",IF(D426="","zz","t"&amp;D426))</f>
        <v/>
      </c>
      <c r="K426" s="28">
        <f>IF(OR(A426="",C426=""),"",IF(IFERROR(INDEX(DayStat,A426-DATE(PlanYear,1,1)+1)&amp;"","")&lt;&gt;"",0,1))</f>
        <v/>
      </c>
      <c r="L426" s="28">
        <f>IF(K426="","",K426*IFERROR(VLOOKUP(C426,CodeTable,4,0),0))</f>
        <v/>
      </c>
    </row>
    <row r="427">
      <c r="A427" s="22" t="n"/>
      <c r="B427" s="23" t="n"/>
      <c r="C427" s="24" t="n"/>
      <c r="D427" s="25" t="n"/>
      <c r="E427" s="26" t="n"/>
      <c r="F427" s="26" t="n"/>
      <c r="G427" s="27">
        <f>IF(C427="","",IFERROR(VLOOKUP(C427,CodeTable,3,0),1))</f>
        <v/>
      </c>
      <c r="H427" s="27">
        <f>IF(C427="","",IF(E427&lt;&gt;"",E427,IF(IFERROR(VLOOKUP(C427,CodeTable,5,0)&amp;"","")="","All",VLOOKUP(C427,CodeTable,5,0)&amp;"")))</f>
        <v/>
      </c>
      <c r="I427" s="28">
        <f>IF(OR(A427="",C427=""),"",A427&amp;"|"&amp;B427&amp;"|"&amp;(COUNTIFS(FlDate,A427,FlShift,B427,FlCode,"&lt;&gt;",FlOrder,"&lt;"&amp;J427)+COUNTIFS(A$6:A427,A427,B$6:B427,B427,C$6:C427,"&lt;&gt;",J$6:J427,J427)))</f>
        <v/>
      </c>
      <c r="J427" s="28">
        <f>IF(C427="","",IF(D427="","zz","t"&amp;D427))</f>
        <v/>
      </c>
      <c r="K427" s="28">
        <f>IF(OR(A427="",C427=""),"",IF(IFERROR(INDEX(DayStat,A427-DATE(PlanYear,1,1)+1)&amp;"","")&lt;&gt;"",0,1))</f>
        <v/>
      </c>
      <c r="L427" s="28">
        <f>IF(K427="","",K427*IFERROR(VLOOKUP(C427,CodeTable,4,0),0))</f>
        <v/>
      </c>
    </row>
    <row r="428">
      <c r="A428" s="22" t="n"/>
      <c r="B428" s="23" t="n"/>
      <c r="C428" s="24" t="n"/>
      <c r="D428" s="25" t="n"/>
      <c r="E428" s="26" t="n"/>
      <c r="F428" s="26" t="n"/>
      <c r="G428" s="27">
        <f>IF(C428="","",IFERROR(VLOOKUP(C428,CodeTable,3,0),1))</f>
        <v/>
      </c>
      <c r="H428" s="27">
        <f>IF(C428="","",IF(E428&lt;&gt;"",E428,IF(IFERROR(VLOOKUP(C428,CodeTable,5,0)&amp;"","")="","All",VLOOKUP(C428,CodeTable,5,0)&amp;"")))</f>
        <v/>
      </c>
      <c r="I428" s="28">
        <f>IF(OR(A428="",C428=""),"",A428&amp;"|"&amp;B428&amp;"|"&amp;(COUNTIFS(FlDate,A428,FlShift,B428,FlCode,"&lt;&gt;",FlOrder,"&lt;"&amp;J428)+COUNTIFS(A$6:A428,A428,B$6:B428,B428,C$6:C428,"&lt;&gt;",J$6:J428,J428)))</f>
        <v/>
      </c>
      <c r="J428" s="28">
        <f>IF(C428="","",IF(D428="","zz","t"&amp;D428))</f>
        <v/>
      </c>
      <c r="K428" s="28">
        <f>IF(OR(A428="",C428=""),"",IF(IFERROR(INDEX(DayStat,A428-DATE(PlanYear,1,1)+1)&amp;"","")&lt;&gt;"",0,1))</f>
        <v/>
      </c>
      <c r="L428" s="28">
        <f>IF(K428="","",K428*IFERROR(VLOOKUP(C428,CodeTable,4,0),0))</f>
        <v/>
      </c>
    </row>
    <row r="429">
      <c r="A429" s="22" t="n"/>
      <c r="B429" s="23" t="n"/>
      <c r="C429" s="24" t="n"/>
      <c r="D429" s="25" t="n"/>
      <c r="E429" s="26" t="n"/>
      <c r="F429" s="26" t="n"/>
      <c r="G429" s="27">
        <f>IF(C429="","",IFERROR(VLOOKUP(C429,CodeTable,3,0),1))</f>
        <v/>
      </c>
      <c r="H429" s="27">
        <f>IF(C429="","",IF(E429&lt;&gt;"",E429,IF(IFERROR(VLOOKUP(C429,CodeTable,5,0)&amp;"","")="","All",VLOOKUP(C429,CodeTable,5,0)&amp;"")))</f>
        <v/>
      </c>
      <c r="I429" s="28">
        <f>IF(OR(A429="",C429=""),"",A429&amp;"|"&amp;B429&amp;"|"&amp;(COUNTIFS(FlDate,A429,FlShift,B429,FlCode,"&lt;&gt;",FlOrder,"&lt;"&amp;J429)+COUNTIFS(A$6:A429,A429,B$6:B429,B429,C$6:C429,"&lt;&gt;",J$6:J429,J429)))</f>
        <v/>
      </c>
      <c r="J429" s="28">
        <f>IF(C429="","",IF(D429="","zz","t"&amp;D429))</f>
        <v/>
      </c>
      <c r="K429" s="28">
        <f>IF(OR(A429="",C429=""),"",IF(IFERROR(INDEX(DayStat,A429-DATE(PlanYear,1,1)+1)&amp;"","")&lt;&gt;"",0,1))</f>
        <v/>
      </c>
      <c r="L429" s="28">
        <f>IF(K429="","",K429*IFERROR(VLOOKUP(C429,CodeTable,4,0),0))</f>
        <v/>
      </c>
    </row>
    <row r="430">
      <c r="A430" s="22" t="n"/>
      <c r="B430" s="23" t="n"/>
      <c r="C430" s="24" t="n"/>
      <c r="D430" s="25" t="n"/>
      <c r="E430" s="26" t="n"/>
      <c r="F430" s="26" t="n"/>
      <c r="G430" s="27">
        <f>IF(C430="","",IFERROR(VLOOKUP(C430,CodeTable,3,0),1))</f>
        <v/>
      </c>
      <c r="H430" s="27">
        <f>IF(C430="","",IF(E430&lt;&gt;"",E430,IF(IFERROR(VLOOKUP(C430,CodeTable,5,0)&amp;"","")="","All",VLOOKUP(C430,CodeTable,5,0)&amp;"")))</f>
        <v/>
      </c>
      <c r="I430" s="28">
        <f>IF(OR(A430="",C430=""),"",A430&amp;"|"&amp;B430&amp;"|"&amp;(COUNTIFS(FlDate,A430,FlShift,B430,FlCode,"&lt;&gt;",FlOrder,"&lt;"&amp;J430)+COUNTIFS(A$6:A430,A430,B$6:B430,B430,C$6:C430,"&lt;&gt;",J$6:J430,J430)))</f>
        <v/>
      </c>
      <c r="J430" s="28">
        <f>IF(C430="","",IF(D430="","zz","t"&amp;D430))</f>
        <v/>
      </c>
      <c r="K430" s="28">
        <f>IF(OR(A430="",C430=""),"",IF(IFERROR(INDEX(DayStat,A430-DATE(PlanYear,1,1)+1)&amp;"","")&lt;&gt;"",0,1))</f>
        <v/>
      </c>
      <c r="L430" s="28">
        <f>IF(K430="","",K430*IFERROR(VLOOKUP(C430,CodeTable,4,0),0))</f>
        <v/>
      </c>
    </row>
    <row r="431">
      <c r="A431" s="22" t="n"/>
      <c r="B431" s="23" t="n"/>
      <c r="C431" s="24" t="n"/>
      <c r="D431" s="25" t="n"/>
      <c r="E431" s="26" t="n"/>
      <c r="F431" s="26" t="n"/>
      <c r="G431" s="27">
        <f>IF(C431="","",IFERROR(VLOOKUP(C431,CodeTable,3,0),1))</f>
        <v/>
      </c>
      <c r="H431" s="27">
        <f>IF(C431="","",IF(E431&lt;&gt;"",E431,IF(IFERROR(VLOOKUP(C431,CodeTable,5,0)&amp;"","")="","All",VLOOKUP(C431,CodeTable,5,0)&amp;"")))</f>
        <v/>
      </c>
      <c r="I431" s="28">
        <f>IF(OR(A431="",C431=""),"",A431&amp;"|"&amp;B431&amp;"|"&amp;(COUNTIFS(FlDate,A431,FlShift,B431,FlCode,"&lt;&gt;",FlOrder,"&lt;"&amp;J431)+COUNTIFS(A$6:A431,A431,B$6:B431,B431,C$6:C431,"&lt;&gt;",J$6:J431,J431)))</f>
        <v/>
      </c>
      <c r="J431" s="28">
        <f>IF(C431="","",IF(D431="","zz","t"&amp;D431))</f>
        <v/>
      </c>
      <c r="K431" s="28">
        <f>IF(OR(A431="",C431=""),"",IF(IFERROR(INDEX(DayStat,A431-DATE(PlanYear,1,1)+1)&amp;"","")&lt;&gt;"",0,1))</f>
        <v/>
      </c>
      <c r="L431" s="28">
        <f>IF(K431="","",K431*IFERROR(VLOOKUP(C431,CodeTable,4,0),0))</f>
        <v/>
      </c>
    </row>
    <row r="432">
      <c r="A432" s="22" t="n"/>
      <c r="B432" s="23" t="n"/>
      <c r="C432" s="24" t="n"/>
      <c r="D432" s="25" t="n"/>
      <c r="E432" s="26" t="n"/>
      <c r="F432" s="26" t="n"/>
      <c r="G432" s="27">
        <f>IF(C432="","",IFERROR(VLOOKUP(C432,CodeTable,3,0),1))</f>
        <v/>
      </c>
      <c r="H432" s="27">
        <f>IF(C432="","",IF(E432&lt;&gt;"",E432,IF(IFERROR(VLOOKUP(C432,CodeTable,5,0)&amp;"","")="","All",VLOOKUP(C432,CodeTable,5,0)&amp;"")))</f>
        <v/>
      </c>
      <c r="I432" s="28">
        <f>IF(OR(A432="",C432=""),"",A432&amp;"|"&amp;B432&amp;"|"&amp;(COUNTIFS(FlDate,A432,FlShift,B432,FlCode,"&lt;&gt;",FlOrder,"&lt;"&amp;J432)+COUNTIFS(A$6:A432,A432,B$6:B432,B432,C$6:C432,"&lt;&gt;",J$6:J432,J432)))</f>
        <v/>
      </c>
      <c r="J432" s="28">
        <f>IF(C432="","",IF(D432="","zz","t"&amp;D432))</f>
        <v/>
      </c>
      <c r="K432" s="28">
        <f>IF(OR(A432="",C432=""),"",IF(IFERROR(INDEX(DayStat,A432-DATE(PlanYear,1,1)+1)&amp;"","")&lt;&gt;"",0,1))</f>
        <v/>
      </c>
      <c r="L432" s="28">
        <f>IF(K432="","",K432*IFERROR(VLOOKUP(C432,CodeTable,4,0),0))</f>
        <v/>
      </c>
    </row>
    <row r="433">
      <c r="A433" s="22" t="n"/>
      <c r="B433" s="23" t="n"/>
      <c r="C433" s="24" t="n"/>
      <c r="D433" s="25" t="n"/>
      <c r="E433" s="26" t="n"/>
      <c r="F433" s="26" t="n"/>
      <c r="G433" s="27">
        <f>IF(C433="","",IFERROR(VLOOKUP(C433,CodeTable,3,0),1))</f>
        <v/>
      </c>
      <c r="H433" s="27">
        <f>IF(C433="","",IF(E433&lt;&gt;"",E433,IF(IFERROR(VLOOKUP(C433,CodeTable,5,0)&amp;"","")="","All",VLOOKUP(C433,CodeTable,5,0)&amp;"")))</f>
        <v/>
      </c>
      <c r="I433" s="28">
        <f>IF(OR(A433="",C433=""),"",A433&amp;"|"&amp;B433&amp;"|"&amp;(COUNTIFS(FlDate,A433,FlShift,B433,FlCode,"&lt;&gt;",FlOrder,"&lt;"&amp;J433)+COUNTIFS(A$6:A433,A433,B$6:B433,B433,C$6:C433,"&lt;&gt;",J$6:J433,J433)))</f>
        <v/>
      </c>
      <c r="J433" s="28">
        <f>IF(C433="","",IF(D433="","zz","t"&amp;D433))</f>
        <v/>
      </c>
      <c r="K433" s="28">
        <f>IF(OR(A433="",C433=""),"",IF(IFERROR(INDEX(DayStat,A433-DATE(PlanYear,1,1)+1)&amp;"","")&lt;&gt;"",0,1))</f>
        <v/>
      </c>
      <c r="L433" s="28">
        <f>IF(K433="","",K433*IFERROR(VLOOKUP(C433,CodeTable,4,0),0))</f>
        <v/>
      </c>
    </row>
    <row r="434">
      <c r="A434" s="22" t="n"/>
      <c r="B434" s="23" t="n"/>
      <c r="C434" s="24" t="n"/>
      <c r="D434" s="25" t="n"/>
      <c r="E434" s="26" t="n"/>
      <c r="F434" s="26" t="n"/>
      <c r="G434" s="27">
        <f>IF(C434="","",IFERROR(VLOOKUP(C434,CodeTable,3,0),1))</f>
        <v/>
      </c>
      <c r="H434" s="27">
        <f>IF(C434="","",IF(E434&lt;&gt;"",E434,IF(IFERROR(VLOOKUP(C434,CodeTable,5,0)&amp;"","")="","All",VLOOKUP(C434,CodeTable,5,0)&amp;"")))</f>
        <v/>
      </c>
      <c r="I434" s="28">
        <f>IF(OR(A434="",C434=""),"",A434&amp;"|"&amp;B434&amp;"|"&amp;(COUNTIFS(FlDate,A434,FlShift,B434,FlCode,"&lt;&gt;",FlOrder,"&lt;"&amp;J434)+COUNTIFS(A$6:A434,A434,B$6:B434,B434,C$6:C434,"&lt;&gt;",J$6:J434,J434)))</f>
        <v/>
      </c>
      <c r="J434" s="28">
        <f>IF(C434="","",IF(D434="","zz","t"&amp;D434))</f>
        <v/>
      </c>
      <c r="K434" s="28">
        <f>IF(OR(A434="",C434=""),"",IF(IFERROR(INDEX(DayStat,A434-DATE(PlanYear,1,1)+1)&amp;"","")&lt;&gt;"",0,1))</f>
        <v/>
      </c>
      <c r="L434" s="28">
        <f>IF(K434="","",K434*IFERROR(VLOOKUP(C434,CodeTable,4,0),0))</f>
        <v/>
      </c>
    </row>
    <row r="435">
      <c r="A435" s="22" t="n"/>
      <c r="B435" s="23" t="n"/>
      <c r="C435" s="24" t="n"/>
      <c r="D435" s="25" t="n"/>
      <c r="E435" s="26" t="n"/>
      <c r="F435" s="26" t="n"/>
      <c r="G435" s="27">
        <f>IF(C435="","",IFERROR(VLOOKUP(C435,CodeTable,3,0),1))</f>
        <v/>
      </c>
      <c r="H435" s="27">
        <f>IF(C435="","",IF(E435&lt;&gt;"",E435,IF(IFERROR(VLOOKUP(C435,CodeTable,5,0)&amp;"","")="","All",VLOOKUP(C435,CodeTable,5,0)&amp;"")))</f>
        <v/>
      </c>
      <c r="I435" s="28">
        <f>IF(OR(A435="",C435=""),"",A435&amp;"|"&amp;B435&amp;"|"&amp;(COUNTIFS(FlDate,A435,FlShift,B435,FlCode,"&lt;&gt;",FlOrder,"&lt;"&amp;J435)+COUNTIFS(A$6:A435,A435,B$6:B435,B435,C$6:C435,"&lt;&gt;",J$6:J435,J435)))</f>
        <v/>
      </c>
      <c r="J435" s="28">
        <f>IF(C435="","",IF(D435="","zz","t"&amp;D435))</f>
        <v/>
      </c>
      <c r="K435" s="28">
        <f>IF(OR(A435="",C435=""),"",IF(IFERROR(INDEX(DayStat,A435-DATE(PlanYear,1,1)+1)&amp;"","")&lt;&gt;"",0,1))</f>
        <v/>
      </c>
      <c r="L435" s="28">
        <f>IF(K435="","",K435*IFERROR(VLOOKUP(C435,CodeTable,4,0),0))</f>
        <v/>
      </c>
    </row>
    <row r="436">
      <c r="A436" s="22" t="n"/>
      <c r="B436" s="23" t="n"/>
      <c r="C436" s="24" t="n"/>
      <c r="D436" s="25" t="n"/>
      <c r="E436" s="26" t="n"/>
      <c r="F436" s="26" t="n"/>
      <c r="G436" s="27">
        <f>IF(C436="","",IFERROR(VLOOKUP(C436,CodeTable,3,0),1))</f>
        <v/>
      </c>
      <c r="H436" s="27">
        <f>IF(C436="","",IF(E436&lt;&gt;"",E436,IF(IFERROR(VLOOKUP(C436,CodeTable,5,0)&amp;"","")="","All",VLOOKUP(C436,CodeTable,5,0)&amp;"")))</f>
        <v/>
      </c>
      <c r="I436" s="28">
        <f>IF(OR(A436="",C436=""),"",A436&amp;"|"&amp;B436&amp;"|"&amp;(COUNTIFS(FlDate,A436,FlShift,B436,FlCode,"&lt;&gt;",FlOrder,"&lt;"&amp;J436)+COUNTIFS(A$6:A436,A436,B$6:B436,B436,C$6:C436,"&lt;&gt;",J$6:J436,J436)))</f>
        <v/>
      </c>
      <c r="J436" s="28">
        <f>IF(C436="","",IF(D436="","zz","t"&amp;D436))</f>
        <v/>
      </c>
      <c r="K436" s="28">
        <f>IF(OR(A436="",C436=""),"",IF(IFERROR(INDEX(DayStat,A436-DATE(PlanYear,1,1)+1)&amp;"","")&lt;&gt;"",0,1))</f>
        <v/>
      </c>
      <c r="L436" s="28">
        <f>IF(K436="","",K436*IFERROR(VLOOKUP(C436,CodeTable,4,0),0))</f>
        <v/>
      </c>
    </row>
    <row r="437">
      <c r="A437" s="22" t="n"/>
      <c r="B437" s="23" t="n"/>
      <c r="C437" s="24" t="n"/>
      <c r="D437" s="25" t="n"/>
      <c r="E437" s="26" t="n"/>
      <c r="F437" s="26" t="n"/>
      <c r="G437" s="27">
        <f>IF(C437="","",IFERROR(VLOOKUP(C437,CodeTable,3,0),1))</f>
        <v/>
      </c>
      <c r="H437" s="27">
        <f>IF(C437="","",IF(E437&lt;&gt;"",E437,IF(IFERROR(VLOOKUP(C437,CodeTable,5,0)&amp;"","")="","All",VLOOKUP(C437,CodeTable,5,0)&amp;"")))</f>
        <v/>
      </c>
      <c r="I437" s="28">
        <f>IF(OR(A437="",C437=""),"",A437&amp;"|"&amp;B437&amp;"|"&amp;(COUNTIFS(FlDate,A437,FlShift,B437,FlCode,"&lt;&gt;",FlOrder,"&lt;"&amp;J437)+COUNTIFS(A$6:A437,A437,B$6:B437,B437,C$6:C437,"&lt;&gt;",J$6:J437,J437)))</f>
        <v/>
      </c>
      <c r="J437" s="28">
        <f>IF(C437="","",IF(D437="","zz","t"&amp;D437))</f>
        <v/>
      </c>
      <c r="K437" s="28">
        <f>IF(OR(A437="",C437=""),"",IF(IFERROR(INDEX(DayStat,A437-DATE(PlanYear,1,1)+1)&amp;"","")&lt;&gt;"",0,1))</f>
        <v/>
      </c>
      <c r="L437" s="28">
        <f>IF(K437="","",K437*IFERROR(VLOOKUP(C437,CodeTable,4,0),0))</f>
        <v/>
      </c>
    </row>
    <row r="438">
      <c r="A438" s="22" t="n"/>
      <c r="B438" s="23" t="n"/>
      <c r="C438" s="24" t="n"/>
      <c r="D438" s="25" t="n"/>
      <c r="E438" s="26" t="n"/>
      <c r="F438" s="26" t="n"/>
      <c r="G438" s="27">
        <f>IF(C438="","",IFERROR(VLOOKUP(C438,CodeTable,3,0),1))</f>
        <v/>
      </c>
      <c r="H438" s="27">
        <f>IF(C438="","",IF(E438&lt;&gt;"",E438,IF(IFERROR(VLOOKUP(C438,CodeTable,5,0)&amp;"","")="","All",VLOOKUP(C438,CodeTable,5,0)&amp;"")))</f>
        <v/>
      </c>
      <c r="I438" s="28">
        <f>IF(OR(A438="",C438=""),"",A438&amp;"|"&amp;B438&amp;"|"&amp;(COUNTIFS(FlDate,A438,FlShift,B438,FlCode,"&lt;&gt;",FlOrder,"&lt;"&amp;J438)+COUNTIFS(A$6:A438,A438,B$6:B438,B438,C$6:C438,"&lt;&gt;",J$6:J438,J438)))</f>
        <v/>
      </c>
      <c r="J438" s="28">
        <f>IF(C438="","",IF(D438="","zz","t"&amp;D438))</f>
        <v/>
      </c>
      <c r="K438" s="28">
        <f>IF(OR(A438="",C438=""),"",IF(IFERROR(INDEX(DayStat,A438-DATE(PlanYear,1,1)+1)&amp;"","")&lt;&gt;"",0,1))</f>
        <v/>
      </c>
      <c r="L438" s="28">
        <f>IF(K438="","",K438*IFERROR(VLOOKUP(C438,CodeTable,4,0),0))</f>
        <v/>
      </c>
    </row>
    <row r="439">
      <c r="A439" s="22" t="n"/>
      <c r="B439" s="23" t="n"/>
      <c r="C439" s="24" t="n"/>
      <c r="D439" s="25" t="n"/>
      <c r="E439" s="26" t="n"/>
      <c r="F439" s="26" t="n"/>
      <c r="G439" s="27">
        <f>IF(C439="","",IFERROR(VLOOKUP(C439,CodeTable,3,0),1))</f>
        <v/>
      </c>
      <c r="H439" s="27">
        <f>IF(C439="","",IF(E439&lt;&gt;"",E439,IF(IFERROR(VLOOKUP(C439,CodeTable,5,0)&amp;"","")="","All",VLOOKUP(C439,CodeTable,5,0)&amp;"")))</f>
        <v/>
      </c>
      <c r="I439" s="28">
        <f>IF(OR(A439="",C439=""),"",A439&amp;"|"&amp;B439&amp;"|"&amp;(COUNTIFS(FlDate,A439,FlShift,B439,FlCode,"&lt;&gt;",FlOrder,"&lt;"&amp;J439)+COUNTIFS(A$6:A439,A439,B$6:B439,B439,C$6:C439,"&lt;&gt;",J$6:J439,J439)))</f>
        <v/>
      </c>
      <c r="J439" s="28">
        <f>IF(C439="","",IF(D439="","zz","t"&amp;D439))</f>
        <v/>
      </c>
      <c r="K439" s="28">
        <f>IF(OR(A439="",C439=""),"",IF(IFERROR(INDEX(DayStat,A439-DATE(PlanYear,1,1)+1)&amp;"","")&lt;&gt;"",0,1))</f>
        <v/>
      </c>
      <c r="L439" s="28">
        <f>IF(K439="","",K439*IFERROR(VLOOKUP(C439,CodeTable,4,0),0))</f>
        <v/>
      </c>
    </row>
    <row r="440">
      <c r="A440" s="22" t="n"/>
      <c r="B440" s="23" t="n"/>
      <c r="C440" s="24" t="n"/>
      <c r="D440" s="25" t="n"/>
      <c r="E440" s="26" t="n"/>
      <c r="F440" s="26" t="n"/>
      <c r="G440" s="27">
        <f>IF(C440="","",IFERROR(VLOOKUP(C440,CodeTable,3,0),1))</f>
        <v/>
      </c>
      <c r="H440" s="27">
        <f>IF(C440="","",IF(E440&lt;&gt;"",E440,IF(IFERROR(VLOOKUP(C440,CodeTable,5,0)&amp;"","")="","All",VLOOKUP(C440,CodeTable,5,0)&amp;"")))</f>
        <v/>
      </c>
      <c r="I440" s="28">
        <f>IF(OR(A440="",C440=""),"",A440&amp;"|"&amp;B440&amp;"|"&amp;(COUNTIFS(FlDate,A440,FlShift,B440,FlCode,"&lt;&gt;",FlOrder,"&lt;"&amp;J440)+COUNTIFS(A$6:A440,A440,B$6:B440,B440,C$6:C440,"&lt;&gt;",J$6:J440,J440)))</f>
        <v/>
      </c>
      <c r="J440" s="28">
        <f>IF(C440="","",IF(D440="","zz","t"&amp;D440))</f>
        <v/>
      </c>
      <c r="K440" s="28">
        <f>IF(OR(A440="",C440=""),"",IF(IFERROR(INDEX(DayStat,A440-DATE(PlanYear,1,1)+1)&amp;"","")&lt;&gt;"",0,1))</f>
        <v/>
      </c>
      <c r="L440" s="28">
        <f>IF(K440="","",K440*IFERROR(VLOOKUP(C440,CodeTable,4,0),0))</f>
        <v/>
      </c>
    </row>
    <row r="441">
      <c r="A441" s="22" t="n"/>
      <c r="B441" s="23" t="n"/>
      <c r="C441" s="24" t="n"/>
      <c r="D441" s="25" t="n"/>
      <c r="E441" s="26" t="n"/>
      <c r="F441" s="26" t="n"/>
      <c r="G441" s="27">
        <f>IF(C441="","",IFERROR(VLOOKUP(C441,CodeTable,3,0),1))</f>
        <v/>
      </c>
      <c r="H441" s="27">
        <f>IF(C441="","",IF(E441&lt;&gt;"",E441,IF(IFERROR(VLOOKUP(C441,CodeTable,5,0)&amp;"","")="","All",VLOOKUP(C441,CodeTable,5,0)&amp;"")))</f>
        <v/>
      </c>
      <c r="I441" s="28">
        <f>IF(OR(A441="",C441=""),"",A441&amp;"|"&amp;B441&amp;"|"&amp;(COUNTIFS(FlDate,A441,FlShift,B441,FlCode,"&lt;&gt;",FlOrder,"&lt;"&amp;J441)+COUNTIFS(A$6:A441,A441,B$6:B441,B441,C$6:C441,"&lt;&gt;",J$6:J441,J441)))</f>
        <v/>
      </c>
      <c r="J441" s="28">
        <f>IF(C441="","",IF(D441="","zz","t"&amp;D441))</f>
        <v/>
      </c>
      <c r="K441" s="28">
        <f>IF(OR(A441="",C441=""),"",IF(IFERROR(INDEX(DayStat,A441-DATE(PlanYear,1,1)+1)&amp;"","")&lt;&gt;"",0,1))</f>
        <v/>
      </c>
      <c r="L441" s="28">
        <f>IF(K441="","",K441*IFERROR(VLOOKUP(C441,CodeTable,4,0),0))</f>
        <v/>
      </c>
    </row>
    <row r="442">
      <c r="A442" s="22" t="n"/>
      <c r="B442" s="23" t="n"/>
      <c r="C442" s="24" t="n"/>
      <c r="D442" s="25" t="n"/>
      <c r="E442" s="26" t="n"/>
      <c r="F442" s="26" t="n"/>
      <c r="G442" s="27">
        <f>IF(C442="","",IFERROR(VLOOKUP(C442,CodeTable,3,0),1))</f>
        <v/>
      </c>
      <c r="H442" s="27">
        <f>IF(C442="","",IF(E442&lt;&gt;"",E442,IF(IFERROR(VLOOKUP(C442,CodeTable,5,0)&amp;"","")="","All",VLOOKUP(C442,CodeTable,5,0)&amp;"")))</f>
        <v/>
      </c>
      <c r="I442" s="28">
        <f>IF(OR(A442="",C442=""),"",A442&amp;"|"&amp;B442&amp;"|"&amp;(COUNTIFS(FlDate,A442,FlShift,B442,FlCode,"&lt;&gt;",FlOrder,"&lt;"&amp;J442)+COUNTIFS(A$6:A442,A442,B$6:B442,B442,C$6:C442,"&lt;&gt;",J$6:J442,J442)))</f>
        <v/>
      </c>
      <c r="J442" s="28">
        <f>IF(C442="","",IF(D442="","zz","t"&amp;D442))</f>
        <v/>
      </c>
      <c r="K442" s="28">
        <f>IF(OR(A442="",C442=""),"",IF(IFERROR(INDEX(DayStat,A442-DATE(PlanYear,1,1)+1)&amp;"","")&lt;&gt;"",0,1))</f>
        <v/>
      </c>
      <c r="L442" s="28">
        <f>IF(K442="","",K442*IFERROR(VLOOKUP(C442,CodeTable,4,0),0))</f>
        <v/>
      </c>
    </row>
    <row r="443">
      <c r="A443" s="22" t="n"/>
      <c r="B443" s="23" t="n"/>
      <c r="C443" s="24" t="n"/>
      <c r="D443" s="25" t="n"/>
      <c r="E443" s="26" t="n"/>
      <c r="F443" s="26" t="n"/>
      <c r="G443" s="27">
        <f>IF(C443="","",IFERROR(VLOOKUP(C443,CodeTable,3,0),1))</f>
        <v/>
      </c>
      <c r="H443" s="27">
        <f>IF(C443="","",IF(E443&lt;&gt;"",E443,IF(IFERROR(VLOOKUP(C443,CodeTable,5,0)&amp;"","")="","All",VLOOKUP(C443,CodeTable,5,0)&amp;"")))</f>
        <v/>
      </c>
      <c r="I443" s="28">
        <f>IF(OR(A443="",C443=""),"",A443&amp;"|"&amp;B443&amp;"|"&amp;(COUNTIFS(FlDate,A443,FlShift,B443,FlCode,"&lt;&gt;",FlOrder,"&lt;"&amp;J443)+COUNTIFS(A$6:A443,A443,B$6:B443,B443,C$6:C443,"&lt;&gt;",J$6:J443,J443)))</f>
        <v/>
      </c>
      <c r="J443" s="28">
        <f>IF(C443="","",IF(D443="","zz","t"&amp;D443))</f>
        <v/>
      </c>
      <c r="K443" s="28">
        <f>IF(OR(A443="",C443=""),"",IF(IFERROR(INDEX(DayStat,A443-DATE(PlanYear,1,1)+1)&amp;"","")&lt;&gt;"",0,1))</f>
        <v/>
      </c>
      <c r="L443" s="28">
        <f>IF(K443="","",K443*IFERROR(VLOOKUP(C443,CodeTable,4,0),0))</f>
        <v/>
      </c>
    </row>
    <row r="444">
      <c r="A444" s="22" t="n"/>
      <c r="B444" s="23" t="n"/>
      <c r="C444" s="24" t="n"/>
      <c r="D444" s="25" t="n"/>
      <c r="E444" s="26" t="n"/>
      <c r="F444" s="26" t="n"/>
      <c r="G444" s="27">
        <f>IF(C444="","",IFERROR(VLOOKUP(C444,CodeTable,3,0),1))</f>
        <v/>
      </c>
      <c r="H444" s="27">
        <f>IF(C444="","",IF(E444&lt;&gt;"",E444,IF(IFERROR(VLOOKUP(C444,CodeTable,5,0)&amp;"","")="","All",VLOOKUP(C444,CodeTable,5,0)&amp;"")))</f>
        <v/>
      </c>
      <c r="I444" s="28">
        <f>IF(OR(A444="",C444=""),"",A444&amp;"|"&amp;B444&amp;"|"&amp;(COUNTIFS(FlDate,A444,FlShift,B444,FlCode,"&lt;&gt;",FlOrder,"&lt;"&amp;J444)+COUNTIFS(A$6:A444,A444,B$6:B444,B444,C$6:C444,"&lt;&gt;",J$6:J444,J444)))</f>
        <v/>
      </c>
      <c r="J444" s="28">
        <f>IF(C444="","",IF(D444="","zz","t"&amp;D444))</f>
        <v/>
      </c>
      <c r="K444" s="28">
        <f>IF(OR(A444="",C444=""),"",IF(IFERROR(INDEX(DayStat,A444-DATE(PlanYear,1,1)+1)&amp;"","")&lt;&gt;"",0,1))</f>
        <v/>
      </c>
      <c r="L444" s="28">
        <f>IF(K444="","",K444*IFERROR(VLOOKUP(C444,CodeTable,4,0),0))</f>
        <v/>
      </c>
    </row>
    <row r="445">
      <c r="A445" s="22" t="n"/>
      <c r="B445" s="23" t="n"/>
      <c r="C445" s="24" t="n"/>
      <c r="D445" s="25" t="n"/>
      <c r="E445" s="26" t="n"/>
      <c r="F445" s="26" t="n"/>
      <c r="G445" s="27">
        <f>IF(C445="","",IFERROR(VLOOKUP(C445,CodeTable,3,0),1))</f>
        <v/>
      </c>
      <c r="H445" s="27">
        <f>IF(C445="","",IF(E445&lt;&gt;"",E445,IF(IFERROR(VLOOKUP(C445,CodeTable,5,0)&amp;"","")="","All",VLOOKUP(C445,CodeTable,5,0)&amp;"")))</f>
        <v/>
      </c>
      <c r="I445" s="28">
        <f>IF(OR(A445="",C445=""),"",A445&amp;"|"&amp;B445&amp;"|"&amp;(COUNTIFS(FlDate,A445,FlShift,B445,FlCode,"&lt;&gt;",FlOrder,"&lt;"&amp;J445)+COUNTIFS(A$6:A445,A445,B$6:B445,B445,C$6:C445,"&lt;&gt;",J$6:J445,J445)))</f>
        <v/>
      </c>
      <c r="J445" s="28">
        <f>IF(C445="","",IF(D445="","zz","t"&amp;D445))</f>
        <v/>
      </c>
      <c r="K445" s="28">
        <f>IF(OR(A445="",C445=""),"",IF(IFERROR(INDEX(DayStat,A445-DATE(PlanYear,1,1)+1)&amp;"","")&lt;&gt;"",0,1))</f>
        <v/>
      </c>
      <c r="L445" s="28">
        <f>IF(K445="","",K445*IFERROR(VLOOKUP(C445,CodeTable,4,0),0))</f>
        <v/>
      </c>
    </row>
    <row r="446">
      <c r="A446" s="22" t="n"/>
      <c r="B446" s="23" t="n"/>
      <c r="C446" s="24" t="n"/>
      <c r="D446" s="25" t="n"/>
      <c r="E446" s="26" t="n"/>
      <c r="F446" s="26" t="n"/>
      <c r="G446" s="27">
        <f>IF(C446="","",IFERROR(VLOOKUP(C446,CodeTable,3,0),1))</f>
        <v/>
      </c>
      <c r="H446" s="27">
        <f>IF(C446="","",IF(E446&lt;&gt;"",E446,IF(IFERROR(VLOOKUP(C446,CodeTable,5,0)&amp;"","")="","All",VLOOKUP(C446,CodeTable,5,0)&amp;"")))</f>
        <v/>
      </c>
      <c r="I446" s="28">
        <f>IF(OR(A446="",C446=""),"",A446&amp;"|"&amp;B446&amp;"|"&amp;(COUNTIFS(FlDate,A446,FlShift,B446,FlCode,"&lt;&gt;",FlOrder,"&lt;"&amp;J446)+COUNTIFS(A$6:A446,A446,B$6:B446,B446,C$6:C446,"&lt;&gt;",J$6:J446,J446)))</f>
        <v/>
      </c>
      <c r="J446" s="28">
        <f>IF(C446="","",IF(D446="","zz","t"&amp;D446))</f>
        <v/>
      </c>
      <c r="K446" s="28">
        <f>IF(OR(A446="",C446=""),"",IF(IFERROR(INDEX(DayStat,A446-DATE(PlanYear,1,1)+1)&amp;"","")&lt;&gt;"",0,1))</f>
        <v/>
      </c>
      <c r="L446" s="28">
        <f>IF(K446="","",K446*IFERROR(VLOOKUP(C446,CodeTable,4,0),0))</f>
        <v/>
      </c>
    </row>
    <row r="447">
      <c r="A447" s="22" t="n"/>
      <c r="B447" s="23" t="n"/>
      <c r="C447" s="24" t="n"/>
      <c r="D447" s="25" t="n"/>
      <c r="E447" s="26" t="n"/>
      <c r="F447" s="26" t="n"/>
      <c r="G447" s="27">
        <f>IF(C447="","",IFERROR(VLOOKUP(C447,CodeTable,3,0),1))</f>
        <v/>
      </c>
      <c r="H447" s="27">
        <f>IF(C447="","",IF(E447&lt;&gt;"",E447,IF(IFERROR(VLOOKUP(C447,CodeTable,5,0)&amp;"","")="","All",VLOOKUP(C447,CodeTable,5,0)&amp;"")))</f>
        <v/>
      </c>
      <c r="I447" s="28">
        <f>IF(OR(A447="",C447=""),"",A447&amp;"|"&amp;B447&amp;"|"&amp;(COUNTIFS(FlDate,A447,FlShift,B447,FlCode,"&lt;&gt;",FlOrder,"&lt;"&amp;J447)+COUNTIFS(A$6:A447,A447,B$6:B447,B447,C$6:C447,"&lt;&gt;",J$6:J447,J447)))</f>
        <v/>
      </c>
      <c r="J447" s="28">
        <f>IF(C447="","",IF(D447="","zz","t"&amp;D447))</f>
        <v/>
      </c>
      <c r="K447" s="28">
        <f>IF(OR(A447="",C447=""),"",IF(IFERROR(INDEX(DayStat,A447-DATE(PlanYear,1,1)+1)&amp;"","")&lt;&gt;"",0,1))</f>
        <v/>
      </c>
      <c r="L447" s="28">
        <f>IF(K447="","",K447*IFERROR(VLOOKUP(C447,CodeTable,4,0),0))</f>
        <v/>
      </c>
    </row>
    <row r="448">
      <c r="A448" s="22" t="n"/>
      <c r="B448" s="23" t="n"/>
      <c r="C448" s="24" t="n"/>
      <c r="D448" s="25" t="n"/>
      <c r="E448" s="26" t="n"/>
      <c r="F448" s="26" t="n"/>
      <c r="G448" s="27">
        <f>IF(C448="","",IFERROR(VLOOKUP(C448,CodeTable,3,0),1))</f>
        <v/>
      </c>
      <c r="H448" s="27">
        <f>IF(C448="","",IF(E448&lt;&gt;"",E448,IF(IFERROR(VLOOKUP(C448,CodeTable,5,0)&amp;"","")="","All",VLOOKUP(C448,CodeTable,5,0)&amp;"")))</f>
        <v/>
      </c>
      <c r="I448" s="28">
        <f>IF(OR(A448="",C448=""),"",A448&amp;"|"&amp;B448&amp;"|"&amp;(COUNTIFS(FlDate,A448,FlShift,B448,FlCode,"&lt;&gt;",FlOrder,"&lt;"&amp;J448)+COUNTIFS(A$6:A448,A448,B$6:B448,B448,C$6:C448,"&lt;&gt;",J$6:J448,J448)))</f>
        <v/>
      </c>
      <c r="J448" s="28">
        <f>IF(C448="","",IF(D448="","zz","t"&amp;D448))</f>
        <v/>
      </c>
      <c r="K448" s="28">
        <f>IF(OR(A448="",C448=""),"",IF(IFERROR(INDEX(DayStat,A448-DATE(PlanYear,1,1)+1)&amp;"","")&lt;&gt;"",0,1))</f>
        <v/>
      </c>
      <c r="L448" s="28">
        <f>IF(K448="","",K448*IFERROR(VLOOKUP(C448,CodeTable,4,0),0))</f>
        <v/>
      </c>
    </row>
    <row r="449">
      <c r="A449" s="22" t="n"/>
      <c r="B449" s="23" t="n"/>
      <c r="C449" s="24" t="n"/>
      <c r="D449" s="25" t="n"/>
      <c r="E449" s="26" t="n"/>
      <c r="F449" s="26" t="n"/>
      <c r="G449" s="27">
        <f>IF(C449="","",IFERROR(VLOOKUP(C449,CodeTable,3,0),1))</f>
        <v/>
      </c>
      <c r="H449" s="27">
        <f>IF(C449="","",IF(E449&lt;&gt;"",E449,IF(IFERROR(VLOOKUP(C449,CodeTable,5,0)&amp;"","")="","All",VLOOKUP(C449,CodeTable,5,0)&amp;"")))</f>
        <v/>
      </c>
      <c r="I449" s="28">
        <f>IF(OR(A449="",C449=""),"",A449&amp;"|"&amp;B449&amp;"|"&amp;(COUNTIFS(FlDate,A449,FlShift,B449,FlCode,"&lt;&gt;",FlOrder,"&lt;"&amp;J449)+COUNTIFS(A$6:A449,A449,B$6:B449,B449,C$6:C449,"&lt;&gt;",J$6:J449,J449)))</f>
        <v/>
      </c>
      <c r="J449" s="28">
        <f>IF(C449="","",IF(D449="","zz","t"&amp;D449))</f>
        <v/>
      </c>
      <c r="K449" s="28">
        <f>IF(OR(A449="",C449=""),"",IF(IFERROR(INDEX(DayStat,A449-DATE(PlanYear,1,1)+1)&amp;"","")&lt;&gt;"",0,1))</f>
        <v/>
      </c>
      <c r="L449" s="28">
        <f>IF(K449="","",K449*IFERROR(VLOOKUP(C449,CodeTable,4,0),0))</f>
        <v/>
      </c>
    </row>
    <row r="450">
      <c r="A450" s="22" t="n"/>
      <c r="B450" s="23" t="n"/>
      <c r="C450" s="24" t="n"/>
      <c r="D450" s="25" t="n"/>
      <c r="E450" s="26" t="n"/>
      <c r="F450" s="26" t="n"/>
      <c r="G450" s="27">
        <f>IF(C450="","",IFERROR(VLOOKUP(C450,CodeTable,3,0),1))</f>
        <v/>
      </c>
      <c r="H450" s="27">
        <f>IF(C450="","",IF(E450&lt;&gt;"",E450,IF(IFERROR(VLOOKUP(C450,CodeTable,5,0)&amp;"","")="","All",VLOOKUP(C450,CodeTable,5,0)&amp;"")))</f>
        <v/>
      </c>
      <c r="I450" s="28">
        <f>IF(OR(A450="",C450=""),"",A450&amp;"|"&amp;B450&amp;"|"&amp;(COUNTIFS(FlDate,A450,FlShift,B450,FlCode,"&lt;&gt;",FlOrder,"&lt;"&amp;J450)+COUNTIFS(A$6:A450,A450,B$6:B450,B450,C$6:C450,"&lt;&gt;",J$6:J450,J450)))</f>
        <v/>
      </c>
      <c r="J450" s="28">
        <f>IF(C450="","",IF(D450="","zz","t"&amp;D450))</f>
        <v/>
      </c>
      <c r="K450" s="28">
        <f>IF(OR(A450="",C450=""),"",IF(IFERROR(INDEX(DayStat,A450-DATE(PlanYear,1,1)+1)&amp;"","")&lt;&gt;"",0,1))</f>
        <v/>
      </c>
      <c r="L450" s="28">
        <f>IF(K450="","",K450*IFERROR(VLOOKUP(C450,CodeTable,4,0),0))</f>
        <v/>
      </c>
    </row>
    <row r="451">
      <c r="A451" s="22" t="n"/>
      <c r="B451" s="23" t="n"/>
      <c r="C451" s="24" t="n"/>
      <c r="D451" s="25" t="n"/>
      <c r="E451" s="26" t="n"/>
      <c r="F451" s="26" t="n"/>
      <c r="G451" s="27">
        <f>IF(C451="","",IFERROR(VLOOKUP(C451,CodeTable,3,0),1))</f>
        <v/>
      </c>
      <c r="H451" s="27">
        <f>IF(C451="","",IF(E451&lt;&gt;"",E451,IF(IFERROR(VLOOKUP(C451,CodeTable,5,0)&amp;"","")="","All",VLOOKUP(C451,CodeTable,5,0)&amp;"")))</f>
        <v/>
      </c>
      <c r="I451" s="28">
        <f>IF(OR(A451="",C451=""),"",A451&amp;"|"&amp;B451&amp;"|"&amp;(COUNTIFS(FlDate,A451,FlShift,B451,FlCode,"&lt;&gt;",FlOrder,"&lt;"&amp;J451)+COUNTIFS(A$6:A451,A451,B$6:B451,B451,C$6:C451,"&lt;&gt;",J$6:J451,J451)))</f>
        <v/>
      </c>
      <c r="J451" s="28">
        <f>IF(C451="","",IF(D451="","zz","t"&amp;D451))</f>
        <v/>
      </c>
      <c r="K451" s="28">
        <f>IF(OR(A451="",C451=""),"",IF(IFERROR(INDEX(DayStat,A451-DATE(PlanYear,1,1)+1)&amp;"","")&lt;&gt;"",0,1))</f>
        <v/>
      </c>
      <c r="L451" s="28">
        <f>IF(K451="","",K451*IFERROR(VLOOKUP(C451,CodeTable,4,0),0))</f>
        <v/>
      </c>
    </row>
    <row r="452">
      <c r="A452" s="22" t="n"/>
      <c r="B452" s="23" t="n"/>
      <c r="C452" s="24" t="n"/>
      <c r="D452" s="25" t="n"/>
      <c r="E452" s="26" t="n"/>
      <c r="F452" s="26" t="n"/>
      <c r="G452" s="27">
        <f>IF(C452="","",IFERROR(VLOOKUP(C452,CodeTable,3,0),1))</f>
        <v/>
      </c>
      <c r="H452" s="27">
        <f>IF(C452="","",IF(E452&lt;&gt;"",E452,IF(IFERROR(VLOOKUP(C452,CodeTable,5,0)&amp;"","")="","All",VLOOKUP(C452,CodeTable,5,0)&amp;"")))</f>
        <v/>
      </c>
      <c r="I452" s="28">
        <f>IF(OR(A452="",C452=""),"",A452&amp;"|"&amp;B452&amp;"|"&amp;(COUNTIFS(FlDate,A452,FlShift,B452,FlCode,"&lt;&gt;",FlOrder,"&lt;"&amp;J452)+COUNTIFS(A$6:A452,A452,B$6:B452,B452,C$6:C452,"&lt;&gt;",J$6:J452,J452)))</f>
        <v/>
      </c>
      <c r="J452" s="28">
        <f>IF(C452="","",IF(D452="","zz","t"&amp;D452))</f>
        <v/>
      </c>
      <c r="K452" s="28">
        <f>IF(OR(A452="",C452=""),"",IF(IFERROR(INDEX(DayStat,A452-DATE(PlanYear,1,1)+1)&amp;"","")&lt;&gt;"",0,1))</f>
        <v/>
      </c>
      <c r="L452" s="28">
        <f>IF(K452="","",K452*IFERROR(VLOOKUP(C452,CodeTable,4,0),0))</f>
        <v/>
      </c>
    </row>
    <row r="453">
      <c r="A453" s="22" t="n"/>
      <c r="B453" s="23" t="n"/>
      <c r="C453" s="24" t="n"/>
      <c r="D453" s="25" t="n"/>
      <c r="E453" s="26" t="n"/>
      <c r="F453" s="26" t="n"/>
      <c r="G453" s="27">
        <f>IF(C453="","",IFERROR(VLOOKUP(C453,CodeTable,3,0),1))</f>
        <v/>
      </c>
      <c r="H453" s="27">
        <f>IF(C453="","",IF(E453&lt;&gt;"",E453,IF(IFERROR(VLOOKUP(C453,CodeTable,5,0)&amp;"","")="","All",VLOOKUP(C453,CodeTable,5,0)&amp;"")))</f>
        <v/>
      </c>
      <c r="I453" s="28">
        <f>IF(OR(A453="",C453=""),"",A453&amp;"|"&amp;B453&amp;"|"&amp;(COUNTIFS(FlDate,A453,FlShift,B453,FlCode,"&lt;&gt;",FlOrder,"&lt;"&amp;J453)+COUNTIFS(A$6:A453,A453,B$6:B453,B453,C$6:C453,"&lt;&gt;",J$6:J453,J453)))</f>
        <v/>
      </c>
      <c r="J453" s="28">
        <f>IF(C453="","",IF(D453="","zz","t"&amp;D453))</f>
        <v/>
      </c>
      <c r="K453" s="28">
        <f>IF(OR(A453="",C453=""),"",IF(IFERROR(INDEX(DayStat,A453-DATE(PlanYear,1,1)+1)&amp;"","")&lt;&gt;"",0,1))</f>
        <v/>
      </c>
      <c r="L453" s="28">
        <f>IF(K453="","",K453*IFERROR(VLOOKUP(C453,CodeTable,4,0),0))</f>
        <v/>
      </c>
    </row>
    <row r="454">
      <c r="A454" s="22" t="n"/>
      <c r="B454" s="23" t="n"/>
      <c r="C454" s="24" t="n"/>
      <c r="D454" s="25" t="n"/>
      <c r="E454" s="26" t="n"/>
      <c r="F454" s="26" t="n"/>
      <c r="G454" s="27">
        <f>IF(C454="","",IFERROR(VLOOKUP(C454,CodeTable,3,0),1))</f>
        <v/>
      </c>
      <c r="H454" s="27">
        <f>IF(C454="","",IF(E454&lt;&gt;"",E454,IF(IFERROR(VLOOKUP(C454,CodeTable,5,0)&amp;"","")="","All",VLOOKUP(C454,CodeTable,5,0)&amp;"")))</f>
        <v/>
      </c>
      <c r="I454" s="28">
        <f>IF(OR(A454="",C454=""),"",A454&amp;"|"&amp;B454&amp;"|"&amp;(COUNTIFS(FlDate,A454,FlShift,B454,FlCode,"&lt;&gt;",FlOrder,"&lt;"&amp;J454)+COUNTIFS(A$6:A454,A454,B$6:B454,B454,C$6:C454,"&lt;&gt;",J$6:J454,J454)))</f>
        <v/>
      </c>
      <c r="J454" s="28">
        <f>IF(C454="","",IF(D454="","zz","t"&amp;D454))</f>
        <v/>
      </c>
      <c r="K454" s="28">
        <f>IF(OR(A454="",C454=""),"",IF(IFERROR(INDEX(DayStat,A454-DATE(PlanYear,1,1)+1)&amp;"","")&lt;&gt;"",0,1))</f>
        <v/>
      </c>
      <c r="L454" s="28">
        <f>IF(K454="","",K454*IFERROR(VLOOKUP(C454,CodeTable,4,0),0))</f>
        <v/>
      </c>
    </row>
    <row r="455">
      <c r="A455" s="22" t="n"/>
      <c r="B455" s="23" t="n"/>
      <c r="C455" s="24" t="n"/>
      <c r="D455" s="25" t="n"/>
      <c r="E455" s="26" t="n"/>
      <c r="F455" s="26" t="n"/>
      <c r="G455" s="27">
        <f>IF(C455="","",IFERROR(VLOOKUP(C455,CodeTable,3,0),1))</f>
        <v/>
      </c>
      <c r="H455" s="27">
        <f>IF(C455="","",IF(E455&lt;&gt;"",E455,IF(IFERROR(VLOOKUP(C455,CodeTable,5,0)&amp;"","")="","All",VLOOKUP(C455,CodeTable,5,0)&amp;"")))</f>
        <v/>
      </c>
      <c r="I455" s="28">
        <f>IF(OR(A455="",C455=""),"",A455&amp;"|"&amp;B455&amp;"|"&amp;(COUNTIFS(FlDate,A455,FlShift,B455,FlCode,"&lt;&gt;",FlOrder,"&lt;"&amp;J455)+COUNTIFS(A$6:A455,A455,B$6:B455,B455,C$6:C455,"&lt;&gt;",J$6:J455,J455)))</f>
        <v/>
      </c>
      <c r="J455" s="28">
        <f>IF(C455="","",IF(D455="","zz","t"&amp;D455))</f>
        <v/>
      </c>
      <c r="K455" s="28">
        <f>IF(OR(A455="",C455=""),"",IF(IFERROR(INDEX(DayStat,A455-DATE(PlanYear,1,1)+1)&amp;"","")&lt;&gt;"",0,1))</f>
        <v/>
      </c>
      <c r="L455" s="28">
        <f>IF(K455="","",K455*IFERROR(VLOOKUP(C455,CodeTable,4,0),0))</f>
        <v/>
      </c>
    </row>
    <row r="456">
      <c r="A456" s="22" t="n"/>
      <c r="B456" s="23" t="n"/>
      <c r="C456" s="24" t="n"/>
      <c r="D456" s="25" t="n"/>
      <c r="E456" s="26" t="n"/>
      <c r="F456" s="26" t="n"/>
      <c r="G456" s="27">
        <f>IF(C456="","",IFERROR(VLOOKUP(C456,CodeTable,3,0),1))</f>
        <v/>
      </c>
      <c r="H456" s="27">
        <f>IF(C456="","",IF(E456&lt;&gt;"",E456,IF(IFERROR(VLOOKUP(C456,CodeTable,5,0)&amp;"","")="","All",VLOOKUP(C456,CodeTable,5,0)&amp;"")))</f>
        <v/>
      </c>
      <c r="I456" s="28">
        <f>IF(OR(A456="",C456=""),"",A456&amp;"|"&amp;B456&amp;"|"&amp;(COUNTIFS(FlDate,A456,FlShift,B456,FlCode,"&lt;&gt;",FlOrder,"&lt;"&amp;J456)+COUNTIFS(A$6:A456,A456,B$6:B456,B456,C$6:C456,"&lt;&gt;",J$6:J456,J456)))</f>
        <v/>
      </c>
      <c r="J456" s="28">
        <f>IF(C456="","",IF(D456="","zz","t"&amp;D456))</f>
        <v/>
      </c>
      <c r="K456" s="28">
        <f>IF(OR(A456="",C456=""),"",IF(IFERROR(INDEX(DayStat,A456-DATE(PlanYear,1,1)+1)&amp;"","")&lt;&gt;"",0,1))</f>
        <v/>
      </c>
      <c r="L456" s="28">
        <f>IF(K456="","",K456*IFERROR(VLOOKUP(C456,CodeTable,4,0),0))</f>
        <v/>
      </c>
    </row>
    <row r="457">
      <c r="A457" s="22" t="n"/>
      <c r="B457" s="23" t="n"/>
      <c r="C457" s="24" t="n"/>
      <c r="D457" s="25" t="n"/>
      <c r="E457" s="26" t="n"/>
      <c r="F457" s="26" t="n"/>
      <c r="G457" s="27">
        <f>IF(C457="","",IFERROR(VLOOKUP(C457,CodeTable,3,0),1))</f>
        <v/>
      </c>
      <c r="H457" s="27">
        <f>IF(C457="","",IF(E457&lt;&gt;"",E457,IF(IFERROR(VLOOKUP(C457,CodeTable,5,0)&amp;"","")="","All",VLOOKUP(C457,CodeTable,5,0)&amp;"")))</f>
        <v/>
      </c>
      <c r="I457" s="28">
        <f>IF(OR(A457="",C457=""),"",A457&amp;"|"&amp;B457&amp;"|"&amp;(COUNTIFS(FlDate,A457,FlShift,B457,FlCode,"&lt;&gt;",FlOrder,"&lt;"&amp;J457)+COUNTIFS(A$6:A457,A457,B$6:B457,B457,C$6:C457,"&lt;&gt;",J$6:J457,J457)))</f>
        <v/>
      </c>
      <c r="J457" s="28">
        <f>IF(C457="","",IF(D457="","zz","t"&amp;D457))</f>
        <v/>
      </c>
      <c r="K457" s="28">
        <f>IF(OR(A457="",C457=""),"",IF(IFERROR(INDEX(DayStat,A457-DATE(PlanYear,1,1)+1)&amp;"","")&lt;&gt;"",0,1))</f>
        <v/>
      </c>
      <c r="L457" s="28">
        <f>IF(K457="","",K457*IFERROR(VLOOKUP(C457,CodeTable,4,0),0))</f>
        <v/>
      </c>
    </row>
    <row r="458">
      <c r="A458" s="22" t="n"/>
      <c r="B458" s="23" t="n"/>
      <c r="C458" s="24" t="n"/>
      <c r="D458" s="25" t="n"/>
      <c r="E458" s="26" t="n"/>
      <c r="F458" s="26" t="n"/>
      <c r="G458" s="27">
        <f>IF(C458="","",IFERROR(VLOOKUP(C458,CodeTable,3,0),1))</f>
        <v/>
      </c>
      <c r="H458" s="27">
        <f>IF(C458="","",IF(E458&lt;&gt;"",E458,IF(IFERROR(VLOOKUP(C458,CodeTable,5,0)&amp;"","")="","All",VLOOKUP(C458,CodeTable,5,0)&amp;"")))</f>
        <v/>
      </c>
      <c r="I458" s="28">
        <f>IF(OR(A458="",C458=""),"",A458&amp;"|"&amp;B458&amp;"|"&amp;(COUNTIFS(FlDate,A458,FlShift,B458,FlCode,"&lt;&gt;",FlOrder,"&lt;"&amp;J458)+COUNTIFS(A$6:A458,A458,B$6:B458,B458,C$6:C458,"&lt;&gt;",J$6:J458,J458)))</f>
        <v/>
      </c>
      <c r="J458" s="28">
        <f>IF(C458="","",IF(D458="","zz","t"&amp;D458))</f>
        <v/>
      </c>
      <c r="K458" s="28">
        <f>IF(OR(A458="",C458=""),"",IF(IFERROR(INDEX(DayStat,A458-DATE(PlanYear,1,1)+1)&amp;"","")&lt;&gt;"",0,1))</f>
        <v/>
      </c>
      <c r="L458" s="28">
        <f>IF(K458="","",K458*IFERROR(VLOOKUP(C458,CodeTable,4,0),0))</f>
        <v/>
      </c>
    </row>
    <row r="459">
      <c r="A459" s="22" t="n"/>
      <c r="B459" s="23" t="n"/>
      <c r="C459" s="24" t="n"/>
      <c r="D459" s="25" t="n"/>
      <c r="E459" s="26" t="n"/>
      <c r="F459" s="26" t="n"/>
      <c r="G459" s="27">
        <f>IF(C459="","",IFERROR(VLOOKUP(C459,CodeTable,3,0),1))</f>
        <v/>
      </c>
      <c r="H459" s="27">
        <f>IF(C459="","",IF(E459&lt;&gt;"",E459,IF(IFERROR(VLOOKUP(C459,CodeTable,5,0)&amp;"","")="","All",VLOOKUP(C459,CodeTable,5,0)&amp;"")))</f>
        <v/>
      </c>
      <c r="I459" s="28">
        <f>IF(OR(A459="",C459=""),"",A459&amp;"|"&amp;B459&amp;"|"&amp;(COUNTIFS(FlDate,A459,FlShift,B459,FlCode,"&lt;&gt;",FlOrder,"&lt;"&amp;J459)+COUNTIFS(A$6:A459,A459,B$6:B459,B459,C$6:C459,"&lt;&gt;",J$6:J459,J459)))</f>
        <v/>
      </c>
      <c r="J459" s="28">
        <f>IF(C459="","",IF(D459="","zz","t"&amp;D459))</f>
        <v/>
      </c>
      <c r="K459" s="28">
        <f>IF(OR(A459="",C459=""),"",IF(IFERROR(INDEX(DayStat,A459-DATE(PlanYear,1,1)+1)&amp;"","")&lt;&gt;"",0,1))</f>
        <v/>
      </c>
      <c r="L459" s="28">
        <f>IF(K459="","",K459*IFERROR(VLOOKUP(C459,CodeTable,4,0),0))</f>
        <v/>
      </c>
    </row>
    <row r="460">
      <c r="A460" s="22" t="n"/>
      <c r="B460" s="23" t="n"/>
      <c r="C460" s="24" t="n"/>
      <c r="D460" s="25" t="n"/>
      <c r="E460" s="26" t="n"/>
      <c r="F460" s="26" t="n"/>
      <c r="G460" s="27">
        <f>IF(C460="","",IFERROR(VLOOKUP(C460,CodeTable,3,0),1))</f>
        <v/>
      </c>
      <c r="H460" s="27">
        <f>IF(C460="","",IF(E460&lt;&gt;"",E460,IF(IFERROR(VLOOKUP(C460,CodeTable,5,0)&amp;"","")="","All",VLOOKUP(C460,CodeTable,5,0)&amp;"")))</f>
        <v/>
      </c>
      <c r="I460" s="28">
        <f>IF(OR(A460="",C460=""),"",A460&amp;"|"&amp;B460&amp;"|"&amp;(COUNTIFS(FlDate,A460,FlShift,B460,FlCode,"&lt;&gt;",FlOrder,"&lt;"&amp;J460)+COUNTIFS(A$6:A460,A460,B$6:B460,B460,C$6:C460,"&lt;&gt;",J$6:J460,J460)))</f>
        <v/>
      </c>
      <c r="J460" s="28">
        <f>IF(C460="","",IF(D460="","zz","t"&amp;D460))</f>
        <v/>
      </c>
      <c r="K460" s="28">
        <f>IF(OR(A460="",C460=""),"",IF(IFERROR(INDEX(DayStat,A460-DATE(PlanYear,1,1)+1)&amp;"","")&lt;&gt;"",0,1))</f>
        <v/>
      </c>
      <c r="L460" s="28">
        <f>IF(K460="","",K460*IFERROR(VLOOKUP(C460,CodeTable,4,0),0))</f>
        <v/>
      </c>
    </row>
    <row r="461">
      <c r="A461" s="22" t="n"/>
      <c r="B461" s="23" t="n"/>
      <c r="C461" s="24" t="n"/>
      <c r="D461" s="25" t="n"/>
      <c r="E461" s="26" t="n"/>
      <c r="F461" s="26" t="n"/>
      <c r="G461" s="27">
        <f>IF(C461="","",IFERROR(VLOOKUP(C461,CodeTable,3,0),1))</f>
        <v/>
      </c>
      <c r="H461" s="27">
        <f>IF(C461="","",IF(E461&lt;&gt;"",E461,IF(IFERROR(VLOOKUP(C461,CodeTable,5,0)&amp;"","")="","All",VLOOKUP(C461,CodeTable,5,0)&amp;"")))</f>
        <v/>
      </c>
      <c r="I461" s="28">
        <f>IF(OR(A461="",C461=""),"",A461&amp;"|"&amp;B461&amp;"|"&amp;(COUNTIFS(FlDate,A461,FlShift,B461,FlCode,"&lt;&gt;",FlOrder,"&lt;"&amp;J461)+COUNTIFS(A$6:A461,A461,B$6:B461,B461,C$6:C461,"&lt;&gt;",J$6:J461,J461)))</f>
        <v/>
      </c>
      <c r="J461" s="28">
        <f>IF(C461="","",IF(D461="","zz","t"&amp;D461))</f>
        <v/>
      </c>
      <c r="K461" s="28">
        <f>IF(OR(A461="",C461=""),"",IF(IFERROR(INDEX(DayStat,A461-DATE(PlanYear,1,1)+1)&amp;"","")&lt;&gt;"",0,1))</f>
        <v/>
      </c>
      <c r="L461" s="28">
        <f>IF(K461="","",K461*IFERROR(VLOOKUP(C461,CodeTable,4,0),0))</f>
        <v/>
      </c>
    </row>
    <row r="462">
      <c r="A462" s="22" t="n"/>
      <c r="B462" s="23" t="n"/>
      <c r="C462" s="24" t="n"/>
      <c r="D462" s="25" t="n"/>
      <c r="E462" s="26" t="n"/>
      <c r="F462" s="26" t="n"/>
      <c r="G462" s="27">
        <f>IF(C462="","",IFERROR(VLOOKUP(C462,CodeTable,3,0),1))</f>
        <v/>
      </c>
      <c r="H462" s="27">
        <f>IF(C462="","",IF(E462&lt;&gt;"",E462,IF(IFERROR(VLOOKUP(C462,CodeTable,5,0)&amp;"","")="","All",VLOOKUP(C462,CodeTable,5,0)&amp;"")))</f>
        <v/>
      </c>
      <c r="I462" s="28">
        <f>IF(OR(A462="",C462=""),"",A462&amp;"|"&amp;B462&amp;"|"&amp;(COUNTIFS(FlDate,A462,FlShift,B462,FlCode,"&lt;&gt;",FlOrder,"&lt;"&amp;J462)+COUNTIFS(A$6:A462,A462,B$6:B462,B462,C$6:C462,"&lt;&gt;",J$6:J462,J462)))</f>
        <v/>
      </c>
      <c r="J462" s="28">
        <f>IF(C462="","",IF(D462="","zz","t"&amp;D462))</f>
        <v/>
      </c>
      <c r="K462" s="28">
        <f>IF(OR(A462="",C462=""),"",IF(IFERROR(INDEX(DayStat,A462-DATE(PlanYear,1,1)+1)&amp;"","")&lt;&gt;"",0,1))</f>
        <v/>
      </c>
      <c r="L462" s="28">
        <f>IF(K462="","",K462*IFERROR(VLOOKUP(C462,CodeTable,4,0),0))</f>
        <v/>
      </c>
    </row>
    <row r="463">
      <c r="A463" s="22" t="n"/>
      <c r="B463" s="23" t="n"/>
      <c r="C463" s="24" t="n"/>
      <c r="D463" s="25" t="n"/>
      <c r="E463" s="26" t="n"/>
      <c r="F463" s="26" t="n"/>
      <c r="G463" s="27">
        <f>IF(C463="","",IFERROR(VLOOKUP(C463,CodeTable,3,0),1))</f>
        <v/>
      </c>
      <c r="H463" s="27">
        <f>IF(C463="","",IF(E463&lt;&gt;"",E463,IF(IFERROR(VLOOKUP(C463,CodeTable,5,0)&amp;"","")="","All",VLOOKUP(C463,CodeTable,5,0)&amp;"")))</f>
        <v/>
      </c>
      <c r="I463" s="28">
        <f>IF(OR(A463="",C463=""),"",A463&amp;"|"&amp;B463&amp;"|"&amp;(COUNTIFS(FlDate,A463,FlShift,B463,FlCode,"&lt;&gt;",FlOrder,"&lt;"&amp;J463)+COUNTIFS(A$6:A463,A463,B$6:B463,B463,C$6:C463,"&lt;&gt;",J$6:J463,J463)))</f>
        <v/>
      </c>
      <c r="J463" s="28">
        <f>IF(C463="","",IF(D463="","zz","t"&amp;D463))</f>
        <v/>
      </c>
      <c r="K463" s="28">
        <f>IF(OR(A463="",C463=""),"",IF(IFERROR(INDEX(DayStat,A463-DATE(PlanYear,1,1)+1)&amp;"","")&lt;&gt;"",0,1))</f>
        <v/>
      </c>
      <c r="L463" s="28">
        <f>IF(K463="","",K463*IFERROR(VLOOKUP(C463,CodeTable,4,0),0))</f>
        <v/>
      </c>
    </row>
    <row r="464">
      <c r="A464" s="22" t="n"/>
      <c r="B464" s="23" t="n"/>
      <c r="C464" s="24" t="n"/>
      <c r="D464" s="25" t="n"/>
      <c r="E464" s="26" t="n"/>
      <c r="F464" s="26" t="n"/>
      <c r="G464" s="27">
        <f>IF(C464="","",IFERROR(VLOOKUP(C464,CodeTable,3,0),1))</f>
        <v/>
      </c>
      <c r="H464" s="27">
        <f>IF(C464="","",IF(E464&lt;&gt;"",E464,IF(IFERROR(VLOOKUP(C464,CodeTable,5,0)&amp;"","")="","All",VLOOKUP(C464,CodeTable,5,0)&amp;"")))</f>
        <v/>
      </c>
      <c r="I464" s="28">
        <f>IF(OR(A464="",C464=""),"",A464&amp;"|"&amp;B464&amp;"|"&amp;(COUNTIFS(FlDate,A464,FlShift,B464,FlCode,"&lt;&gt;",FlOrder,"&lt;"&amp;J464)+COUNTIFS(A$6:A464,A464,B$6:B464,B464,C$6:C464,"&lt;&gt;",J$6:J464,J464)))</f>
        <v/>
      </c>
      <c r="J464" s="28">
        <f>IF(C464="","",IF(D464="","zz","t"&amp;D464))</f>
        <v/>
      </c>
      <c r="K464" s="28">
        <f>IF(OR(A464="",C464=""),"",IF(IFERROR(INDEX(DayStat,A464-DATE(PlanYear,1,1)+1)&amp;"","")&lt;&gt;"",0,1))</f>
        <v/>
      </c>
      <c r="L464" s="28">
        <f>IF(K464="","",K464*IFERROR(VLOOKUP(C464,CodeTable,4,0),0))</f>
        <v/>
      </c>
    </row>
    <row r="465">
      <c r="A465" s="22" t="n"/>
      <c r="B465" s="23" t="n"/>
      <c r="C465" s="24" t="n"/>
      <c r="D465" s="25" t="n"/>
      <c r="E465" s="26" t="n"/>
      <c r="F465" s="26" t="n"/>
      <c r="G465" s="27">
        <f>IF(C465="","",IFERROR(VLOOKUP(C465,CodeTable,3,0),1))</f>
        <v/>
      </c>
      <c r="H465" s="27">
        <f>IF(C465="","",IF(E465&lt;&gt;"",E465,IF(IFERROR(VLOOKUP(C465,CodeTable,5,0)&amp;"","")="","All",VLOOKUP(C465,CodeTable,5,0)&amp;"")))</f>
        <v/>
      </c>
      <c r="I465" s="28">
        <f>IF(OR(A465="",C465=""),"",A465&amp;"|"&amp;B465&amp;"|"&amp;(COUNTIFS(FlDate,A465,FlShift,B465,FlCode,"&lt;&gt;",FlOrder,"&lt;"&amp;J465)+COUNTIFS(A$6:A465,A465,B$6:B465,B465,C$6:C465,"&lt;&gt;",J$6:J465,J465)))</f>
        <v/>
      </c>
      <c r="J465" s="28">
        <f>IF(C465="","",IF(D465="","zz","t"&amp;D465))</f>
        <v/>
      </c>
      <c r="K465" s="28">
        <f>IF(OR(A465="",C465=""),"",IF(IFERROR(INDEX(DayStat,A465-DATE(PlanYear,1,1)+1)&amp;"","")&lt;&gt;"",0,1))</f>
        <v/>
      </c>
      <c r="L465" s="28">
        <f>IF(K465="","",K465*IFERROR(VLOOKUP(C465,CodeTable,4,0),0))</f>
        <v/>
      </c>
    </row>
    <row r="466">
      <c r="A466" s="22" t="n"/>
      <c r="B466" s="23" t="n"/>
      <c r="C466" s="24" t="n"/>
      <c r="D466" s="25" t="n"/>
      <c r="E466" s="26" t="n"/>
      <c r="F466" s="26" t="n"/>
      <c r="G466" s="27">
        <f>IF(C466="","",IFERROR(VLOOKUP(C466,CodeTable,3,0),1))</f>
        <v/>
      </c>
      <c r="H466" s="27">
        <f>IF(C466="","",IF(E466&lt;&gt;"",E466,IF(IFERROR(VLOOKUP(C466,CodeTable,5,0)&amp;"","")="","All",VLOOKUP(C466,CodeTable,5,0)&amp;"")))</f>
        <v/>
      </c>
      <c r="I466" s="28">
        <f>IF(OR(A466="",C466=""),"",A466&amp;"|"&amp;B466&amp;"|"&amp;(COUNTIFS(FlDate,A466,FlShift,B466,FlCode,"&lt;&gt;",FlOrder,"&lt;"&amp;J466)+COUNTIFS(A$6:A466,A466,B$6:B466,B466,C$6:C466,"&lt;&gt;",J$6:J466,J466)))</f>
        <v/>
      </c>
      <c r="J466" s="28">
        <f>IF(C466="","",IF(D466="","zz","t"&amp;D466))</f>
        <v/>
      </c>
      <c r="K466" s="28">
        <f>IF(OR(A466="",C466=""),"",IF(IFERROR(INDEX(DayStat,A466-DATE(PlanYear,1,1)+1)&amp;"","")&lt;&gt;"",0,1))</f>
        <v/>
      </c>
      <c r="L466" s="28">
        <f>IF(K466="","",K466*IFERROR(VLOOKUP(C466,CodeTable,4,0),0))</f>
        <v/>
      </c>
    </row>
    <row r="467">
      <c r="A467" s="22" t="n"/>
      <c r="B467" s="23" t="n"/>
      <c r="C467" s="24" t="n"/>
      <c r="D467" s="25" t="n"/>
      <c r="E467" s="26" t="n"/>
      <c r="F467" s="26" t="n"/>
      <c r="G467" s="27">
        <f>IF(C467="","",IFERROR(VLOOKUP(C467,CodeTable,3,0),1))</f>
        <v/>
      </c>
      <c r="H467" s="27">
        <f>IF(C467="","",IF(E467&lt;&gt;"",E467,IF(IFERROR(VLOOKUP(C467,CodeTable,5,0)&amp;"","")="","All",VLOOKUP(C467,CodeTable,5,0)&amp;"")))</f>
        <v/>
      </c>
      <c r="I467" s="28">
        <f>IF(OR(A467="",C467=""),"",A467&amp;"|"&amp;B467&amp;"|"&amp;(COUNTIFS(FlDate,A467,FlShift,B467,FlCode,"&lt;&gt;",FlOrder,"&lt;"&amp;J467)+COUNTIFS(A$6:A467,A467,B$6:B467,B467,C$6:C467,"&lt;&gt;",J$6:J467,J467)))</f>
        <v/>
      </c>
      <c r="J467" s="28">
        <f>IF(C467="","",IF(D467="","zz","t"&amp;D467))</f>
        <v/>
      </c>
      <c r="K467" s="28">
        <f>IF(OR(A467="",C467=""),"",IF(IFERROR(INDEX(DayStat,A467-DATE(PlanYear,1,1)+1)&amp;"","")&lt;&gt;"",0,1))</f>
        <v/>
      </c>
      <c r="L467" s="28">
        <f>IF(K467="","",K467*IFERROR(VLOOKUP(C467,CodeTable,4,0),0))</f>
        <v/>
      </c>
    </row>
    <row r="468">
      <c r="A468" s="22" t="n"/>
      <c r="B468" s="23" t="n"/>
      <c r="C468" s="24" t="n"/>
      <c r="D468" s="25" t="n"/>
      <c r="E468" s="26" t="n"/>
      <c r="F468" s="26" t="n"/>
      <c r="G468" s="27">
        <f>IF(C468="","",IFERROR(VLOOKUP(C468,CodeTable,3,0),1))</f>
        <v/>
      </c>
      <c r="H468" s="27">
        <f>IF(C468="","",IF(E468&lt;&gt;"",E468,IF(IFERROR(VLOOKUP(C468,CodeTable,5,0)&amp;"","")="","All",VLOOKUP(C468,CodeTable,5,0)&amp;"")))</f>
        <v/>
      </c>
      <c r="I468" s="28">
        <f>IF(OR(A468="",C468=""),"",A468&amp;"|"&amp;B468&amp;"|"&amp;(COUNTIFS(FlDate,A468,FlShift,B468,FlCode,"&lt;&gt;",FlOrder,"&lt;"&amp;J468)+COUNTIFS(A$6:A468,A468,B$6:B468,B468,C$6:C468,"&lt;&gt;",J$6:J468,J468)))</f>
        <v/>
      </c>
      <c r="J468" s="28">
        <f>IF(C468="","",IF(D468="","zz","t"&amp;D468))</f>
        <v/>
      </c>
      <c r="K468" s="28">
        <f>IF(OR(A468="",C468=""),"",IF(IFERROR(INDEX(DayStat,A468-DATE(PlanYear,1,1)+1)&amp;"","")&lt;&gt;"",0,1))</f>
        <v/>
      </c>
      <c r="L468" s="28">
        <f>IF(K468="","",K468*IFERROR(VLOOKUP(C468,CodeTable,4,0),0))</f>
        <v/>
      </c>
    </row>
    <row r="469">
      <c r="A469" s="22" t="n"/>
      <c r="B469" s="23" t="n"/>
      <c r="C469" s="24" t="n"/>
      <c r="D469" s="25" t="n"/>
      <c r="E469" s="26" t="n"/>
      <c r="F469" s="26" t="n"/>
      <c r="G469" s="27">
        <f>IF(C469="","",IFERROR(VLOOKUP(C469,CodeTable,3,0),1))</f>
        <v/>
      </c>
      <c r="H469" s="27">
        <f>IF(C469="","",IF(E469&lt;&gt;"",E469,IF(IFERROR(VLOOKUP(C469,CodeTable,5,0)&amp;"","")="","All",VLOOKUP(C469,CodeTable,5,0)&amp;"")))</f>
        <v/>
      </c>
      <c r="I469" s="28">
        <f>IF(OR(A469="",C469=""),"",A469&amp;"|"&amp;B469&amp;"|"&amp;(COUNTIFS(FlDate,A469,FlShift,B469,FlCode,"&lt;&gt;",FlOrder,"&lt;"&amp;J469)+COUNTIFS(A$6:A469,A469,B$6:B469,B469,C$6:C469,"&lt;&gt;",J$6:J469,J469)))</f>
        <v/>
      </c>
      <c r="J469" s="28">
        <f>IF(C469="","",IF(D469="","zz","t"&amp;D469))</f>
        <v/>
      </c>
      <c r="K469" s="28">
        <f>IF(OR(A469="",C469=""),"",IF(IFERROR(INDEX(DayStat,A469-DATE(PlanYear,1,1)+1)&amp;"","")&lt;&gt;"",0,1))</f>
        <v/>
      </c>
      <c r="L469" s="28">
        <f>IF(K469="","",K469*IFERROR(VLOOKUP(C469,CodeTable,4,0),0))</f>
        <v/>
      </c>
    </row>
    <row r="470">
      <c r="A470" s="22" t="n"/>
      <c r="B470" s="23" t="n"/>
      <c r="C470" s="24" t="n"/>
      <c r="D470" s="25" t="n"/>
      <c r="E470" s="26" t="n"/>
      <c r="F470" s="26" t="n"/>
      <c r="G470" s="27">
        <f>IF(C470="","",IFERROR(VLOOKUP(C470,CodeTable,3,0),1))</f>
        <v/>
      </c>
      <c r="H470" s="27">
        <f>IF(C470="","",IF(E470&lt;&gt;"",E470,IF(IFERROR(VLOOKUP(C470,CodeTable,5,0)&amp;"","")="","All",VLOOKUP(C470,CodeTable,5,0)&amp;"")))</f>
        <v/>
      </c>
      <c r="I470" s="28">
        <f>IF(OR(A470="",C470=""),"",A470&amp;"|"&amp;B470&amp;"|"&amp;(COUNTIFS(FlDate,A470,FlShift,B470,FlCode,"&lt;&gt;",FlOrder,"&lt;"&amp;J470)+COUNTIFS(A$6:A470,A470,B$6:B470,B470,C$6:C470,"&lt;&gt;",J$6:J470,J470)))</f>
        <v/>
      </c>
      <c r="J470" s="28">
        <f>IF(C470="","",IF(D470="","zz","t"&amp;D470))</f>
        <v/>
      </c>
      <c r="K470" s="28">
        <f>IF(OR(A470="",C470=""),"",IF(IFERROR(INDEX(DayStat,A470-DATE(PlanYear,1,1)+1)&amp;"","")&lt;&gt;"",0,1))</f>
        <v/>
      </c>
      <c r="L470" s="28">
        <f>IF(K470="","",K470*IFERROR(VLOOKUP(C470,CodeTable,4,0),0))</f>
        <v/>
      </c>
    </row>
    <row r="471">
      <c r="A471" s="22" t="n"/>
      <c r="B471" s="23" t="n"/>
      <c r="C471" s="24" t="n"/>
      <c r="D471" s="25" t="n"/>
      <c r="E471" s="26" t="n"/>
      <c r="F471" s="26" t="n"/>
      <c r="G471" s="27">
        <f>IF(C471="","",IFERROR(VLOOKUP(C471,CodeTable,3,0),1))</f>
        <v/>
      </c>
      <c r="H471" s="27">
        <f>IF(C471="","",IF(E471&lt;&gt;"",E471,IF(IFERROR(VLOOKUP(C471,CodeTable,5,0)&amp;"","")="","All",VLOOKUP(C471,CodeTable,5,0)&amp;"")))</f>
        <v/>
      </c>
      <c r="I471" s="28">
        <f>IF(OR(A471="",C471=""),"",A471&amp;"|"&amp;B471&amp;"|"&amp;(COUNTIFS(FlDate,A471,FlShift,B471,FlCode,"&lt;&gt;",FlOrder,"&lt;"&amp;J471)+COUNTIFS(A$6:A471,A471,B$6:B471,B471,C$6:C471,"&lt;&gt;",J$6:J471,J471)))</f>
        <v/>
      </c>
      <c r="J471" s="28">
        <f>IF(C471="","",IF(D471="","zz","t"&amp;D471))</f>
        <v/>
      </c>
      <c r="K471" s="28">
        <f>IF(OR(A471="",C471=""),"",IF(IFERROR(INDEX(DayStat,A471-DATE(PlanYear,1,1)+1)&amp;"","")&lt;&gt;"",0,1))</f>
        <v/>
      </c>
      <c r="L471" s="28">
        <f>IF(K471="","",K471*IFERROR(VLOOKUP(C471,CodeTable,4,0),0))</f>
        <v/>
      </c>
    </row>
    <row r="472">
      <c r="A472" s="22" t="n"/>
      <c r="B472" s="23" t="n"/>
      <c r="C472" s="24" t="n"/>
      <c r="D472" s="25" t="n"/>
      <c r="E472" s="26" t="n"/>
      <c r="F472" s="26" t="n"/>
      <c r="G472" s="27">
        <f>IF(C472="","",IFERROR(VLOOKUP(C472,CodeTable,3,0),1))</f>
        <v/>
      </c>
      <c r="H472" s="27">
        <f>IF(C472="","",IF(E472&lt;&gt;"",E472,IF(IFERROR(VLOOKUP(C472,CodeTable,5,0)&amp;"","")="","All",VLOOKUP(C472,CodeTable,5,0)&amp;"")))</f>
        <v/>
      </c>
      <c r="I472" s="28">
        <f>IF(OR(A472="",C472=""),"",A472&amp;"|"&amp;B472&amp;"|"&amp;(COUNTIFS(FlDate,A472,FlShift,B472,FlCode,"&lt;&gt;",FlOrder,"&lt;"&amp;J472)+COUNTIFS(A$6:A472,A472,B$6:B472,B472,C$6:C472,"&lt;&gt;",J$6:J472,J472)))</f>
        <v/>
      </c>
      <c r="J472" s="28">
        <f>IF(C472="","",IF(D472="","zz","t"&amp;D472))</f>
        <v/>
      </c>
      <c r="K472" s="28">
        <f>IF(OR(A472="",C472=""),"",IF(IFERROR(INDEX(DayStat,A472-DATE(PlanYear,1,1)+1)&amp;"","")&lt;&gt;"",0,1))</f>
        <v/>
      </c>
      <c r="L472" s="28">
        <f>IF(K472="","",K472*IFERROR(VLOOKUP(C472,CodeTable,4,0),0))</f>
        <v/>
      </c>
    </row>
    <row r="473">
      <c r="A473" s="22" t="n"/>
      <c r="B473" s="23" t="n"/>
      <c r="C473" s="24" t="n"/>
      <c r="D473" s="25" t="n"/>
      <c r="E473" s="26" t="n"/>
      <c r="F473" s="26" t="n"/>
      <c r="G473" s="27">
        <f>IF(C473="","",IFERROR(VLOOKUP(C473,CodeTable,3,0),1))</f>
        <v/>
      </c>
      <c r="H473" s="27">
        <f>IF(C473="","",IF(E473&lt;&gt;"",E473,IF(IFERROR(VLOOKUP(C473,CodeTable,5,0)&amp;"","")="","All",VLOOKUP(C473,CodeTable,5,0)&amp;"")))</f>
        <v/>
      </c>
      <c r="I473" s="28">
        <f>IF(OR(A473="",C473=""),"",A473&amp;"|"&amp;B473&amp;"|"&amp;(COUNTIFS(FlDate,A473,FlShift,B473,FlCode,"&lt;&gt;",FlOrder,"&lt;"&amp;J473)+COUNTIFS(A$6:A473,A473,B$6:B473,B473,C$6:C473,"&lt;&gt;",J$6:J473,J473)))</f>
        <v/>
      </c>
      <c r="J473" s="28">
        <f>IF(C473="","",IF(D473="","zz","t"&amp;D473))</f>
        <v/>
      </c>
      <c r="K473" s="28">
        <f>IF(OR(A473="",C473=""),"",IF(IFERROR(INDEX(DayStat,A473-DATE(PlanYear,1,1)+1)&amp;"","")&lt;&gt;"",0,1))</f>
        <v/>
      </c>
      <c r="L473" s="28">
        <f>IF(K473="","",K473*IFERROR(VLOOKUP(C473,CodeTable,4,0),0))</f>
        <v/>
      </c>
    </row>
    <row r="474">
      <c r="A474" s="22" t="n"/>
      <c r="B474" s="23" t="n"/>
      <c r="C474" s="24" t="n"/>
      <c r="D474" s="25" t="n"/>
      <c r="E474" s="26" t="n"/>
      <c r="F474" s="26" t="n"/>
      <c r="G474" s="27">
        <f>IF(C474="","",IFERROR(VLOOKUP(C474,CodeTable,3,0),1))</f>
        <v/>
      </c>
      <c r="H474" s="27">
        <f>IF(C474="","",IF(E474&lt;&gt;"",E474,IF(IFERROR(VLOOKUP(C474,CodeTable,5,0)&amp;"","")="","All",VLOOKUP(C474,CodeTable,5,0)&amp;"")))</f>
        <v/>
      </c>
      <c r="I474" s="28">
        <f>IF(OR(A474="",C474=""),"",A474&amp;"|"&amp;B474&amp;"|"&amp;(COUNTIFS(FlDate,A474,FlShift,B474,FlCode,"&lt;&gt;",FlOrder,"&lt;"&amp;J474)+COUNTIFS(A$6:A474,A474,B$6:B474,B474,C$6:C474,"&lt;&gt;",J$6:J474,J474)))</f>
        <v/>
      </c>
      <c r="J474" s="28">
        <f>IF(C474="","",IF(D474="","zz","t"&amp;D474))</f>
        <v/>
      </c>
      <c r="K474" s="28">
        <f>IF(OR(A474="",C474=""),"",IF(IFERROR(INDEX(DayStat,A474-DATE(PlanYear,1,1)+1)&amp;"","")&lt;&gt;"",0,1))</f>
        <v/>
      </c>
      <c r="L474" s="28">
        <f>IF(K474="","",K474*IFERROR(VLOOKUP(C474,CodeTable,4,0),0))</f>
        <v/>
      </c>
    </row>
    <row r="475">
      <c r="A475" s="22" t="n"/>
      <c r="B475" s="23" t="n"/>
      <c r="C475" s="24" t="n"/>
      <c r="D475" s="25" t="n"/>
      <c r="E475" s="26" t="n"/>
      <c r="F475" s="26" t="n"/>
      <c r="G475" s="27">
        <f>IF(C475="","",IFERROR(VLOOKUP(C475,CodeTable,3,0),1))</f>
        <v/>
      </c>
      <c r="H475" s="27">
        <f>IF(C475="","",IF(E475&lt;&gt;"",E475,IF(IFERROR(VLOOKUP(C475,CodeTable,5,0)&amp;"","")="","All",VLOOKUP(C475,CodeTable,5,0)&amp;"")))</f>
        <v/>
      </c>
      <c r="I475" s="28">
        <f>IF(OR(A475="",C475=""),"",A475&amp;"|"&amp;B475&amp;"|"&amp;(COUNTIFS(FlDate,A475,FlShift,B475,FlCode,"&lt;&gt;",FlOrder,"&lt;"&amp;J475)+COUNTIFS(A$6:A475,A475,B$6:B475,B475,C$6:C475,"&lt;&gt;",J$6:J475,J475)))</f>
        <v/>
      </c>
      <c r="J475" s="28">
        <f>IF(C475="","",IF(D475="","zz","t"&amp;D475))</f>
        <v/>
      </c>
      <c r="K475" s="28">
        <f>IF(OR(A475="",C475=""),"",IF(IFERROR(INDEX(DayStat,A475-DATE(PlanYear,1,1)+1)&amp;"","")&lt;&gt;"",0,1))</f>
        <v/>
      </c>
      <c r="L475" s="28">
        <f>IF(K475="","",K475*IFERROR(VLOOKUP(C475,CodeTable,4,0),0))</f>
        <v/>
      </c>
    </row>
    <row r="476">
      <c r="A476" s="22" t="n"/>
      <c r="B476" s="23" t="n"/>
      <c r="C476" s="24" t="n"/>
      <c r="D476" s="25" t="n"/>
      <c r="E476" s="26" t="n"/>
      <c r="F476" s="26" t="n"/>
      <c r="G476" s="27">
        <f>IF(C476="","",IFERROR(VLOOKUP(C476,CodeTable,3,0),1))</f>
        <v/>
      </c>
      <c r="H476" s="27">
        <f>IF(C476="","",IF(E476&lt;&gt;"",E476,IF(IFERROR(VLOOKUP(C476,CodeTable,5,0)&amp;"","")="","All",VLOOKUP(C476,CodeTable,5,0)&amp;"")))</f>
        <v/>
      </c>
      <c r="I476" s="28">
        <f>IF(OR(A476="",C476=""),"",A476&amp;"|"&amp;B476&amp;"|"&amp;(COUNTIFS(FlDate,A476,FlShift,B476,FlCode,"&lt;&gt;",FlOrder,"&lt;"&amp;J476)+COUNTIFS(A$6:A476,A476,B$6:B476,B476,C$6:C476,"&lt;&gt;",J$6:J476,J476)))</f>
        <v/>
      </c>
      <c r="J476" s="28">
        <f>IF(C476="","",IF(D476="","zz","t"&amp;D476))</f>
        <v/>
      </c>
      <c r="K476" s="28">
        <f>IF(OR(A476="",C476=""),"",IF(IFERROR(INDEX(DayStat,A476-DATE(PlanYear,1,1)+1)&amp;"","")&lt;&gt;"",0,1))</f>
        <v/>
      </c>
      <c r="L476" s="28">
        <f>IF(K476="","",K476*IFERROR(VLOOKUP(C476,CodeTable,4,0),0))</f>
        <v/>
      </c>
    </row>
    <row r="477">
      <c r="A477" s="22" t="n"/>
      <c r="B477" s="23" t="n"/>
      <c r="C477" s="24" t="n"/>
      <c r="D477" s="25" t="n"/>
      <c r="E477" s="26" t="n"/>
      <c r="F477" s="26" t="n"/>
      <c r="G477" s="27">
        <f>IF(C477="","",IFERROR(VLOOKUP(C477,CodeTable,3,0),1))</f>
        <v/>
      </c>
      <c r="H477" s="27">
        <f>IF(C477="","",IF(E477&lt;&gt;"",E477,IF(IFERROR(VLOOKUP(C477,CodeTable,5,0)&amp;"","")="","All",VLOOKUP(C477,CodeTable,5,0)&amp;"")))</f>
        <v/>
      </c>
      <c r="I477" s="28">
        <f>IF(OR(A477="",C477=""),"",A477&amp;"|"&amp;B477&amp;"|"&amp;(COUNTIFS(FlDate,A477,FlShift,B477,FlCode,"&lt;&gt;",FlOrder,"&lt;"&amp;J477)+COUNTIFS(A$6:A477,A477,B$6:B477,B477,C$6:C477,"&lt;&gt;",J$6:J477,J477)))</f>
        <v/>
      </c>
      <c r="J477" s="28">
        <f>IF(C477="","",IF(D477="","zz","t"&amp;D477))</f>
        <v/>
      </c>
      <c r="K477" s="28">
        <f>IF(OR(A477="",C477=""),"",IF(IFERROR(INDEX(DayStat,A477-DATE(PlanYear,1,1)+1)&amp;"","")&lt;&gt;"",0,1))</f>
        <v/>
      </c>
      <c r="L477" s="28">
        <f>IF(K477="","",K477*IFERROR(VLOOKUP(C477,CodeTable,4,0),0))</f>
        <v/>
      </c>
    </row>
    <row r="478">
      <c r="A478" s="22" t="n"/>
      <c r="B478" s="23" t="n"/>
      <c r="C478" s="24" t="n"/>
      <c r="D478" s="25" t="n"/>
      <c r="E478" s="26" t="n"/>
      <c r="F478" s="26" t="n"/>
      <c r="G478" s="27">
        <f>IF(C478="","",IFERROR(VLOOKUP(C478,CodeTable,3,0),1))</f>
        <v/>
      </c>
      <c r="H478" s="27">
        <f>IF(C478="","",IF(E478&lt;&gt;"",E478,IF(IFERROR(VLOOKUP(C478,CodeTable,5,0)&amp;"","")="","All",VLOOKUP(C478,CodeTable,5,0)&amp;"")))</f>
        <v/>
      </c>
      <c r="I478" s="28">
        <f>IF(OR(A478="",C478=""),"",A478&amp;"|"&amp;B478&amp;"|"&amp;(COUNTIFS(FlDate,A478,FlShift,B478,FlCode,"&lt;&gt;",FlOrder,"&lt;"&amp;J478)+COUNTIFS(A$6:A478,A478,B$6:B478,B478,C$6:C478,"&lt;&gt;",J$6:J478,J478)))</f>
        <v/>
      </c>
      <c r="J478" s="28">
        <f>IF(C478="","",IF(D478="","zz","t"&amp;D478))</f>
        <v/>
      </c>
      <c r="K478" s="28">
        <f>IF(OR(A478="",C478=""),"",IF(IFERROR(INDEX(DayStat,A478-DATE(PlanYear,1,1)+1)&amp;"","")&lt;&gt;"",0,1))</f>
        <v/>
      </c>
      <c r="L478" s="28">
        <f>IF(K478="","",K478*IFERROR(VLOOKUP(C478,CodeTable,4,0),0))</f>
        <v/>
      </c>
    </row>
    <row r="479">
      <c r="A479" s="22" t="n"/>
      <c r="B479" s="23" t="n"/>
      <c r="C479" s="24" t="n"/>
      <c r="D479" s="25" t="n"/>
      <c r="E479" s="26" t="n"/>
      <c r="F479" s="26" t="n"/>
      <c r="G479" s="27">
        <f>IF(C479="","",IFERROR(VLOOKUP(C479,CodeTable,3,0),1))</f>
        <v/>
      </c>
      <c r="H479" s="27">
        <f>IF(C479="","",IF(E479&lt;&gt;"",E479,IF(IFERROR(VLOOKUP(C479,CodeTable,5,0)&amp;"","")="","All",VLOOKUP(C479,CodeTable,5,0)&amp;"")))</f>
        <v/>
      </c>
      <c r="I479" s="28">
        <f>IF(OR(A479="",C479=""),"",A479&amp;"|"&amp;B479&amp;"|"&amp;(COUNTIFS(FlDate,A479,FlShift,B479,FlCode,"&lt;&gt;",FlOrder,"&lt;"&amp;J479)+COUNTIFS(A$6:A479,A479,B$6:B479,B479,C$6:C479,"&lt;&gt;",J$6:J479,J479)))</f>
        <v/>
      </c>
      <c r="J479" s="28">
        <f>IF(C479="","",IF(D479="","zz","t"&amp;D479))</f>
        <v/>
      </c>
      <c r="K479" s="28">
        <f>IF(OR(A479="",C479=""),"",IF(IFERROR(INDEX(DayStat,A479-DATE(PlanYear,1,1)+1)&amp;"","")&lt;&gt;"",0,1))</f>
        <v/>
      </c>
      <c r="L479" s="28">
        <f>IF(K479="","",K479*IFERROR(VLOOKUP(C479,CodeTable,4,0),0))</f>
        <v/>
      </c>
    </row>
    <row r="480">
      <c r="A480" s="22" t="n"/>
      <c r="B480" s="23" t="n"/>
      <c r="C480" s="24" t="n"/>
      <c r="D480" s="25" t="n"/>
      <c r="E480" s="26" t="n"/>
      <c r="F480" s="26" t="n"/>
      <c r="G480" s="27">
        <f>IF(C480="","",IFERROR(VLOOKUP(C480,CodeTable,3,0),1))</f>
        <v/>
      </c>
      <c r="H480" s="27">
        <f>IF(C480="","",IF(E480&lt;&gt;"",E480,IF(IFERROR(VLOOKUP(C480,CodeTable,5,0)&amp;"","")="","All",VLOOKUP(C480,CodeTable,5,0)&amp;"")))</f>
        <v/>
      </c>
      <c r="I480" s="28">
        <f>IF(OR(A480="",C480=""),"",A480&amp;"|"&amp;B480&amp;"|"&amp;(COUNTIFS(FlDate,A480,FlShift,B480,FlCode,"&lt;&gt;",FlOrder,"&lt;"&amp;J480)+COUNTIFS(A$6:A480,A480,B$6:B480,B480,C$6:C480,"&lt;&gt;",J$6:J480,J480)))</f>
        <v/>
      </c>
      <c r="J480" s="28">
        <f>IF(C480="","",IF(D480="","zz","t"&amp;D480))</f>
        <v/>
      </c>
      <c r="K480" s="28">
        <f>IF(OR(A480="",C480=""),"",IF(IFERROR(INDEX(DayStat,A480-DATE(PlanYear,1,1)+1)&amp;"","")&lt;&gt;"",0,1))</f>
        <v/>
      </c>
      <c r="L480" s="28">
        <f>IF(K480="","",K480*IFERROR(VLOOKUP(C480,CodeTable,4,0),0))</f>
        <v/>
      </c>
    </row>
    <row r="481">
      <c r="A481" s="22" t="n"/>
      <c r="B481" s="23" t="n"/>
      <c r="C481" s="24" t="n"/>
      <c r="D481" s="25" t="n"/>
      <c r="E481" s="26" t="n"/>
      <c r="F481" s="26" t="n"/>
      <c r="G481" s="27">
        <f>IF(C481="","",IFERROR(VLOOKUP(C481,CodeTable,3,0),1))</f>
        <v/>
      </c>
      <c r="H481" s="27">
        <f>IF(C481="","",IF(E481&lt;&gt;"",E481,IF(IFERROR(VLOOKUP(C481,CodeTable,5,0)&amp;"","")="","All",VLOOKUP(C481,CodeTable,5,0)&amp;"")))</f>
        <v/>
      </c>
      <c r="I481" s="28">
        <f>IF(OR(A481="",C481=""),"",A481&amp;"|"&amp;B481&amp;"|"&amp;(COUNTIFS(FlDate,A481,FlShift,B481,FlCode,"&lt;&gt;",FlOrder,"&lt;"&amp;J481)+COUNTIFS(A$6:A481,A481,B$6:B481,B481,C$6:C481,"&lt;&gt;",J$6:J481,J481)))</f>
        <v/>
      </c>
      <c r="J481" s="28">
        <f>IF(C481="","",IF(D481="","zz","t"&amp;D481))</f>
        <v/>
      </c>
      <c r="K481" s="28">
        <f>IF(OR(A481="",C481=""),"",IF(IFERROR(INDEX(DayStat,A481-DATE(PlanYear,1,1)+1)&amp;"","")&lt;&gt;"",0,1))</f>
        <v/>
      </c>
      <c r="L481" s="28">
        <f>IF(K481="","",K481*IFERROR(VLOOKUP(C481,CodeTable,4,0),0))</f>
        <v/>
      </c>
    </row>
    <row r="482">
      <c r="A482" s="22" t="n"/>
      <c r="B482" s="23" t="n"/>
      <c r="C482" s="24" t="n"/>
      <c r="D482" s="25" t="n"/>
      <c r="E482" s="26" t="n"/>
      <c r="F482" s="26" t="n"/>
      <c r="G482" s="27">
        <f>IF(C482="","",IFERROR(VLOOKUP(C482,CodeTable,3,0),1))</f>
        <v/>
      </c>
      <c r="H482" s="27">
        <f>IF(C482="","",IF(E482&lt;&gt;"",E482,IF(IFERROR(VLOOKUP(C482,CodeTable,5,0)&amp;"","")="","All",VLOOKUP(C482,CodeTable,5,0)&amp;"")))</f>
        <v/>
      </c>
      <c r="I482" s="28">
        <f>IF(OR(A482="",C482=""),"",A482&amp;"|"&amp;B482&amp;"|"&amp;(COUNTIFS(FlDate,A482,FlShift,B482,FlCode,"&lt;&gt;",FlOrder,"&lt;"&amp;J482)+COUNTIFS(A$6:A482,A482,B$6:B482,B482,C$6:C482,"&lt;&gt;",J$6:J482,J482)))</f>
        <v/>
      </c>
      <c r="J482" s="28">
        <f>IF(C482="","",IF(D482="","zz","t"&amp;D482))</f>
        <v/>
      </c>
      <c r="K482" s="28">
        <f>IF(OR(A482="",C482=""),"",IF(IFERROR(INDEX(DayStat,A482-DATE(PlanYear,1,1)+1)&amp;"","")&lt;&gt;"",0,1))</f>
        <v/>
      </c>
      <c r="L482" s="28">
        <f>IF(K482="","",K482*IFERROR(VLOOKUP(C482,CodeTable,4,0),0))</f>
        <v/>
      </c>
    </row>
    <row r="483">
      <c r="A483" s="22" t="n"/>
      <c r="B483" s="23" t="n"/>
      <c r="C483" s="24" t="n"/>
      <c r="D483" s="25" t="n"/>
      <c r="E483" s="26" t="n"/>
      <c r="F483" s="26" t="n"/>
      <c r="G483" s="27">
        <f>IF(C483="","",IFERROR(VLOOKUP(C483,CodeTable,3,0),1))</f>
        <v/>
      </c>
      <c r="H483" s="27">
        <f>IF(C483="","",IF(E483&lt;&gt;"",E483,IF(IFERROR(VLOOKUP(C483,CodeTable,5,0)&amp;"","")="","All",VLOOKUP(C483,CodeTable,5,0)&amp;"")))</f>
        <v/>
      </c>
      <c r="I483" s="28">
        <f>IF(OR(A483="",C483=""),"",A483&amp;"|"&amp;B483&amp;"|"&amp;(COUNTIFS(FlDate,A483,FlShift,B483,FlCode,"&lt;&gt;",FlOrder,"&lt;"&amp;J483)+COUNTIFS(A$6:A483,A483,B$6:B483,B483,C$6:C483,"&lt;&gt;",J$6:J483,J483)))</f>
        <v/>
      </c>
      <c r="J483" s="28">
        <f>IF(C483="","",IF(D483="","zz","t"&amp;D483))</f>
        <v/>
      </c>
      <c r="K483" s="28">
        <f>IF(OR(A483="",C483=""),"",IF(IFERROR(INDEX(DayStat,A483-DATE(PlanYear,1,1)+1)&amp;"","")&lt;&gt;"",0,1))</f>
        <v/>
      </c>
      <c r="L483" s="28">
        <f>IF(K483="","",K483*IFERROR(VLOOKUP(C483,CodeTable,4,0),0))</f>
        <v/>
      </c>
    </row>
    <row r="484">
      <c r="A484" s="22" t="n"/>
      <c r="B484" s="23" t="n"/>
      <c r="C484" s="24" t="n"/>
      <c r="D484" s="25" t="n"/>
      <c r="E484" s="26" t="n"/>
      <c r="F484" s="26" t="n"/>
      <c r="G484" s="27">
        <f>IF(C484="","",IFERROR(VLOOKUP(C484,CodeTable,3,0),1))</f>
        <v/>
      </c>
      <c r="H484" s="27">
        <f>IF(C484="","",IF(E484&lt;&gt;"",E484,IF(IFERROR(VLOOKUP(C484,CodeTable,5,0)&amp;"","")="","All",VLOOKUP(C484,CodeTable,5,0)&amp;"")))</f>
        <v/>
      </c>
      <c r="I484" s="28">
        <f>IF(OR(A484="",C484=""),"",A484&amp;"|"&amp;B484&amp;"|"&amp;(COUNTIFS(FlDate,A484,FlShift,B484,FlCode,"&lt;&gt;",FlOrder,"&lt;"&amp;J484)+COUNTIFS(A$6:A484,A484,B$6:B484,B484,C$6:C484,"&lt;&gt;",J$6:J484,J484)))</f>
        <v/>
      </c>
      <c r="J484" s="28">
        <f>IF(C484="","",IF(D484="","zz","t"&amp;D484))</f>
        <v/>
      </c>
      <c r="K484" s="28">
        <f>IF(OR(A484="",C484=""),"",IF(IFERROR(INDEX(DayStat,A484-DATE(PlanYear,1,1)+1)&amp;"","")&lt;&gt;"",0,1))</f>
        <v/>
      </c>
      <c r="L484" s="28">
        <f>IF(K484="","",K484*IFERROR(VLOOKUP(C484,CodeTable,4,0),0))</f>
        <v/>
      </c>
    </row>
    <row r="485">
      <c r="A485" s="22" t="n"/>
      <c r="B485" s="23" t="n"/>
      <c r="C485" s="24" t="n"/>
      <c r="D485" s="25" t="n"/>
      <c r="E485" s="26" t="n"/>
      <c r="F485" s="26" t="n"/>
      <c r="G485" s="27">
        <f>IF(C485="","",IFERROR(VLOOKUP(C485,CodeTable,3,0),1))</f>
        <v/>
      </c>
      <c r="H485" s="27">
        <f>IF(C485="","",IF(E485&lt;&gt;"",E485,IF(IFERROR(VLOOKUP(C485,CodeTable,5,0)&amp;"","")="","All",VLOOKUP(C485,CodeTable,5,0)&amp;"")))</f>
        <v/>
      </c>
      <c r="I485" s="28">
        <f>IF(OR(A485="",C485=""),"",A485&amp;"|"&amp;B485&amp;"|"&amp;(COUNTIFS(FlDate,A485,FlShift,B485,FlCode,"&lt;&gt;",FlOrder,"&lt;"&amp;J485)+COUNTIFS(A$6:A485,A485,B$6:B485,B485,C$6:C485,"&lt;&gt;",J$6:J485,J485)))</f>
        <v/>
      </c>
      <c r="J485" s="28">
        <f>IF(C485="","",IF(D485="","zz","t"&amp;D485))</f>
        <v/>
      </c>
      <c r="K485" s="28">
        <f>IF(OR(A485="",C485=""),"",IF(IFERROR(INDEX(DayStat,A485-DATE(PlanYear,1,1)+1)&amp;"","")&lt;&gt;"",0,1))</f>
        <v/>
      </c>
      <c r="L485" s="28">
        <f>IF(K485="","",K485*IFERROR(VLOOKUP(C485,CodeTable,4,0),0))</f>
        <v/>
      </c>
    </row>
    <row r="486">
      <c r="A486" s="22" t="n"/>
      <c r="B486" s="23" t="n"/>
      <c r="C486" s="24" t="n"/>
      <c r="D486" s="25" t="n"/>
      <c r="E486" s="26" t="n"/>
      <c r="F486" s="26" t="n"/>
      <c r="G486" s="27">
        <f>IF(C486="","",IFERROR(VLOOKUP(C486,CodeTable,3,0),1))</f>
        <v/>
      </c>
      <c r="H486" s="27">
        <f>IF(C486="","",IF(E486&lt;&gt;"",E486,IF(IFERROR(VLOOKUP(C486,CodeTable,5,0)&amp;"","")="","All",VLOOKUP(C486,CodeTable,5,0)&amp;"")))</f>
        <v/>
      </c>
      <c r="I486" s="28">
        <f>IF(OR(A486="",C486=""),"",A486&amp;"|"&amp;B486&amp;"|"&amp;(COUNTIFS(FlDate,A486,FlShift,B486,FlCode,"&lt;&gt;",FlOrder,"&lt;"&amp;J486)+COUNTIFS(A$6:A486,A486,B$6:B486,B486,C$6:C486,"&lt;&gt;",J$6:J486,J486)))</f>
        <v/>
      </c>
      <c r="J486" s="28">
        <f>IF(C486="","",IF(D486="","zz","t"&amp;D486))</f>
        <v/>
      </c>
      <c r="K486" s="28">
        <f>IF(OR(A486="",C486=""),"",IF(IFERROR(INDEX(DayStat,A486-DATE(PlanYear,1,1)+1)&amp;"","")&lt;&gt;"",0,1))</f>
        <v/>
      </c>
      <c r="L486" s="28">
        <f>IF(K486="","",K486*IFERROR(VLOOKUP(C486,CodeTable,4,0),0))</f>
        <v/>
      </c>
    </row>
    <row r="487">
      <c r="A487" s="22" t="n"/>
      <c r="B487" s="23" t="n"/>
      <c r="C487" s="24" t="n"/>
      <c r="D487" s="25" t="n"/>
      <c r="E487" s="26" t="n"/>
      <c r="F487" s="26" t="n"/>
      <c r="G487" s="27">
        <f>IF(C487="","",IFERROR(VLOOKUP(C487,CodeTable,3,0),1))</f>
        <v/>
      </c>
      <c r="H487" s="27">
        <f>IF(C487="","",IF(E487&lt;&gt;"",E487,IF(IFERROR(VLOOKUP(C487,CodeTable,5,0)&amp;"","")="","All",VLOOKUP(C487,CodeTable,5,0)&amp;"")))</f>
        <v/>
      </c>
      <c r="I487" s="28">
        <f>IF(OR(A487="",C487=""),"",A487&amp;"|"&amp;B487&amp;"|"&amp;(COUNTIFS(FlDate,A487,FlShift,B487,FlCode,"&lt;&gt;",FlOrder,"&lt;"&amp;J487)+COUNTIFS(A$6:A487,A487,B$6:B487,B487,C$6:C487,"&lt;&gt;",J$6:J487,J487)))</f>
        <v/>
      </c>
      <c r="J487" s="28">
        <f>IF(C487="","",IF(D487="","zz","t"&amp;D487))</f>
        <v/>
      </c>
      <c r="K487" s="28">
        <f>IF(OR(A487="",C487=""),"",IF(IFERROR(INDEX(DayStat,A487-DATE(PlanYear,1,1)+1)&amp;"","")&lt;&gt;"",0,1))</f>
        <v/>
      </c>
      <c r="L487" s="28">
        <f>IF(K487="","",K487*IFERROR(VLOOKUP(C487,CodeTable,4,0),0))</f>
        <v/>
      </c>
    </row>
    <row r="488">
      <c r="A488" s="22" t="n"/>
      <c r="B488" s="23" t="n"/>
      <c r="C488" s="24" t="n"/>
      <c r="D488" s="25" t="n"/>
      <c r="E488" s="26" t="n"/>
      <c r="F488" s="26" t="n"/>
      <c r="G488" s="27">
        <f>IF(C488="","",IFERROR(VLOOKUP(C488,CodeTable,3,0),1))</f>
        <v/>
      </c>
      <c r="H488" s="27">
        <f>IF(C488="","",IF(E488&lt;&gt;"",E488,IF(IFERROR(VLOOKUP(C488,CodeTable,5,0)&amp;"","")="","All",VLOOKUP(C488,CodeTable,5,0)&amp;"")))</f>
        <v/>
      </c>
      <c r="I488" s="28">
        <f>IF(OR(A488="",C488=""),"",A488&amp;"|"&amp;B488&amp;"|"&amp;(COUNTIFS(FlDate,A488,FlShift,B488,FlCode,"&lt;&gt;",FlOrder,"&lt;"&amp;J488)+COUNTIFS(A$6:A488,A488,B$6:B488,B488,C$6:C488,"&lt;&gt;",J$6:J488,J488)))</f>
        <v/>
      </c>
      <c r="J488" s="28">
        <f>IF(C488="","",IF(D488="","zz","t"&amp;D488))</f>
        <v/>
      </c>
      <c r="K488" s="28">
        <f>IF(OR(A488="",C488=""),"",IF(IFERROR(INDEX(DayStat,A488-DATE(PlanYear,1,1)+1)&amp;"","")&lt;&gt;"",0,1))</f>
        <v/>
      </c>
      <c r="L488" s="28">
        <f>IF(K488="","",K488*IFERROR(VLOOKUP(C488,CodeTable,4,0),0))</f>
        <v/>
      </c>
    </row>
    <row r="489">
      <c r="A489" s="22" t="n"/>
      <c r="B489" s="23" t="n"/>
      <c r="C489" s="24" t="n"/>
      <c r="D489" s="25" t="n"/>
      <c r="E489" s="26" t="n"/>
      <c r="F489" s="26" t="n"/>
      <c r="G489" s="27">
        <f>IF(C489="","",IFERROR(VLOOKUP(C489,CodeTable,3,0),1))</f>
        <v/>
      </c>
      <c r="H489" s="27">
        <f>IF(C489="","",IF(E489&lt;&gt;"",E489,IF(IFERROR(VLOOKUP(C489,CodeTable,5,0)&amp;"","")="","All",VLOOKUP(C489,CodeTable,5,0)&amp;"")))</f>
        <v/>
      </c>
      <c r="I489" s="28">
        <f>IF(OR(A489="",C489=""),"",A489&amp;"|"&amp;B489&amp;"|"&amp;(COUNTIFS(FlDate,A489,FlShift,B489,FlCode,"&lt;&gt;",FlOrder,"&lt;"&amp;J489)+COUNTIFS(A$6:A489,A489,B$6:B489,B489,C$6:C489,"&lt;&gt;",J$6:J489,J489)))</f>
        <v/>
      </c>
      <c r="J489" s="28">
        <f>IF(C489="","",IF(D489="","zz","t"&amp;D489))</f>
        <v/>
      </c>
      <c r="K489" s="28">
        <f>IF(OR(A489="",C489=""),"",IF(IFERROR(INDEX(DayStat,A489-DATE(PlanYear,1,1)+1)&amp;"","")&lt;&gt;"",0,1))</f>
        <v/>
      </c>
      <c r="L489" s="28">
        <f>IF(K489="","",K489*IFERROR(VLOOKUP(C489,CodeTable,4,0),0))</f>
        <v/>
      </c>
    </row>
    <row r="490">
      <c r="A490" s="22" t="n"/>
      <c r="B490" s="23" t="n"/>
      <c r="C490" s="24" t="n"/>
      <c r="D490" s="25" t="n"/>
      <c r="E490" s="26" t="n"/>
      <c r="F490" s="26" t="n"/>
      <c r="G490" s="27">
        <f>IF(C490="","",IFERROR(VLOOKUP(C490,CodeTable,3,0),1))</f>
        <v/>
      </c>
      <c r="H490" s="27">
        <f>IF(C490="","",IF(E490&lt;&gt;"",E490,IF(IFERROR(VLOOKUP(C490,CodeTable,5,0)&amp;"","")="","All",VLOOKUP(C490,CodeTable,5,0)&amp;"")))</f>
        <v/>
      </c>
      <c r="I490" s="28">
        <f>IF(OR(A490="",C490=""),"",A490&amp;"|"&amp;B490&amp;"|"&amp;(COUNTIFS(FlDate,A490,FlShift,B490,FlCode,"&lt;&gt;",FlOrder,"&lt;"&amp;J490)+COUNTIFS(A$6:A490,A490,B$6:B490,B490,C$6:C490,"&lt;&gt;",J$6:J490,J490)))</f>
        <v/>
      </c>
      <c r="J490" s="28">
        <f>IF(C490="","",IF(D490="","zz","t"&amp;D490))</f>
        <v/>
      </c>
      <c r="K490" s="28">
        <f>IF(OR(A490="",C490=""),"",IF(IFERROR(INDEX(DayStat,A490-DATE(PlanYear,1,1)+1)&amp;"","")&lt;&gt;"",0,1))</f>
        <v/>
      </c>
      <c r="L490" s="28">
        <f>IF(K490="","",K490*IFERROR(VLOOKUP(C490,CodeTable,4,0),0))</f>
        <v/>
      </c>
    </row>
    <row r="491">
      <c r="A491" s="22" t="n"/>
      <c r="B491" s="23" t="n"/>
      <c r="C491" s="24" t="n"/>
      <c r="D491" s="25" t="n"/>
      <c r="E491" s="26" t="n"/>
      <c r="F491" s="26" t="n"/>
      <c r="G491" s="27">
        <f>IF(C491="","",IFERROR(VLOOKUP(C491,CodeTable,3,0),1))</f>
        <v/>
      </c>
      <c r="H491" s="27">
        <f>IF(C491="","",IF(E491&lt;&gt;"",E491,IF(IFERROR(VLOOKUP(C491,CodeTable,5,0)&amp;"","")="","All",VLOOKUP(C491,CodeTable,5,0)&amp;"")))</f>
        <v/>
      </c>
      <c r="I491" s="28">
        <f>IF(OR(A491="",C491=""),"",A491&amp;"|"&amp;B491&amp;"|"&amp;(COUNTIFS(FlDate,A491,FlShift,B491,FlCode,"&lt;&gt;",FlOrder,"&lt;"&amp;J491)+COUNTIFS(A$6:A491,A491,B$6:B491,B491,C$6:C491,"&lt;&gt;",J$6:J491,J491)))</f>
        <v/>
      </c>
      <c r="J491" s="28">
        <f>IF(C491="","",IF(D491="","zz","t"&amp;D491))</f>
        <v/>
      </c>
      <c r="K491" s="28">
        <f>IF(OR(A491="",C491=""),"",IF(IFERROR(INDEX(DayStat,A491-DATE(PlanYear,1,1)+1)&amp;"","")&lt;&gt;"",0,1))</f>
        <v/>
      </c>
      <c r="L491" s="28">
        <f>IF(K491="","",K491*IFERROR(VLOOKUP(C491,CodeTable,4,0),0))</f>
        <v/>
      </c>
    </row>
    <row r="492">
      <c r="A492" s="22" t="n"/>
      <c r="B492" s="23" t="n"/>
      <c r="C492" s="24" t="n"/>
      <c r="D492" s="25" t="n"/>
      <c r="E492" s="26" t="n"/>
      <c r="F492" s="26" t="n"/>
      <c r="G492" s="27">
        <f>IF(C492="","",IFERROR(VLOOKUP(C492,CodeTable,3,0),1))</f>
        <v/>
      </c>
      <c r="H492" s="27">
        <f>IF(C492="","",IF(E492&lt;&gt;"",E492,IF(IFERROR(VLOOKUP(C492,CodeTable,5,0)&amp;"","")="","All",VLOOKUP(C492,CodeTable,5,0)&amp;"")))</f>
        <v/>
      </c>
      <c r="I492" s="28">
        <f>IF(OR(A492="",C492=""),"",A492&amp;"|"&amp;B492&amp;"|"&amp;(COUNTIFS(FlDate,A492,FlShift,B492,FlCode,"&lt;&gt;",FlOrder,"&lt;"&amp;J492)+COUNTIFS(A$6:A492,A492,B$6:B492,B492,C$6:C492,"&lt;&gt;",J$6:J492,J492)))</f>
        <v/>
      </c>
      <c r="J492" s="28">
        <f>IF(C492="","",IF(D492="","zz","t"&amp;D492))</f>
        <v/>
      </c>
      <c r="K492" s="28">
        <f>IF(OR(A492="",C492=""),"",IF(IFERROR(INDEX(DayStat,A492-DATE(PlanYear,1,1)+1)&amp;"","")&lt;&gt;"",0,1))</f>
        <v/>
      </c>
      <c r="L492" s="28">
        <f>IF(K492="","",K492*IFERROR(VLOOKUP(C492,CodeTable,4,0),0))</f>
        <v/>
      </c>
    </row>
    <row r="493">
      <c r="A493" s="22" t="n"/>
      <c r="B493" s="23" t="n"/>
      <c r="C493" s="24" t="n"/>
      <c r="D493" s="25" t="n"/>
      <c r="E493" s="26" t="n"/>
      <c r="F493" s="26" t="n"/>
      <c r="G493" s="27">
        <f>IF(C493="","",IFERROR(VLOOKUP(C493,CodeTable,3,0),1))</f>
        <v/>
      </c>
      <c r="H493" s="27">
        <f>IF(C493="","",IF(E493&lt;&gt;"",E493,IF(IFERROR(VLOOKUP(C493,CodeTable,5,0)&amp;"","")="","All",VLOOKUP(C493,CodeTable,5,0)&amp;"")))</f>
        <v/>
      </c>
      <c r="I493" s="28">
        <f>IF(OR(A493="",C493=""),"",A493&amp;"|"&amp;B493&amp;"|"&amp;(COUNTIFS(FlDate,A493,FlShift,B493,FlCode,"&lt;&gt;",FlOrder,"&lt;"&amp;J493)+COUNTIFS(A$6:A493,A493,B$6:B493,B493,C$6:C493,"&lt;&gt;",J$6:J493,J493)))</f>
        <v/>
      </c>
      <c r="J493" s="28">
        <f>IF(C493="","",IF(D493="","zz","t"&amp;D493))</f>
        <v/>
      </c>
      <c r="K493" s="28">
        <f>IF(OR(A493="",C493=""),"",IF(IFERROR(INDEX(DayStat,A493-DATE(PlanYear,1,1)+1)&amp;"","")&lt;&gt;"",0,1))</f>
        <v/>
      </c>
      <c r="L493" s="28">
        <f>IF(K493="","",K493*IFERROR(VLOOKUP(C493,CodeTable,4,0),0))</f>
        <v/>
      </c>
    </row>
    <row r="494">
      <c r="A494" s="22" t="n"/>
      <c r="B494" s="23" t="n"/>
      <c r="C494" s="24" t="n"/>
      <c r="D494" s="25" t="n"/>
      <c r="E494" s="26" t="n"/>
      <c r="F494" s="26" t="n"/>
      <c r="G494" s="27">
        <f>IF(C494="","",IFERROR(VLOOKUP(C494,CodeTable,3,0),1))</f>
        <v/>
      </c>
      <c r="H494" s="27">
        <f>IF(C494="","",IF(E494&lt;&gt;"",E494,IF(IFERROR(VLOOKUP(C494,CodeTable,5,0)&amp;"","")="","All",VLOOKUP(C494,CodeTable,5,0)&amp;"")))</f>
        <v/>
      </c>
      <c r="I494" s="28">
        <f>IF(OR(A494="",C494=""),"",A494&amp;"|"&amp;B494&amp;"|"&amp;(COUNTIFS(FlDate,A494,FlShift,B494,FlCode,"&lt;&gt;",FlOrder,"&lt;"&amp;J494)+COUNTIFS(A$6:A494,A494,B$6:B494,B494,C$6:C494,"&lt;&gt;",J$6:J494,J494)))</f>
        <v/>
      </c>
      <c r="J494" s="28">
        <f>IF(C494="","",IF(D494="","zz","t"&amp;D494))</f>
        <v/>
      </c>
      <c r="K494" s="28">
        <f>IF(OR(A494="",C494=""),"",IF(IFERROR(INDEX(DayStat,A494-DATE(PlanYear,1,1)+1)&amp;"","")&lt;&gt;"",0,1))</f>
        <v/>
      </c>
      <c r="L494" s="28">
        <f>IF(K494="","",K494*IFERROR(VLOOKUP(C494,CodeTable,4,0),0))</f>
        <v/>
      </c>
    </row>
    <row r="495">
      <c r="A495" s="22" t="n"/>
      <c r="B495" s="23" t="n"/>
      <c r="C495" s="24" t="n"/>
      <c r="D495" s="25" t="n"/>
      <c r="E495" s="26" t="n"/>
      <c r="F495" s="26" t="n"/>
      <c r="G495" s="27">
        <f>IF(C495="","",IFERROR(VLOOKUP(C495,CodeTable,3,0),1))</f>
        <v/>
      </c>
      <c r="H495" s="27">
        <f>IF(C495="","",IF(E495&lt;&gt;"",E495,IF(IFERROR(VLOOKUP(C495,CodeTable,5,0)&amp;"","")="","All",VLOOKUP(C495,CodeTable,5,0)&amp;"")))</f>
        <v/>
      </c>
      <c r="I495" s="28">
        <f>IF(OR(A495="",C495=""),"",A495&amp;"|"&amp;B495&amp;"|"&amp;(COUNTIFS(FlDate,A495,FlShift,B495,FlCode,"&lt;&gt;",FlOrder,"&lt;"&amp;J495)+COUNTIFS(A$6:A495,A495,B$6:B495,B495,C$6:C495,"&lt;&gt;",J$6:J495,J495)))</f>
        <v/>
      </c>
      <c r="J495" s="28">
        <f>IF(C495="","",IF(D495="","zz","t"&amp;D495))</f>
        <v/>
      </c>
      <c r="K495" s="28">
        <f>IF(OR(A495="",C495=""),"",IF(IFERROR(INDEX(DayStat,A495-DATE(PlanYear,1,1)+1)&amp;"","")&lt;&gt;"",0,1))</f>
        <v/>
      </c>
      <c r="L495" s="28">
        <f>IF(K495="","",K495*IFERROR(VLOOKUP(C495,CodeTable,4,0),0))</f>
        <v/>
      </c>
    </row>
    <row r="496">
      <c r="A496" s="22" t="n"/>
      <c r="B496" s="23" t="n"/>
      <c r="C496" s="24" t="n"/>
      <c r="D496" s="25" t="n"/>
      <c r="E496" s="26" t="n"/>
      <c r="F496" s="26" t="n"/>
      <c r="G496" s="27">
        <f>IF(C496="","",IFERROR(VLOOKUP(C496,CodeTable,3,0),1))</f>
        <v/>
      </c>
      <c r="H496" s="27">
        <f>IF(C496="","",IF(E496&lt;&gt;"",E496,IF(IFERROR(VLOOKUP(C496,CodeTable,5,0)&amp;"","")="","All",VLOOKUP(C496,CodeTable,5,0)&amp;"")))</f>
        <v/>
      </c>
      <c r="I496" s="28">
        <f>IF(OR(A496="",C496=""),"",A496&amp;"|"&amp;B496&amp;"|"&amp;(COUNTIFS(FlDate,A496,FlShift,B496,FlCode,"&lt;&gt;",FlOrder,"&lt;"&amp;J496)+COUNTIFS(A$6:A496,A496,B$6:B496,B496,C$6:C496,"&lt;&gt;",J$6:J496,J496)))</f>
        <v/>
      </c>
      <c r="J496" s="28">
        <f>IF(C496="","",IF(D496="","zz","t"&amp;D496))</f>
        <v/>
      </c>
      <c r="K496" s="28">
        <f>IF(OR(A496="",C496=""),"",IF(IFERROR(INDEX(DayStat,A496-DATE(PlanYear,1,1)+1)&amp;"","")&lt;&gt;"",0,1))</f>
        <v/>
      </c>
      <c r="L496" s="28">
        <f>IF(K496="","",K496*IFERROR(VLOOKUP(C496,CodeTable,4,0),0))</f>
        <v/>
      </c>
    </row>
    <row r="497">
      <c r="A497" s="22" t="n"/>
      <c r="B497" s="23" t="n"/>
      <c r="C497" s="24" t="n"/>
      <c r="D497" s="25" t="n"/>
      <c r="E497" s="26" t="n"/>
      <c r="F497" s="26" t="n"/>
      <c r="G497" s="27">
        <f>IF(C497="","",IFERROR(VLOOKUP(C497,CodeTable,3,0),1))</f>
        <v/>
      </c>
      <c r="H497" s="27">
        <f>IF(C497="","",IF(E497&lt;&gt;"",E497,IF(IFERROR(VLOOKUP(C497,CodeTable,5,0)&amp;"","")="","All",VLOOKUP(C497,CodeTable,5,0)&amp;"")))</f>
        <v/>
      </c>
      <c r="I497" s="28">
        <f>IF(OR(A497="",C497=""),"",A497&amp;"|"&amp;B497&amp;"|"&amp;(COUNTIFS(FlDate,A497,FlShift,B497,FlCode,"&lt;&gt;",FlOrder,"&lt;"&amp;J497)+COUNTIFS(A$6:A497,A497,B$6:B497,B497,C$6:C497,"&lt;&gt;",J$6:J497,J497)))</f>
        <v/>
      </c>
      <c r="J497" s="28">
        <f>IF(C497="","",IF(D497="","zz","t"&amp;D497))</f>
        <v/>
      </c>
      <c r="K497" s="28">
        <f>IF(OR(A497="",C497=""),"",IF(IFERROR(INDEX(DayStat,A497-DATE(PlanYear,1,1)+1)&amp;"","")&lt;&gt;"",0,1))</f>
        <v/>
      </c>
      <c r="L497" s="28">
        <f>IF(K497="","",K497*IFERROR(VLOOKUP(C497,CodeTable,4,0),0))</f>
        <v/>
      </c>
    </row>
    <row r="498">
      <c r="A498" s="22" t="n"/>
      <c r="B498" s="23" t="n"/>
      <c r="C498" s="24" t="n"/>
      <c r="D498" s="25" t="n"/>
      <c r="E498" s="26" t="n"/>
      <c r="F498" s="26" t="n"/>
      <c r="G498" s="27">
        <f>IF(C498="","",IFERROR(VLOOKUP(C498,CodeTable,3,0),1))</f>
        <v/>
      </c>
      <c r="H498" s="27">
        <f>IF(C498="","",IF(E498&lt;&gt;"",E498,IF(IFERROR(VLOOKUP(C498,CodeTable,5,0)&amp;"","")="","All",VLOOKUP(C498,CodeTable,5,0)&amp;"")))</f>
        <v/>
      </c>
      <c r="I498" s="28">
        <f>IF(OR(A498="",C498=""),"",A498&amp;"|"&amp;B498&amp;"|"&amp;(COUNTIFS(FlDate,A498,FlShift,B498,FlCode,"&lt;&gt;",FlOrder,"&lt;"&amp;J498)+COUNTIFS(A$6:A498,A498,B$6:B498,B498,C$6:C498,"&lt;&gt;",J$6:J498,J498)))</f>
        <v/>
      </c>
      <c r="J498" s="28">
        <f>IF(C498="","",IF(D498="","zz","t"&amp;D498))</f>
        <v/>
      </c>
      <c r="K498" s="28">
        <f>IF(OR(A498="",C498=""),"",IF(IFERROR(INDEX(DayStat,A498-DATE(PlanYear,1,1)+1)&amp;"","")&lt;&gt;"",0,1))</f>
        <v/>
      </c>
      <c r="L498" s="28">
        <f>IF(K498="","",K498*IFERROR(VLOOKUP(C498,CodeTable,4,0),0))</f>
        <v/>
      </c>
    </row>
    <row r="499">
      <c r="A499" s="22" t="n"/>
      <c r="B499" s="23" t="n"/>
      <c r="C499" s="24" t="n"/>
      <c r="D499" s="25" t="n"/>
      <c r="E499" s="26" t="n"/>
      <c r="F499" s="26" t="n"/>
      <c r="G499" s="27">
        <f>IF(C499="","",IFERROR(VLOOKUP(C499,CodeTable,3,0),1))</f>
        <v/>
      </c>
      <c r="H499" s="27">
        <f>IF(C499="","",IF(E499&lt;&gt;"",E499,IF(IFERROR(VLOOKUP(C499,CodeTable,5,0)&amp;"","")="","All",VLOOKUP(C499,CodeTable,5,0)&amp;"")))</f>
        <v/>
      </c>
      <c r="I499" s="28">
        <f>IF(OR(A499="",C499=""),"",A499&amp;"|"&amp;B499&amp;"|"&amp;(COUNTIFS(FlDate,A499,FlShift,B499,FlCode,"&lt;&gt;",FlOrder,"&lt;"&amp;J499)+COUNTIFS(A$6:A499,A499,B$6:B499,B499,C$6:C499,"&lt;&gt;",J$6:J499,J499)))</f>
        <v/>
      </c>
      <c r="J499" s="28">
        <f>IF(C499="","",IF(D499="","zz","t"&amp;D499))</f>
        <v/>
      </c>
      <c r="K499" s="28">
        <f>IF(OR(A499="",C499=""),"",IF(IFERROR(INDEX(DayStat,A499-DATE(PlanYear,1,1)+1)&amp;"","")&lt;&gt;"",0,1))</f>
        <v/>
      </c>
      <c r="L499" s="28">
        <f>IF(K499="","",K499*IFERROR(VLOOKUP(C499,CodeTable,4,0),0))</f>
        <v/>
      </c>
    </row>
    <row r="500">
      <c r="A500" s="22" t="n"/>
      <c r="B500" s="23" t="n"/>
      <c r="C500" s="24" t="n"/>
      <c r="D500" s="25" t="n"/>
      <c r="E500" s="26" t="n"/>
      <c r="F500" s="26" t="n"/>
      <c r="G500" s="27">
        <f>IF(C500="","",IFERROR(VLOOKUP(C500,CodeTable,3,0),1))</f>
        <v/>
      </c>
      <c r="H500" s="27">
        <f>IF(C500="","",IF(E500&lt;&gt;"",E500,IF(IFERROR(VLOOKUP(C500,CodeTable,5,0)&amp;"","")="","All",VLOOKUP(C500,CodeTable,5,0)&amp;"")))</f>
        <v/>
      </c>
      <c r="I500" s="28">
        <f>IF(OR(A500="",C500=""),"",A500&amp;"|"&amp;B500&amp;"|"&amp;(COUNTIFS(FlDate,A500,FlShift,B500,FlCode,"&lt;&gt;",FlOrder,"&lt;"&amp;J500)+COUNTIFS(A$6:A500,A500,B$6:B500,B500,C$6:C500,"&lt;&gt;",J$6:J500,J500)))</f>
        <v/>
      </c>
      <c r="J500" s="28">
        <f>IF(C500="","",IF(D500="","zz","t"&amp;D500))</f>
        <v/>
      </c>
      <c r="K500" s="28">
        <f>IF(OR(A500="",C500=""),"",IF(IFERROR(INDEX(DayStat,A500-DATE(PlanYear,1,1)+1)&amp;"","")&lt;&gt;"",0,1))</f>
        <v/>
      </c>
      <c r="L500" s="28">
        <f>IF(K500="","",K500*IFERROR(VLOOKUP(C500,CodeTable,4,0),0))</f>
        <v/>
      </c>
    </row>
    <row r="501">
      <c r="A501" s="22" t="n"/>
      <c r="B501" s="23" t="n"/>
      <c r="C501" s="24" t="n"/>
      <c r="D501" s="25" t="n"/>
      <c r="E501" s="26" t="n"/>
      <c r="F501" s="26" t="n"/>
      <c r="G501" s="27">
        <f>IF(C501="","",IFERROR(VLOOKUP(C501,CodeTable,3,0),1))</f>
        <v/>
      </c>
      <c r="H501" s="27">
        <f>IF(C501="","",IF(E501&lt;&gt;"",E501,IF(IFERROR(VLOOKUP(C501,CodeTable,5,0)&amp;"","")="","All",VLOOKUP(C501,CodeTable,5,0)&amp;"")))</f>
        <v/>
      </c>
      <c r="I501" s="28">
        <f>IF(OR(A501="",C501=""),"",A501&amp;"|"&amp;B501&amp;"|"&amp;(COUNTIFS(FlDate,A501,FlShift,B501,FlCode,"&lt;&gt;",FlOrder,"&lt;"&amp;J501)+COUNTIFS(A$6:A501,A501,B$6:B501,B501,C$6:C501,"&lt;&gt;",J$6:J501,J501)))</f>
        <v/>
      </c>
      <c r="J501" s="28">
        <f>IF(C501="","",IF(D501="","zz","t"&amp;D501))</f>
        <v/>
      </c>
      <c r="K501" s="28">
        <f>IF(OR(A501="",C501=""),"",IF(IFERROR(INDEX(DayStat,A501-DATE(PlanYear,1,1)+1)&amp;"","")&lt;&gt;"",0,1))</f>
        <v/>
      </c>
      <c r="L501" s="28">
        <f>IF(K501="","",K501*IFERROR(VLOOKUP(C501,CodeTable,4,0),0))</f>
        <v/>
      </c>
    </row>
    <row r="502">
      <c r="A502" s="22" t="n"/>
      <c r="B502" s="23" t="n"/>
      <c r="C502" s="24" t="n"/>
      <c r="D502" s="25" t="n"/>
      <c r="E502" s="26" t="n"/>
      <c r="F502" s="26" t="n"/>
      <c r="G502" s="27">
        <f>IF(C502="","",IFERROR(VLOOKUP(C502,CodeTable,3,0),1))</f>
        <v/>
      </c>
      <c r="H502" s="27">
        <f>IF(C502="","",IF(E502&lt;&gt;"",E502,IF(IFERROR(VLOOKUP(C502,CodeTable,5,0)&amp;"","")="","All",VLOOKUP(C502,CodeTable,5,0)&amp;"")))</f>
        <v/>
      </c>
      <c r="I502" s="28">
        <f>IF(OR(A502="",C502=""),"",A502&amp;"|"&amp;B502&amp;"|"&amp;(COUNTIFS(FlDate,A502,FlShift,B502,FlCode,"&lt;&gt;",FlOrder,"&lt;"&amp;J502)+COUNTIFS(A$6:A502,A502,B$6:B502,B502,C$6:C502,"&lt;&gt;",J$6:J502,J502)))</f>
        <v/>
      </c>
      <c r="J502" s="28">
        <f>IF(C502="","",IF(D502="","zz","t"&amp;D502))</f>
        <v/>
      </c>
      <c r="K502" s="28">
        <f>IF(OR(A502="",C502=""),"",IF(IFERROR(INDEX(DayStat,A502-DATE(PlanYear,1,1)+1)&amp;"","")&lt;&gt;"",0,1))</f>
        <v/>
      </c>
      <c r="L502" s="28">
        <f>IF(K502="","",K502*IFERROR(VLOOKUP(C502,CodeTable,4,0),0))</f>
        <v/>
      </c>
    </row>
    <row r="503">
      <c r="A503" s="22" t="n"/>
      <c r="B503" s="23" t="n"/>
      <c r="C503" s="24" t="n"/>
      <c r="D503" s="25" t="n"/>
      <c r="E503" s="26" t="n"/>
      <c r="F503" s="26" t="n"/>
      <c r="G503" s="27">
        <f>IF(C503="","",IFERROR(VLOOKUP(C503,CodeTable,3,0),1))</f>
        <v/>
      </c>
      <c r="H503" s="27">
        <f>IF(C503="","",IF(E503&lt;&gt;"",E503,IF(IFERROR(VLOOKUP(C503,CodeTable,5,0)&amp;"","")="","All",VLOOKUP(C503,CodeTable,5,0)&amp;"")))</f>
        <v/>
      </c>
      <c r="I503" s="28">
        <f>IF(OR(A503="",C503=""),"",A503&amp;"|"&amp;B503&amp;"|"&amp;(COUNTIFS(FlDate,A503,FlShift,B503,FlCode,"&lt;&gt;",FlOrder,"&lt;"&amp;J503)+COUNTIFS(A$6:A503,A503,B$6:B503,B503,C$6:C503,"&lt;&gt;",J$6:J503,J503)))</f>
        <v/>
      </c>
      <c r="J503" s="28">
        <f>IF(C503="","",IF(D503="","zz","t"&amp;D503))</f>
        <v/>
      </c>
      <c r="K503" s="28">
        <f>IF(OR(A503="",C503=""),"",IF(IFERROR(INDEX(DayStat,A503-DATE(PlanYear,1,1)+1)&amp;"","")&lt;&gt;"",0,1))</f>
        <v/>
      </c>
      <c r="L503" s="28">
        <f>IF(K503="","",K503*IFERROR(VLOOKUP(C503,CodeTable,4,0),0))</f>
        <v/>
      </c>
    </row>
    <row r="504">
      <c r="A504" s="22" t="n"/>
      <c r="B504" s="23" t="n"/>
      <c r="C504" s="24" t="n"/>
      <c r="D504" s="25" t="n"/>
      <c r="E504" s="26" t="n"/>
      <c r="F504" s="26" t="n"/>
      <c r="G504" s="27">
        <f>IF(C504="","",IFERROR(VLOOKUP(C504,CodeTable,3,0),1))</f>
        <v/>
      </c>
      <c r="H504" s="27">
        <f>IF(C504="","",IF(E504&lt;&gt;"",E504,IF(IFERROR(VLOOKUP(C504,CodeTable,5,0)&amp;"","")="","All",VLOOKUP(C504,CodeTable,5,0)&amp;"")))</f>
        <v/>
      </c>
      <c r="I504" s="28">
        <f>IF(OR(A504="",C504=""),"",A504&amp;"|"&amp;B504&amp;"|"&amp;(COUNTIFS(FlDate,A504,FlShift,B504,FlCode,"&lt;&gt;",FlOrder,"&lt;"&amp;J504)+COUNTIFS(A$6:A504,A504,B$6:B504,B504,C$6:C504,"&lt;&gt;",J$6:J504,J504)))</f>
        <v/>
      </c>
      <c r="J504" s="28">
        <f>IF(C504="","",IF(D504="","zz","t"&amp;D504))</f>
        <v/>
      </c>
      <c r="K504" s="28">
        <f>IF(OR(A504="",C504=""),"",IF(IFERROR(INDEX(DayStat,A504-DATE(PlanYear,1,1)+1)&amp;"","")&lt;&gt;"",0,1))</f>
        <v/>
      </c>
      <c r="L504" s="28">
        <f>IF(K504="","",K504*IFERROR(VLOOKUP(C504,CodeTable,4,0),0))</f>
        <v/>
      </c>
    </row>
    <row r="505">
      <c r="A505" s="22" t="n"/>
      <c r="B505" s="23" t="n"/>
      <c r="C505" s="24" t="n"/>
      <c r="D505" s="25" t="n"/>
      <c r="E505" s="26" t="n"/>
      <c r="F505" s="26" t="n"/>
      <c r="G505" s="27">
        <f>IF(C505="","",IFERROR(VLOOKUP(C505,CodeTable,3,0),1))</f>
        <v/>
      </c>
      <c r="H505" s="27">
        <f>IF(C505="","",IF(E505&lt;&gt;"",E505,IF(IFERROR(VLOOKUP(C505,CodeTable,5,0)&amp;"","")="","All",VLOOKUP(C505,CodeTable,5,0)&amp;"")))</f>
        <v/>
      </c>
      <c r="I505" s="28">
        <f>IF(OR(A505="",C505=""),"",A505&amp;"|"&amp;B505&amp;"|"&amp;(COUNTIFS(FlDate,A505,FlShift,B505,FlCode,"&lt;&gt;",FlOrder,"&lt;"&amp;J505)+COUNTIFS(A$6:A505,A505,B$6:B505,B505,C$6:C505,"&lt;&gt;",J$6:J505,J505)))</f>
        <v/>
      </c>
      <c r="J505" s="28">
        <f>IF(C505="","",IF(D505="","zz","t"&amp;D505))</f>
        <v/>
      </c>
      <c r="K505" s="28">
        <f>IF(OR(A505="",C505=""),"",IF(IFERROR(INDEX(DayStat,A505-DATE(PlanYear,1,1)+1)&amp;"","")&lt;&gt;"",0,1))</f>
        <v/>
      </c>
      <c r="L505" s="28">
        <f>IF(K505="","",K505*IFERROR(VLOOKUP(C505,CodeTable,4,0),0))</f>
        <v/>
      </c>
    </row>
    <row r="506">
      <c r="A506" s="22" t="n"/>
      <c r="B506" s="23" t="n"/>
      <c r="C506" s="24" t="n"/>
      <c r="D506" s="25" t="n"/>
      <c r="E506" s="26" t="n"/>
      <c r="F506" s="26" t="n"/>
      <c r="G506" s="27">
        <f>IF(C506="","",IFERROR(VLOOKUP(C506,CodeTable,3,0),1))</f>
        <v/>
      </c>
      <c r="H506" s="27">
        <f>IF(C506="","",IF(E506&lt;&gt;"",E506,IF(IFERROR(VLOOKUP(C506,CodeTable,5,0)&amp;"","")="","All",VLOOKUP(C506,CodeTable,5,0)&amp;"")))</f>
        <v/>
      </c>
      <c r="I506" s="28">
        <f>IF(OR(A506="",C506=""),"",A506&amp;"|"&amp;B506&amp;"|"&amp;(COUNTIFS(FlDate,A506,FlShift,B506,FlCode,"&lt;&gt;",FlOrder,"&lt;"&amp;J506)+COUNTIFS(A$6:A506,A506,B$6:B506,B506,C$6:C506,"&lt;&gt;",J$6:J506,J506)))</f>
        <v/>
      </c>
      <c r="J506" s="28">
        <f>IF(C506="","",IF(D506="","zz","t"&amp;D506))</f>
        <v/>
      </c>
      <c r="K506" s="28">
        <f>IF(OR(A506="",C506=""),"",IF(IFERROR(INDEX(DayStat,A506-DATE(PlanYear,1,1)+1)&amp;"","")&lt;&gt;"",0,1))</f>
        <v/>
      </c>
      <c r="L506" s="28">
        <f>IF(K506="","",K506*IFERROR(VLOOKUP(C506,CodeTable,4,0),0))</f>
        <v/>
      </c>
    </row>
    <row r="507">
      <c r="A507" s="22" t="n"/>
      <c r="B507" s="23" t="n"/>
      <c r="C507" s="24" t="n"/>
      <c r="D507" s="25" t="n"/>
      <c r="E507" s="26" t="n"/>
      <c r="F507" s="26" t="n"/>
      <c r="G507" s="27">
        <f>IF(C507="","",IFERROR(VLOOKUP(C507,CodeTable,3,0),1))</f>
        <v/>
      </c>
      <c r="H507" s="27">
        <f>IF(C507="","",IF(E507&lt;&gt;"",E507,IF(IFERROR(VLOOKUP(C507,CodeTable,5,0)&amp;"","")="","All",VLOOKUP(C507,CodeTable,5,0)&amp;"")))</f>
        <v/>
      </c>
      <c r="I507" s="28">
        <f>IF(OR(A507="",C507=""),"",A507&amp;"|"&amp;B507&amp;"|"&amp;(COUNTIFS(FlDate,A507,FlShift,B507,FlCode,"&lt;&gt;",FlOrder,"&lt;"&amp;J507)+COUNTIFS(A$6:A507,A507,B$6:B507,B507,C$6:C507,"&lt;&gt;",J$6:J507,J507)))</f>
        <v/>
      </c>
      <c r="J507" s="28">
        <f>IF(C507="","",IF(D507="","zz","t"&amp;D507))</f>
        <v/>
      </c>
      <c r="K507" s="28">
        <f>IF(OR(A507="",C507=""),"",IF(IFERROR(INDEX(DayStat,A507-DATE(PlanYear,1,1)+1)&amp;"","")&lt;&gt;"",0,1))</f>
        <v/>
      </c>
      <c r="L507" s="28">
        <f>IF(K507="","",K507*IFERROR(VLOOKUP(C507,CodeTable,4,0),0))</f>
        <v/>
      </c>
    </row>
    <row r="508">
      <c r="A508" s="22" t="n"/>
      <c r="B508" s="23" t="n"/>
      <c r="C508" s="24" t="n"/>
      <c r="D508" s="25" t="n"/>
      <c r="E508" s="26" t="n"/>
      <c r="F508" s="26" t="n"/>
      <c r="G508" s="27">
        <f>IF(C508="","",IFERROR(VLOOKUP(C508,CodeTable,3,0),1))</f>
        <v/>
      </c>
      <c r="H508" s="27">
        <f>IF(C508="","",IF(E508&lt;&gt;"",E508,IF(IFERROR(VLOOKUP(C508,CodeTable,5,0)&amp;"","")="","All",VLOOKUP(C508,CodeTable,5,0)&amp;"")))</f>
        <v/>
      </c>
      <c r="I508" s="28">
        <f>IF(OR(A508="",C508=""),"",A508&amp;"|"&amp;B508&amp;"|"&amp;(COUNTIFS(FlDate,A508,FlShift,B508,FlCode,"&lt;&gt;",FlOrder,"&lt;"&amp;J508)+COUNTIFS(A$6:A508,A508,B$6:B508,B508,C$6:C508,"&lt;&gt;",J$6:J508,J508)))</f>
        <v/>
      </c>
      <c r="J508" s="28">
        <f>IF(C508="","",IF(D508="","zz","t"&amp;D508))</f>
        <v/>
      </c>
      <c r="K508" s="28">
        <f>IF(OR(A508="",C508=""),"",IF(IFERROR(INDEX(DayStat,A508-DATE(PlanYear,1,1)+1)&amp;"","")&lt;&gt;"",0,1))</f>
        <v/>
      </c>
      <c r="L508" s="28">
        <f>IF(K508="","",K508*IFERROR(VLOOKUP(C508,CodeTable,4,0),0))</f>
        <v/>
      </c>
    </row>
    <row r="509">
      <c r="A509" s="22" t="n"/>
      <c r="B509" s="23" t="n"/>
      <c r="C509" s="24" t="n"/>
      <c r="D509" s="25" t="n"/>
      <c r="E509" s="26" t="n"/>
      <c r="F509" s="26" t="n"/>
      <c r="G509" s="27">
        <f>IF(C509="","",IFERROR(VLOOKUP(C509,CodeTable,3,0),1))</f>
        <v/>
      </c>
      <c r="H509" s="27">
        <f>IF(C509="","",IF(E509&lt;&gt;"",E509,IF(IFERROR(VLOOKUP(C509,CodeTable,5,0)&amp;"","")="","All",VLOOKUP(C509,CodeTable,5,0)&amp;"")))</f>
        <v/>
      </c>
      <c r="I509" s="28">
        <f>IF(OR(A509="",C509=""),"",A509&amp;"|"&amp;B509&amp;"|"&amp;(COUNTIFS(FlDate,A509,FlShift,B509,FlCode,"&lt;&gt;",FlOrder,"&lt;"&amp;J509)+COUNTIFS(A$6:A509,A509,B$6:B509,B509,C$6:C509,"&lt;&gt;",J$6:J509,J509)))</f>
        <v/>
      </c>
      <c r="J509" s="28">
        <f>IF(C509="","",IF(D509="","zz","t"&amp;D509))</f>
        <v/>
      </c>
      <c r="K509" s="28">
        <f>IF(OR(A509="",C509=""),"",IF(IFERROR(INDEX(DayStat,A509-DATE(PlanYear,1,1)+1)&amp;"","")&lt;&gt;"",0,1))</f>
        <v/>
      </c>
      <c r="L509" s="28">
        <f>IF(K509="","",K509*IFERROR(VLOOKUP(C509,CodeTable,4,0),0))</f>
        <v/>
      </c>
    </row>
    <row r="510">
      <c r="A510" s="22" t="n"/>
      <c r="B510" s="23" t="n"/>
      <c r="C510" s="24" t="n"/>
      <c r="D510" s="25" t="n"/>
      <c r="E510" s="26" t="n"/>
      <c r="F510" s="26" t="n"/>
      <c r="G510" s="27">
        <f>IF(C510="","",IFERROR(VLOOKUP(C510,CodeTable,3,0),1))</f>
        <v/>
      </c>
      <c r="H510" s="27">
        <f>IF(C510="","",IF(E510&lt;&gt;"",E510,IF(IFERROR(VLOOKUP(C510,CodeTable,5,0)&amp;"","")="","All",VLOOKUP(C510,CodeTable,5,0)&amp;"")))</f>
        <v/>
      </c>
      <c r="I510" s="28">
        <f>IF(OR(A510="",C510=""),"",A510&amp;"|"&amp;B510&amp;"|"&amp;(COUNTIFS(FlDate,A510,FlShift,B510,FlCode,"&lt;&gt;",FlOrder,"&lt;"&amp;J510)+COUNTIFS(A$6:A510,A510,B$6:B510,B510,C$6:C510,"&lt;&gt;",J$6:J510,J510)))</f>
        <v/>
      </c>
      <c r="J510" s="28">
        <f>IF(C510="","",IF(D510="","zz","t"&amp;D510))</f>
        <v/>
      </c>
      <c r="K510" s="28">
        <f>IF(OR(A510="",C510=""),"",IF(IFERROR(INDEX(DayStat,A510-DATE(PlanYear,1,1)+1)&amp;"","")&lt;&gt;"",0,1))</f>
        <v/>
      </c>
      <c r="L510" s="28">
        <f>IF(K510="","",K510*IFERROR(VLOOKUP(C510,CodeTable,4,0),0))</f>
        <v/>
      </c>
    </row>
    <row r="511">
      <c r="A511" s="22" t="n"/>
      <c r="B511" s="23" t="n"/>
      <c r="C511" s="24" t="n"/>
      <c r="D511" s="25" t="n"/>
      <c r="E511" s="26" t="n"/>
      <c r="F511" s="26" t="n"/>
      <c r="G511" s="27">
        <f>IF(C511="","",IFERROR(VLOOKUP(C511,CodeTable,3,0),1))</f>
        <v/>
      </c>
      <c r="H511" s="27">
        <f>IF(C511="","",IF(E511&lt;&gt;"",E511,IF(IFERROR(VLOOKUP(C511,CodeTable,5,0)&amp;"","")="","All",VLOOKUP(C511,CodeTable,5,0)&amp;"")))</f>
        <v/>
      </c>
      <c r="I511" s="28">
        <f>IF(OR(A511="",C511=""),"",A511&amp;"|"&amp;B511&amp;"|"&amp;(COUNTIFS(FlDate,A511,FlShift,B511,FlCode,"&lt;&gt;",FlOrder,"&lt;"&amp;J511)+COUNTIFS(A$6:A511,A511,B$6:B511,B511,C$6:C511,"&lt;&gt;",J$6:J511,J511)))</f>
        <v/>
      </c>
      <c r="J511" s="28">
        <f>IF(C511="","",IF(D511="","zz","t"&amp;D511))</f>
        <v/>
      </c>
      <c r="K511" s="28">
        <f>IF(OR(A511="",C511=""),"",IF(IFERROR(INDEX(DayStat,A511-DATE(PlanYear,1,1)+1)&amp;"","")&lt;&gt;"",0,1))</f>
        <v/>
      </c>
      <c r="L511" s="28">
        <f>IF(K511="","",K511*IFERROR(VLOOKUP(C511,CodeTable,4,0),0))</f>
        <v/>
      </c>
    </row>
    <row r="512">
      <c r="A512" s="22" t="n"/>
      <c r="B512" s="23" t="n"/>
      <c r="C512" s="24" t="n"/>
      <c r="D512" s="25" t="n"/>
      <c r="E512" s="26" t="n"/>
      <c r="F512" s="26" t="n"/>
      <c r="G512" s="27">
        <f>IF(C512="","",IFERROR(VLOOKUP(C512,CodeTable,3,0),1))</f>
        <v/>
      </c>
      <c r="H512" s="27">
        <f>IF(C512="","",IF(E512&lt;&gt;"",E512,IF(IFERROR(VLOOKUP(C512,CodeTable,5,0)&amp;"","")="","All",VLOOKUP(C512,CodeTable,5,0)&amp;"")))</f>
        <v/>
      </c>
      <c r="I512" s="28">
        <f>IF(OR(A512="",C512=""),"",A512&amp;"|"&amp;B512&amp;"|"&amp;(COUNTIFS(FlDate,A512,FlShift,B512,FlCode,"&lt;&gt;",FlOrder,"&lt;"&amp;J512)+COUNTIFS(A$6:A512,A512,B$6:B512,B512,C$6:C512,"&lt;&gt;",J$6:J512,J512)))</f>
        <v/>
      </c>
      <c r="J512" s="28">
        <f>IF(C512="","",IF(D512="","zz","t"&amp;D512))</f>
        <v/>
      </c>
      <c r="K512" s="28">
        <f>IF(OR(A512="",C512=""),"",IF(IFERROR(INDEX(DayStat,A512-DATE(PlanYear,1,1)+1)&amp;"","")&lt;&gt;"",0,1))</f>
        <v/>
      </c>
      <c r="L512" s="28">
        <f>IF(K512="","",K512*IFERROR(VLOOKUP(C512,CodeTable,4,0),0))</f>
        <v/>
      </c>
    </row>
    <row r="513">
      <c r="A513" s="22" t="n"/>
      <c r="B513" s="23" t="n"/>
      <c r="C513" s="24" t="n"/>
      <c r="D513" s="25" t="n"/>
      <c r="E513" s="26" t="n"/>
      <c r="F513" s="26" t="n"/>
      <c r="G513" s="27">
        <f>IF(C513="","",IFERROR(VLOOKUP(C513,CodeTable,3,0),1))</f>
        <v/>
      </c>
      <c r="H513" s="27">
        <f>IF(C513="","",IF(E513&lt;&gt;"",E513,IF(IFERROR(VLOOKUP(C513,CodeTable,5,0)&amp;"","")="","All",VLOOKUP(C513,CodeTable,5,0)&amp;"")))</f>
        <v/>
      </c>
      <c r="I513" s="28">
        <f>IF(OR(A513="",C513=""),"",A513&amp;"|"&amp;B513&amp;"|"&amp;(COUNTIFS(FlDate,A513,FlShift,B513,FlCode,"&lt;&gt;",FlOrder,"&lt;"&amp;J513)+COUNTIFS(A$6:A513,A513,B$6:B513,B513,C$6:C513,"&lt;&gt;",J$6:J513,J513)))</f>
        <v/>
      </c>
      <c r="J513" s="28">
        <f>IF(C513="","",IF(D513="","zz","t"&amp;D513))</f>
        <v/>
      </c>
      <c r="K513" s="28">
        <f>IF(OR(A513="",C513=""),"",IF(IFERROR(INDEX(DayStat,A513-DATE(PlanYear,1,1)+1)&amp;"","")&lt;&gt;"",0,1))</f>
        <v/>
      </c>
      <c r="L513" s="28">
        <f>IF(K513="","",K513*IFERROR(VLOOKUP(C513,CodeTable,4,0),0))</f>
        <v/>
      </c>
    </row>
    <row r="514">
      <c r="A514" s="22" t="n"/>
      <c r="B514" s="23" t="n"/>
      <c r="C514" s="24" t="n"/>
      <c r="D514" s="25" t="n"/>
      <c r="E514" s="26" t="n"/>
      <c r="F514" s="26" t="n"/>
      <c r="G514" s="27">
        <f>IF(C514="","",IFERROR(VLOOKUP(C514,CodeTable,3,0),1))</f>
        <v/>
      </c>
      <c r="H514" s="27">
        <f>IF(C514="","",IF(E514&lt;&gt;"",E514,IF(IFERROR(VLOOKUP(C514,CodeTable,5,0)&amp;"","")="","All",VLOOKUP(C514,CodeTable,5,0)&amp;"")))</f>
        <v/>
      </c>
      <c r="I514" s="28">
        <f>IF(OR(A514="",C514=""),"",A514&amp;"|"&amp;B514&amp;"|"&amp;(COUNTIFS(FlDate,A514,FlShift,B514,FlCode,"&lt;&gt;",FlOrder,"&lt;"&amp;J514)+COUNTIFS(A$6:A514,A514,B$6:B514,B514,C$6:C514,"&lt;&gt;",J$6:J514,J514)))</f>
        <v/>
      </c>
      <c r="J514" s="28">
        <f>IF(C514="","",IF(D514="","zz","t"&amp;D514))</f>
        <v/>
      </c>
      <c r="K514" s="28">
        <f>IF(OR(A514="",C514=""),"",IF(IFERROR(INDEX(DayStat,A514-DATE(PlanYear,1,1)+1)&amp;"","")&lt;&gt;"",0,1))</f>
        <v/>
      </c>
      <c r="L514" s="28">
        <f>IF(K514="","",K514*IFERROR(VLOOKUP(C514,CodeTable,4,0),0))</f>
        <v/>
      </c>
    </row>
    <row r="515">
      <c r="A515" s="22" t="n"/>
      <c r="B515" s="23" t="n"/>
      <c r="C515" s="24" t="n"/>
      <c r="D515" s="25" t="n"/>
      <c r="E515" s="26" t="n"/>
      <c r="F515" s="26" t="n"/>
      <c r="G515" s="27">
        <f>IF(C515="","",IFERROR(VLOOKUP(C515,CodeTable,3,0),1))</f>
        <v/>
      </c>
      <c r="H515" s="27">
        <f>IF(C515="","",IF(E515&lt;&gt;"",E515,IF(IFERROR(VLOOKUP(C515,CodeTable,5,0)&amp;"","")="","All",VLOOKUP(C515,CodeTable,5,0)&amp;"")))</f>
        <v/>
      </c>
      <c r="I515" s="28">
        <f>IF(OR(A515="",C515=""),"",A515&amp;"|"&amp;B515&amp;"|"&amp;(COUNTIFS(FlDate,A515,FlShift,B515,FlCode,"&lt;&gt;",FlOrder,"&lt;"&amp;J515)+COUNTIFS(A$6:A515,A515,B$6:B515,B515,C$6:C515,"&lt;&gt;",J$6:J515,J515)))</f>
        <v/>
      </c>
      <c r="J515" s="28">
        <f>IF(C515="","",IF(D515="","zz","t"&amp;D515))</f>
        <v/>
      </c>
      <c r="K515" s="28">
        <f>IF(OR(A515="",C515=""),"",IF(IFERROR(INDEX(DayStat,A515-DATE(PlanYear,1,1)+1)&amp;"","")&lt;&gt;"",0,1))</f>
        <v/>
      </c>
      <c r="L515" s="28">
        <f>IF(K515="","",K515*IFERROR(VLOOKUP(C515,CodeTable,4,0),0))</f>
        <v/>
      </c>
    </row>
    <row r="516">
      <c r="A516" s="22" t="n"/>
      <c r="B516" s="23" t="n"/>
      <c r="C516" s="24" t="n"/>
      <c r="D516" s="25" t="n"/>
      <c r="E516" s="26" t="n"/>
      <c r="F516" s="26" t="n"/>
      <c r="G516" s="27">
        <f>IF(C516="","",IFERROR(VLOOKUP(C516,CodeTable,3,0),1))</f>
        <v/>
      </c>
      <c r="H516" s="27">
        <f>IF(C516="","",IF(E516&lt;&gt;"",E516,IF(IFERROR(VLOOKUP(C516,CodeTable,5,0)&amp;"","")="","All",VLOOKUP(C516,CodeTable,5,0)&amp;"")))</f>
        <v/>
      </c>
      <c r="I516" s="28">
        <f>IF(OR(A516="",C516=""),"",A516&amp;"|"&amp;B516&amp;"|"&amp;(COUNTIFS(FlDate,A516,FlShift,B516,FlCode,"&lt;&gt;",FlOrder,"&lt;"&amp;J516)+COUNTIFS(A$6:A516,A516,B$6:B516,B516,C$6:C516,"&lt;&gt;",J$6:J516,J516)))</f>
        <v/>
      </c>
      <c r="J516" s="28">
        <f>IF(C516="","",IF(D516="","zz","t"&amp;D516))</f>
        <v/>
      </c>
      <c r="K516" s="28">
        <f>IF(OR(A516="",C516=""),"",IF(IFERROR(INDEX(DayStat,A516-DATE(PlanYear,1,1)+1)&amp;"","")&lt;&gt;"",0,1))</f>
        <v/>
      </c>
      <c r="L516" s="28">
        <f>IF(K516="","",K516*IFERROR(VLOOKUP(C516,CodeTable,4,0),0))</f>
        <v/>
      </c>
    </row>
    <row r="517">
      <c r="A517" s="22" t="n"/>
      <c r="B517" s="23" t="n"/>
      <c r="C517" s="24" t="n"/>
      <c r="D517" s="25" t="n"/>
      <c r="E517" s="26" t="n"/>
      <c r="F517" s="26" t="n"/>
      <c r="G517" s="27">
        <f>IF(C517="","",IFERROR(VLOOKUP(C517,CodeTable,3,0),1))</f>
        <v/>
      </c>
      <c r="H517" s="27">
        <f>IF(C517="","",IF(E517&lt;&gt;"",E517,IF(IFERROR(VLOOKUP(C517,CodeTable,5,0)&amp;"","")="","All",VLOOKUP(C517,CodeTable,5,0)&amp;"")))</f>
        <v/>
      </c>
      <c r="I517" s="28">
        <f>IF(OR(A517="",C517=""),"",A517&amp;"|"&amp;B517&amp;"|"&amp;(COUNTIFS(FlDate,A517,FlShift,B517,FlCode,"&lt;&gt;",FlOrder,"&lt;"&amp;J517)+COUNTIFS(A$6:A517,A517,B$6:B517,B517,C$6:C517,"&lt;&gt;",J$6:J517,J517)))</f>
        <v/>
      </c>
      <c r="J517" s="28">
        <f>IF(C517="","",IF(D517="","zz","t"&amp;D517))</f>
        <v/>
      </c>
      <c r="K517" s="28">
        <f>IF(OR(A517="",C517=""),"",IF(IFERROR(INDEX(DayStat,A517-DATE(PlanYear,1,1)+1)&amp;"","")&lt;&gt;"",0,1))</f>
        <v/>
      </c>
      <c r="L517" s="28">
        <f>IF(K517="","",K517*IFERROR(VLOOKUP(C517,CodeTable,4,0),0))</f>
        <v/>
      </c>
    </row>
    <row r="518">
      <c r="A518" s="22" t="n"/>
      <c r="B518" s="23" t="n"/>
      <c r="C518" s="24" t="n"/>
      <c r="D518" s="25" t="n"/>
      <c r="E518" s="26" t="n"/>
      <c r="F518" s="26" t="n"/>
      <c r="G518" s="27">
        <f>IF(C518="","",IFERROR(VLOOKUP(C518,CodeTable,3,0),1))</f>
        <v/>
      </c>
      <c r="H518" s="27">
        <f>IF(C518="","",IF(E518&lt;&gt;"",E518,IF(IFERROR(VLOOKUP(C518,CodeTable,5,0)&amp;"","")="","All",VLOOKUP(C518,CodeTable,5,0)&amp;"")))</f>
        <v/>
      </c>
      <c r="I518" s="28">
        <f>IF(OR(A518="",C518=""),"",A518&amp;"|"&amp;B518&amp;"|"&amp;(COUNTIFS(FlDate,A518,FlShift,B518,FlCode,"&lt;&gt;",FlOrder,"&lt;"&amp;J518)+COUNTIFS(A$6:A518,A518,B$6:B518,B518,C$6:C518,"&lt;&gt;",J$6:J518,J518)))</f>
        <v/>
      </c>
      <c r="J518" s="28">
        <f>IF(C518="","",IF(D518="","zz","t"&amp;D518))</f>
        <v/>
      </c>
      <c r="K518" s="28">
        <f>IF(OR(A518="",C518=""),"",IF(IFERROR(INDEX(DayStat,A518-DATE(PlanYear,1,1)+1)&amp;"","")&lt;&gt;"",0,1))</f>
        <v/>
      </c>
      <c r="L518" s="28">
        <f>IF(K518="","",K518*IFERROR(VLOOKUP(C518,CodeTable,4,0),0))</f>
        <v/>
      </c>
    </row>
    <row r="519">
      <c r="A519" s="22" t="n"/>
      <c r="B519" s="23" t="n"/>
      <c r="C519" s="24" t="n"/>
      <c r="D519" s="25" t="n"/>
      <c r="E519" s="26" t="n"/>
      <c r="F519" s="26" t="n"/>
      <c r="G519" s="27">
        <f>IF(C519="","",IFERROR(VLOOKUP(C519,CodeTable,3,0),1))</f>
        <v/>
      </c>
      <c r="H519" s="27">
        <f>IF(C519="","",IF(E519&lt;&gt;"",E519,IF(IFERROR(VLOOKUP(C519,CodeTable,5,0)&amp;"","")="","All",VLOOKUP(C519,CodeTable,5,0)&amp;"")))</f>
        <v/>
      </c>
      <c r="I519" s="28">
        <f>IF(OR(A519="",C519=""),"",A519&amp;"|"&amp;B519&amp;"|"&amp;(COUNTIFS(FlDate,A519,FlShift,B519,FlCode,"&lt;&gt;",FlOrder,"&lt;"&amp;J519)+COUNTIFS(A$6:A519,A519,B$6:B519,B519,C$6:C519,"&lt;&gt;",J$6:J519,J519)))</f>
        <v/>
      </c>
      <c r="J519" s="28">
        <f>IF(C519="","",IF(D519="","zz","t"&amp;D519))</f>
        <v/>
      </c>
      <c r="K519" s="28">
        <f>IF(OR(A519="",C519=""),"",IF(IFERROR(INDEX(DayStat,A519-DATE(PlanYear,1,1)+1)&amp;"","")&lt;&gt;"",0,1))</f>
        <v/>
      </c>
      <c r="L519" s="28">
        <f>IF(K519="","",K519*IFERROR(VLOOKUP(C519,CodeTable,4,0),0))</f>
        <v/>
      </c>
    </row>
    <row r="520">
      <c r="A520" s="22" t="n"/>
      <c r="B520" s="23" t="n"/>
      <c r="C520" s="24" t="n"/>
      <c r="D520" s="25" t="n"/>
      <c r="E520" s="26" t="n"/>
      <c r="F520" s="26" t="n"/>
      <c r="G520" s="27">
        <f>IF(C520="","",IFERROR(VLOOKUP(C520,CodeTable,3,0),1))</f>
        <v/>
      </c>
      <c r="H520" s="27">
        <f>IF(C520="","",IF(E520&lt;&gt;"",E520,IF(IFERROR(VLOOKUP(C520,CodeTable,5,0)&amp;"","")="","All",VLOOKUP(C520,CodeTable,5,0)&amp;"")))</f>
        <v/>
      </c>
      <c r="I520" s="28">
        <f>IF(OR(A520="",C520=""),"",A520&amp;"|"&amp;B520&amp;"|"&amp;(COUNTIFS(FlDate,A520,FlShift,B520,FlCode,"&lt;&gt;",FlOrder,"&lt;"&amp;J520)+COUNTIFS(A$6:A520,A520,B$6:B520,B520,C$6:C520,"&lt;&gt;",J$6:J520,J520)))</f>
        <v/>
      </c>
      <c r="J520" s="28">
        <f>IF(C520="","",IF(D520="","zz","t"&amp;D520))</f>
        <v/>
      </c>
      <c r="K520" s="28">
        <f>IF(OR(A520="",C520=""),"",IF(IFERROR(INDEX(DayStat,A520-DATE(PlanYear,1,1)+1)&amp;"","")&lt;&gt;"",0,1))</f>
        <v/>
      </c>
      <c r="L520" s="28">
        <f>IF(K520="","",K520*IFERROR(VLOOKUP(C520,CodeTable,4,0),0))</f>
        <v/>
      </c>
    </row>
    <row r="521">
      <c r="A521" s="22" t="n"/>
      <c r="B521" s="23" t="n"/>
      <c r="C521" s="24" t="n"/>
      <c r="D521" s="25" t="n"/>
      <c r="E521" s="26" t="n"/>
      <c r="F521" s="26" t="n"/>
      <c r="G521" s="27">
        <f>IF(C521="","",IFERROR(VLOOKUP(C521,CodeTable,3,0),1))</f>
        <v/>
      </c>
      <c r="H521" s="27">
        <f>IF(C521="","",IF(E521&lt;&gt;"",E521,IF(IFERROR(VLOOKUP(C521,CodeTable,5,0)&amp;"","")="","All",VLOOKUP(C521,CodeTable,5,0)&amp;"")))</f>
        <v/>
      </c>
      <c r="I521" s="28">
        <f>IF(OR(A521="",C521=""),"",A521&amp;"|"&amp;B521&amp;"|"&amp;(COUNTIFS(FlDate,A521,FlShift,B521,FlCode,"&lt;&gt;",FlOrder,"&lt;"&amp;J521)+COUNTIFS(A$6:A521,A521,B$6:B521,B521,C$6:C521,"&lt;&gt;",J$6:J521,J521)))</f>
        <v/>
      </c>
      <c r="J521" s="28">
        <f>IF(C521="","",IF(D521="","zz","t"&amp;D521))</f>
        <v/>
      </c>
      <c r="K521" s="28">
        <f>IF(OR(A521="",C521=""),"",IF(IFERROR(INDEX(DayStat,A521-DATE(PlanYear,1,1)+1)&amp;"","")&lt;&gt;"",0,1))</f>
        <v/>
      </c>
      <c r="L521" s="28">
        <f>IF(K521="","",K521*IFERROR(VLOOKUP(C521,CodeTable,4,0),0))</f>
        <v/>
      </c>
    </row>
    <row r="522">
      <c r="A522" s="22" t="n"/>
      <c r="B522" s="23" t="n"/>
      <c r="C522" s="24" t="n"/>
      <c r="D522" s="25" t="n"/>
      <c r="E522" s="26" t="n"/>
      <c r="F522" s="26" t="n"/>
      <c r="G522" s="27">
        <f>IF(C522="","",IFERROR(VLOOKUP(C522,CodeTable,3,0),1))</f>
        <v/>
      </c>
      <c r="H522" s="27">
        <f>IF(C522="","",IF(E522&lt;&gt;"",E522,IF(IFERROR(VLOOKUP(C522,CodeTable,5,0)&amp;"","")="","All",VLOOKUP(C522,CodeTable,5,0)&amp;"")))</f>
        <v/>
      </c>
      <c r="I522" s="28">
        <f>IF(OR(A522="",C522=""),"",A522&amp;"|"&amp;B522&amp;"|"&amp;(COUNTIFS(FlDate,A522,FlShift,B522,FlCode,"&lt;&gt;",FlOrder,"&lt;"&amp;J522)+COUNTIFS(A$6:A522,A522,B$6:B522,B522,C$6:C522,"&lt;&gt;",J$6:J522,J522)))</f>
        <v/>
      </c>
      <c r="J522" s="28">
        <f>IF(C522="","",IF(D522="","zz","t"&amp;D522))</f>
        <v/>
      </c>
      <c r="K522" s="28">
        <f>IF(OR(A522="",C522=""),"",IF(IFERROR(INDEX(DayStat,A522-DATE(PlanYear,1,1)+1)&amp;"","")&lt;&gt;"",0,1))</f>
        <v/>
      </c>
      <c r="L522" s="28">
        <f>IF(K522="","",K522*IFERROR(VLOOKUP(C522,CodeTable,4,0),0))</f>
        <v/>
      </c>
    </row>
    <row r="523">
      <c r="A523" s="22" t="n"/>
      <c r="B523" s="23" t="n"/>
      <c r="C523" s="24" t="n"/>
      <c r="D523" s="25" t="n"/>
      <c r="E523" s="26" t="n"/>
      <c r="F523" s="26" t="n"/>
      <c r="G523" s="27">
        <f>IF(C523="","",IFERROR(VLOOKUP(C523,CodeTable,3,0),1))</f>
        <v/>
      </c>
      <c r="H523" s="27">
        <f>IF(C523="","",IF(E523&lt;&gt;"",E523,IF(IFERROR(VLOOKUP(C523,CodeTable,5,0)&amp;"","")="","All",VLOOKUP(C523,CodeTable,5,0)&amp;"")))</f>
        <v/>
      </c>
      <c r="I523" s="28">
        <f>IF(OR(A523="",C523=""),"",A523&amp;"|"&amp;B523&amp;"|"&amp;(COUNTIFS(FlDate,A523,FlShift,B523,FlCode,"&lt;&gt;",FlOrder,"&lt;"&amp;J523)+COUNTIFS(A$6:A523,A523,B$6:B523,B523,C$6:C523,"&lt;&gt;",J$6:J523,J523)))</f>
        <v/>
      </c>
      <c r="J523" s="28">
        <f>IF(C523="","",IF(D523="","zz","t"&amp;D523))</f>
        <v/>
      </c>
      <c r="K523" s="28">
        <f>IF(OR(A523="",C523=""),"",IF(IFERROR(INDEX(DayStat,A523-DATE(PlanYear,1,1)+1)&amp;"","")&lt;&gt;"",0,1))</f>
        <v/>
      </c>
      <c r="L523" s="28">
        <f>IF(K523="","",K523*IFERROR(VLOOKUP(C523,CodeTable,4,0),0))</f>
        <v/>
      </c>
    </row>
    <row r="524">
      <c r="A524" s="22" t="n"/>
      <c r="B524" s="23" t="n"/>
      <c r="C524" s="24" t="n"/>
      <c r="D524" s="25" t="n"/>
      <c r="E524" s="26" t="n"/>
      <c r="F524" s="26" t="n"/>
      <c r="G524" s="27">
        <f>IF(C524="","",IFERROR(VLOOKUP(C524,CodeTable,3,0),1))</f>
        <v/>
      </c>
      <c r="H524" s="27">
        <f>IF(C524="","",IF(E524&lt;&gt;"",E524,IF(IFERROR(VLOOKUP(C524,CodeTable,5,0)&amp;"","")="","All",VLOOKUP(C524,CodeTable,5,0)&amp;"")))</f>
        <v/>
      </c>
      <c r="I524" s="28">
        <f>IF(OR(A524="",C524=""),"",A524&amp;"|"&amp;B524&amp;"|"&amp;(COUNTIFS(FlDate,A524,FlShift,B524,FlCode,"&lt;&gt;",FlOrder,"&lt;"&amp;J524)+COUNTIFS(A$6:A524,A524,B$6:B524,B524,C$6:C524,"&lt;&gt;",J$6:J524,J524)))</f>
        <v/>
      </c>
      <c r="J524" s="28">
        <f>IF(C524="","",IF(D524="","zz","t"&amp;D524))</f>
        <v/>
      </c>
      <c r="K524" s="28">
        <f>IF(OR(A524="",C524=""),"",IF(IFERROR(INDEX(DayStat,A524-DATE(PlanYear,1,1)+1)&amp;"","")&lt;&gt;"",0,1))</f>
        <v/>
      </c>
      <c r="L524" s="28">
        <f>IF(K524="","",K524*IFERROR(VLOOKUP(C524,CodeTable,4,0),0))</f>
        <v/>
      </c>
    </row>
    <row r="525">
      <c r="A525" s="22" t="n"/>
      <c r="B525" s="23" t="n"/>
      <c r="C525" s="24" t="n"/>
      <c r="D525" s="25" t="n"/>
      <c r="E525" s="26" t="n"/>
      <c r="F525" s="26" t="n"/>
      <c r="G525" s="27">
        <f>IF(C525="","",IFERROR(VLOOKUP(C525,CodeTable,3,0),1))</f>
        <v/>
      </c>
      <c r="H525" s="27">
        <f>IF(C525="","",IF(E525&lt;&gt;"",E525,IF(IFERROR(VLOOKUP(C525,CodeTable,5,0)&amp;"","")="","All",VLOOKUP(C525,CodeTable,5,0)&amp;"")))</f>
        <v/>
      </c>
      <c r="I525" s="28">
        <f>IF(OR(A525="",C525=""),"",A525&amp;"|"&amp;B525&amp;"|"&amp;(COUNTIFS(FlDate,A525,FlShift,B525,FlCode,"&lt;&gt;",FlOrder,"&lt;"&amp;J525)+COUNTIFS(A$6:A525,A525,B$6:B525,B525,C$6:C525,"&lt;&gt;",J$6:J525,J525)))</f>
        <v/>
      </c>
      <c r="J525" s="28">
        <f>IF(C525="","",IF(D525="","zz","t"&amp;D525))</f>
        <v/>
      </c>
      <c r="K525" s="28">
        <f>IF(OR(A525="",C525=""),"",IF(IFERROR(INDEX(DayStat,A525-DATE(PlanYear,1,1)+1)&amp;"","")&lt;&gt;"",0,1))</f>
        <v/>
      </c>
      <c r="L525" s="28">
        <f>IF(K525="","",K525*IFERROR(VLOOKUP(C525,CodeTable,4,0),0))</f>
        <v/>
      </c>
    </row>
    <row r="526">
      <c r="A526" s="22" t="n"/>
      <c r="B526" s="23" t="n"/>
      <c r="C526" s="24" t="n"/>
      <c r="D526" s="25" t="n"/>
      <c r="E526" s="26" t="n"/>
      <c r="F526" s="26" t="n"/>
      <c r="G526" s="27">
        <f>IF(C526="","",IFERROR(VLOOKUP(C526,CodeTable,3,0),1))</f>
        <v/>
      </c>
      <c r="H526" s="27">
        <f>IF(C526="","",IF(E526&lt;&gt;"",E526,IF(IFERROR(VLOOKUP(C526,CodeTable,5,0)&amp;"","")="","All",VLOOKUP(C526,CodeTable,5,0)&amp;"")))</f>
        <v/>
      </c>
      <c r="I526" s="28">
        <f>IF(OR(A526="",C526=""),"",A526&amp;"|"&amp;B526&amp;"|"&amp;(COUNTIFS(FlDate,A526,FlShift,B526,FlCode,"&lt;&gt;",FlOrder,"&lt;"&amp;J526)+COUNTIFS(A$6:A526,A526,B$6:B526,B526,C$6:C526,"&lt;&gt;",J$6:J526,J526)))</f>
        <v/>
      </c>
      <c r="J526" s="28">
        <f>IF(C526="","",IF(D526="","zz","t"&amp;D526))</f>
        <v/>
      </c>
      <c r="K526" s="28">
        <f>IF(OR(A526="",C526=""),"",IF(IFERROR(INDEX(DayStat,A526-DATE(PlanYear,1,1)+1)&amp;"","")&lt;&gt;"",0,1))</f>
        <v/>
      </c>
      <c r="L526" s="28">
        <f>IF(K526="","",K526*IFERROR(VLOOKUP(C526,CodeTable,4,0),0))</f>
        <v/>
      </c>
    </row>
    <row r="527">
      <c r="A527" s="22" t="n"/>
      <c r="B527" s="23" t="n"/>
      <c r="C527" s="24" t="n"/>
      <c r="D527" s="25" t="n"/>
      <c r="E527" s="26" t="n"/>
      <c r="F527" s="26" t="n"/>
      <c r="G527" s="27">
        <f>IF(C527="","",IFERROR(VLOOKUP(C527,CodeTable,3,0),1))</f>
        <v/>
      </c>
      <c r="H527" s="27">
        <f>IF(C527="","",IF(E527&lt;&gt;"",E527,IF(IFERROR(VLOOKUP(C527,CodeTable,5,0)&amp;"","")="","All",VLOOKUP(C527,CodeTable,5,0)&amp;"")))</f>
        <v/>
      </c>
      <c r="I527" s="28">
        <f>IF(OR(A527="",C527=""),"",A527&amp;"|"&amp;B527&amp;"|"&amp;(COUNTIFS(FlDate,A527,FlShift,B527,FlCode,"&lt;&gt;",FlOrder,"&lt;"&amp;J527)+COUNTIFS(A$6:A527,A527,B$6:B527,B527,C$6:C527,"&lt;&gt;",J$6:J527,J527)))</f>
        <v/>
      </c>
      <c r="J527" s="28">
        <f>IF(C527="","",IF(D527="","zz","t"&amp;D527))</f>
        <v/>
      </c>
      <c r="K527" s="28">
        <f>IF(OR(A527="",C527=""),"",IF(IFERROR(INDEX(DayStat,A527-DATE(PlanYear,1,1)+1)&amp;"","")&lt;&gt;"",0,1))</f>
        <v/>
      </c>
      <c r="L527" s="28">
        <f>IF(K527="","",K527*IFERROR(VLOOKUP(C527,CodeTable,4,0),0))</f>
        <v/>
      </c>
    </row>
    <row r="528">
      <c r="A528" s="22" t="n"/>
      <c r="B528" s="23" t="n"/>
      <c r="C528" s="24" t="n"/>
      <c r="D528" s="25" t="n"/>
      <c r="E528" s="26" t="n"/>
      <c r="F528" s="26" t="n"/>
      <c r="G528" s="27">
        <f>IF(C528="","",IFERROR(VLOOKUP(C528,CodeTable,3,0),1))</f>
        <v/>
      </c>
      <c r="H528" s="27">
        <f>IF(C528="","",IF(E528&lt;&gt;"",E528,IF(IFERROR(VLOOKUP(C528,CodeTable,5,0)&amp;"","")="","All",VLOOKUP(C528,CodeTable,5,0)&amp;"")))</f>
        <v/>
      </c>
      <c r="I528" s="28">
        <f>IF(OR(A528="",C528=""),"",A528&amp;"|"&amp;B528&amp;"|"&amp;(COUNTIFS(FlDate,A528,FlShift,B528,FlCode,"&lt;&gt;",FlOrder,"&lt;"&amp;J528)+COUNTIFS(A$6:A528,A528,B$6:B528,B528,C$6:C528,"&lt;&gt;",J$6:J528,J528)))</f>
        <v/>
      </c>
      <c r="J528" s="28">
        <f>IF(C528="","",IF(D528="","zz","t"&amp;D528))</f>
        <v/>
      </c>
      <c r="K528" s="28">
        <f>IF(OR(A528="",C528=""),"",IF(IFERROR(INDEX(DayStat,A528-DATE(PlanYear,1,1)+1)&amp;"","")&lt;&gt;"",0,1))</f>
        <v/>
      </c>
      <c r="L528" s="28">
        <f>IF(K528="","",K528*IFERROR(VLOOKUP(C528,CodeTable,4,0),0))</f>
        <v/>
      </c>
    </row>
    <row r="529">
      <c r="A529" s="22" t="n"/>
      <c r="B529" s="23" t="n"/>
      <c r="C529" s="24" t="n"/>
      <c r="D529" s="25" t="n"/>
      <c r="E529" s="26" t="n"/>
      <c r="F529" s="26" t="n"/>
      <c r="G529" s="27">
        <f>IF(C529="","",IFERROR(VLOOKUP(C529,CodeTable,3,0),1))</f>
        <v/>
      </c>
      <c r="H529" s="27">
        <f>IF(C529="","",IF(E529&lt;&gt;"",E529,IF(IFERROR(VLOOKUP(C529,CodeTable,5,0)&amp;"","")="","All",VLOOKUP(C529,CodeTable,5,0)&amp;"")))</f>
        <v/>
      </c>
      <c r="I529" s="28">
        <f>IF(OR(A529="",C529=""),"",A529&amp;"|"&amp;B529&amp;"|"&amp;(COUNTIFS(FlDate,A529,FlShift,B529,FlCode,"&lt;&gt;",FlOrder,"&lt;"&amp;J529)+COUNTIFS(A$6:A529,A529,B$6:B529,B529,C$6:C529,"&lt;&gt;",J$6:J529,J529)))</f>
        <v/>
      </c>
      <c r="J529" s="28">
        <f>IF(C529="","",IF(D529="","zz","t"&amp;D529))</f>
        <v/>
      </c>
      <c r="K529" s="28">
        <f>IF(OR(A529="",C529=""),"",IF(IFERROR(INDEX(DayStat,A529-DATE(PlanYear,1,1)+1)&amp;"","")&lt;&gt;"",0,1))</f>
        <v/>
      </c>
      <c r="L529" s="28">
        <f>IF(K529="","",K529*IFERROR(VLOOKUP(C529,CodeTable,4,0),0))</f>
        <v/>
      </c>
    </row>
    <row r="530">
      <c r="A530" s="22" t="n"/>
      <c r="B530" s="23" t="n"/>
      <c r="C530" s="24" t="n"/>
      <c r="D530" s="25" t="n"/>
      <c r="E530" s="26" t="n"/>
      <c r="F530" s="26" t="n"/>
      <c r="G530" s="27">
        <f>IF(C530="","",IFERROR(VLOOKUP(C530,CodeTable,3,0),1))</f>
        <v/>
      </c>
      <c r="H530" s="27">
        <f>IF(C530="","",IF(E530&lt;&gt;"",E530,IF(IFERROR(VLOOKUP(C530,CodeTable,5,0)&amp;"","")="","All",VLOOKUP(C530,CodeTable,5,0)&amp;"")))</f>
        <v/>
      </c>
      <c r="I530" s="28">
        <f>IF(OR(A530="",C530=""),"",A530&amp;"|"&amp;B530&amp;"|"&amp;(COUNTIFS(FlDate,A530,FlShift,B530,FlCode,"&lt;&gt;",FlOrder,"&lt;"&amp;J530)+COUNTIFS(A$6:A530,A530,B$6:B530,B530,C$6:C530,"&lt;&gt;",J$6:J530,J530)))</f>
        <v/>
      </c>
      <c r="J530" s="28">
        <f>IF(C530="","",IF(D530="","zz","t"&amp;D530))</f>
        <v/>
      </c>
      <c r="K530" s="28">
        <f>IF(OR(A530="",C530=""),"",IF(IFERROR(INDEX(DayStat,A530-DATE(PlanYear,1,1)+1)&amp;"","")&lt;&gt;"",0,1))</f>
        <v/>
      </c>
      <c r="L530" s="28">
        <f>IF(K530="","",K530*IFERROR(VLOOKUP(C530,CodeTable,4,0),0))</f>
        <v/>
      </c>
    </row>
    <row r="531">
      <c r="A531" s="22" t="n"/>
      <c r="B531" s="23" t="n"/>
      <c r="C531" s="24" t="n"/>
      <c r="D531" s="25" t="n"/>
      <c r="E531" s="26" t="n"/>
      <c r="F531" s="26" t="n"/>
      <c r="G531" s="27">
        <f>IF(C531="","",IFERROR(VLOOKUP(C531,CodeTable,3,0),1))</f>
        <v/>
      </c>
      <c r="H531" s="27">
        <f>IF(C531="","",IF(E531&lt;&gt;"",E531,IF(IFERROR(VLOOKUP(C531,CodeTable,5,0)&amp;"","")="","All",VLOOKUP(C531,CodeTable,5,0)&amp;"")))</f>
        <v/>
      </c>
      <c r="I531" s="28">
        <f>IF(OR(A531="",C531=""),"",A531&amp;"|"&amp;B531&amp;"|"&amp;(COUNTIFS(FlDate,A531,FlShift,B531,FlCode,"&lt;&gt;",FlOrder,"&lt;"&amp;J531)+COUNTIFS(A$6:A531,A531,B$6:B531,B531,C$6:C531,"&lt;&gt;",J$6:J531,J531)))</f>
        <v/>
      </c>
      <c r="J531" s="28">
        <f>IF(C531="","",IF(D531="","zz","t"&amp;D531))</f>
        <v/>
      </c>
      <c r="K531" s="28">
        <f>IF(OR(A531="",C531=""),"",IF(IFERROR(INDEX(DayStat,A531-DATE(PlanYear,1,1)+1)&amp;"","")&lt;&gt;"",0,1))</f>
        <v/>
      </c>
      <c r="L531" s="28">
        <f>IF(K531="","",K531*IFERROR(VLOOKUP(C531,CodeTable,4,0),0))</f>
        <v/>
      </c>
    </row>
    <row r="532">
      <c r="A532" s="22" t="n"/>
      <c r="B532" s="23" t="n"/>
      <c r="C532" s="24" t="n"/>
      <c r="D532" s="25" t="n"/>
      <c r="E532" s="26" t="n"/>
      <c r="F532" s="26" t="n"/>
      <c r="G532" s="27">
        <f>IF(C532="","",IFERROR(VLOOKUP(C532,CodeTable,3,0),1))</f>
        <v/>
      </c>
      <c r="H532" s="27">
        <f>IF(C532="","",IF(E532&lt;&gt;"",E532,IF(IFERROR(VLOOKUP(C532,CodeTable,5,0)&amp;"","")="","All",VLOOKUP(C532,CodeTable,5,0)&amp;"")))</f>
        <v/>
      </c>
      <c r="I532" s="28">
        <f>IF(OR(A532="",C532=""),"",A532&amp;"|"&amp;B532&amp;"|"&amp;(COUNTIFS(FlDate,A532,FlShift,B532,FlCode,"&lt;&gt;",FlOrder,"&lt;"&amp;J532)+COUNTIFS(A$6:A532,A532,B$6:B532,B532,C$6:C532,"&lt;&gt;",J$6:J532,J532)))</f>
        <v/>
      </c>
      <c r="J532" s="28">
        <f>IF(C532="","",IF(D532="","zz","t"&amp;D532))</f>
        <v/>
      </c>
      <c r="K532" s="28">
        <f>IF(OR(A532="",C532=""),"",IF(IFERROR(INDEX(DayStat,A532-DATE(PlanYear,1,1)+1)&amp;"","")&lt;&gt;"",0,1))</f>
        <v/>
      </c>
      <c r="L532" s="28">
        <f>IF(K532="","",K532*IFERROR(VLOOKUP(C532,CodeTable,4,0),0))</f>
        <v/>
      </c>
    </row>
    <row r="533">
      <c r="A533" s="22" t="n"/>
      <c r="B533" s="23" t="n"/>
      <c r="C533" s="24" t="n"/>
      <c r="D533" s="25" t="n"/>
      <c r="E533" s="26" t="n"/>
      <c r="F533" s="26" t="n"/>
      <c r="G533" s="27">
        <f>IF(C533="","",IFERROR(VLOOKUP(C533,CodeTable,3,0),1))</f>
        <v/>
      </c>
      <c r="H533" s="27">
        <f>IF(C533="","",IF(E533&lt;&gt;"",E533,IF(IFERROR(VLOOKUP(C533,CodeTable,5,0)&amp;"","")="","All",VLOOKUP(C533,CodeTable,5,0)&amp;"")))</f>
        <v/>
      </c>
      <c r="I533" s="28">
        <f>IF(OR(A533="",C533=""),"",A533&amp;"|"&amp;B533&amp;"|"&amp;(COUNTIFS(FlDate,A533,FlShift,B533,FlCode,"&lt;&gt;",FlOrder,"&lt;"&amp;J533)+COUNTIFS(A$6:A533,A533,B$6:B533,B533,C$6:C533,"&lt;&gt;",J$6:J533,J533)))</f>
        <v/>
      </c>
      <c r="J533" s="28">
        <f>IF(C533="","",IF(D533="","zz","t"&amp;D533))</f>
        <v/>
      </c>
      <c r="K533" s="28">
        <f>IF(OR(A533="",C533=""),"",IF(IFERROR(INDEX(DayStat,A533-DATE(PlanYear,1,1)+1)&amp;"","")&lt;&gt;"",0,1))</f>
        <v/>
      </c>
      <c r="L533" s="28">
        <f>IF(K533="","",K533*IFERROR(VLOOKUP(C533,CodeTable,4,0),0))</f>
        <v/>
      </c>
    </row>
    <row r="534">
      <c r="A534" s="22" t="n"/>
      <c r="B534" s="23" t="n"/>
      <c r="C534" s="24" t="n"/>
      <c r="D534" s="25" t="n"/>
      <c r="E534" s="26" t="n"/>
      <c r="F534" s="26" t="n"/>
      <c r="G534" s="27">
        <f>IF(C534="","",IFERROR(VLOOKUP(C534,CodeTable,3,0),1))</f>
        <v/>
      </c>
      <c r="H534" s="27">
        <f>IF(C534="","",IF(E534&lt;&gt;"",E534,IF(IFERROR(VLOOKUP(C534,CodeTable,5,0)&amp;"","")="","All",VLOOKUP(C534,CodeTable,5,0)&amp;"")))</f>
        <v/>
      </c>
      <c r="I534" s="28">
        <f>IF(OR(A534="",C534=""),"",A534&amp;"|"&amp;B534&amp;"|"&amp;(COUNTIFS(FlDate,A534,FlShift,B534,FlCode,"&lt;&gt;",FlOrder,"&lt;"&amp;J534)+COUNTIFS(A$6:A534,A534,B$6:B534,B534,C$6:C534,"&lt;&gt;",J$6:J534,J534)))</f>
        <v/>
      </c>
      <c r="J534" s="28">
        <f>IF(C534="","",IF(D534="","zz","t"&amp;D534))</f>
        <v/>
      </c>
      <c r="K534" s="28">
        <f>IF(OR(A534="",C534=""),"",IF(IFERROR(INDEX(DayStat,A534-DATE(PlanYear,1,1)+1)&amp;"","")&lt;&gt;"",0,1))</f>
        <v/>
      </c>
      <c r="L534" s="28">
        <f>IF(K534="","",K534*IFERROR(VLOOKUP(C534,CodeTable,4,0),0))</f>
        <v/>
      </c>
    </row>
    <row r="535">
      <c r="A535" s="22" t="n"/>
      <c r="B535" s="23" t="n"/>
      <c r="C535" s="24" t="n"/>
      <c r="D535" s="25" t="n"/>
      <c r="E535" s="26" t="n"/>
      <c r="F535" s="26" t="n"/>
      <c r="G535" s="27">
        <f>IF(C535="","",IFERROR(VLOOKUP(C535,CodeTable,3,0),1))</f>
        <v/>
      </c>
      <c r="H535" s="27">
        <f>IF(C535="","",IF(E535&lt;&gt;"",E535,IF(IFERROR(VLOOKUP(C535,CodeTable,5,0)&amp;"","")="","All",VLOOKUP(C535,CodeTable,5,0)&amp;"")))</f>
        <v/>
      </c>
      <c r="I535" s="28">
        <f>IF(OR(A535="",C535=""),"",A535&amp;"|"&amp;B535&amp;"|"&amp;(COUNTIFS(FlDate,A535,FlShift,B535,FlCode,"&lt;&gt;",FlOrder,"&lt;"&amp;J535)+COUNTIFS(A$6:A535,A535,B$6:B535,B535,C$6:C535,"&lt;&gt;",J$6:J535,J535)))</f>
        <v/>
      </c>
      <c r="J535" s="28">
        <f>IF(C535="","",IF(D535="","zz","t"&amp;D535))</f>
        <v/>
      </c>
      <c r="K535" s="28">
        <f>IF(OR(A535="",C535=""),"",IF(IFERROR(INDEX(DayStat,A535-DATE(PlanYear,1,1)+1)&amp;"","")&lt;&gt;"",0,1))</f>
        <v/>
      </c>
      <c r="L535" s="28">
        <f>IF(K535="","",K535*IFERROR(VLOOKUP(C535,CodeTable,4,0),0))</f>
        <v/>
      </c>
    </row>
    <row r="536">
      <c r="A536" s="22" t="n"/>
      <c r="B536" s="23" t="n"/>
      <c r="C536" s="24" t="n"/>
      <c r="D536" s="25" t="n"/>
      <c r="E536" s="26" t="n"/>
      <c r="F536" s="26" t="n"/>
      <c r="G536" s="27">
        <f>IF(C536="","",IFERROR(VLOOKUP(C536,CodeTable,3,0),1))</f>
        <v/>
      </c>
      <c r="H536" s="27">
        <f>IF(C536="","",IF(E536&lt;&gt;"",E536,IF(IFERROR(VLOOKUP(C536,CodeTable,5,0)&amp;"","")="","All",VLOOKUP(C536,CodeTable,5,0)&amp;"")))</f>
        <v/>
      </c>
      <c r="I536" s="28">
        <f>IF(OR(A536="",C536=""),"",A536&amp;"|"&amp;B536&amp;"|"&amp;(COUNTIFS(FlDate,A536,FlShift,B536,FlCode,"&lt;&gt;",FlOrder,"&lt;"&amp;J536)+COUNTIFS(A$6:A536,A536,B$6:B536,B536,C$6:C536,"&lt;&gt;",J$6:J536,J536)))</f>
        <v/>
      </c>
      <c r="J536" s="28">
        <f>IF(C536="","",IF(D536="","zz","t"&amp;D536))</f>
        <v/>
      </c>
      <c r="K536" s="28">
        <f>IF(OR(A536="",C536=""),"",IF(IFERROR(INDEX(DayStat,A536-DATE(PlanYear,1,1)+1)&amp;"","")&lt;&gt;"",0,1))</f>
        <v/>
      </c>
      <c r="L536" s="28">
        <f>IF(K536="","",K536*IFERROR(VLOOKUP(C536,CodeTable,4,0),0))</f>
        <v/>
      </c>
    </row>
    <row r="537">
      <c r="A537" s="22" t="n"/>
      <c r="B537" s="23" t="n"/>
      <c r="C537" s="24" t="n"/>
      <c r="D537" s="25" t="n"/>
      <c r="E537" s="26" t="n"/>
      <c r="F537" s="26" t="n"/>
      <c r="G537" s="27">
        <f>IF(C537="","",IFERROR(VLOOKUP(C537,CodeTable,3,0),1))</f>
        <v/>
      </c>
      <c r="H537" s="27">
        <f>IF(C537="","",IF(E537&lt;&gt;"",E537,IF(IFERROR(VLOOKUP(C537,CodeTable,5,0)&amp;"","")="","All",VLOOKUP(C537,CodeTable,5,0)&amp;"")))</f>
        <v/>
      </c>
      <c r="I537" s="28">
        <f>IF(OR(A537="",C537=""),"",A537&amp;"|"&amp;B537&amp;"|"&amp;(COUNTIFS(FlDate,A537,FlShift,B537,FlCode,"&lt;&gt;",FlOrder,"&lt;"&amp;J537)+COUNTIFS(A$6:A537,A537,B$6:B537,B537,C$6:C537,"&lt;&gt;",J$6:J537,J537)))</f>
        <v/>
      </c>
      <c r="J537" s="28">
        <f>IF(C537="","",IF(D537="","zz","t"&amp;D537))</f>
        <v/>
      </c>
      <c r="K537" s="28">
        <f>IF(OR(A537="",C537=""),"",IF(IFERROR(INDEX(DayStat,A537-DATE(PlanYear,1,1)+1)&amp;"","")&lt;&gt;"",0,1))</f>
        <v/>
      </c>
      <c r="L537" s="28">
        <f>IF(K537="","",K537*IFERROR(VLOOKUP(C537,CodeTable,4,0),0))</f>
        <v/>
      </c>
    </row>
    <row r="538">
      <c r="A538" s="22" t="n"/>
      <c r="B538" s="23" t="n"/>
      <c r="C538" s="24" t="n"/>
      <c r="D538" s="25" t="n"/>
      <c r="E538" s="26" t="n"/>
      <c r="F538" s="26" t="n"/>
      <c r="G538" s="27">
        <f>IF(C538="","",IFERROR(VLOOKUP(C538,CodeTable,3,0),1))</f>
        <v/>
      </c>
      <c r="H538" s="27">
        <f>IF(C538="","",IF(E538&lt;&gt;"",E538,IF(IFERROR(VLOOKUP(C538,CodeTable,5,0)&amp;"","")="","All",VLOOKUP(C538,CodeTable,5,0)&amp;"")))</f>
        <v/>
      </c>
      <c r="I538" s="28">
        <f>IF(OR(A538="",C538=""),"",A538&amp;"|"&amp;B538&amp;"|"&amp;(COUNTIFS(FlDate,A538,FlShift,B538,FlCode,"&lt;&gt;",FlOrder,"&lt;"&amp;J538)+COUNTIFS(A$6:A538,A538,B$6:B538,B538,C$6:C538,"&lt;&gt;",J$6:J538,J538)))</f>
        <v/>
      </c>
      <c r="J538" s="28">
        <f>IF(C538="","",IF(D538="","zz","t"&amp;D538))</f>
        <v/>
      </c>
      <c r="K538" s="28">
        <f>IF(OR(A538="",C538=""),"",IF(IFERROR(INDEX(DayStat,A538-DATE(PlanYear,1,1)+1)&amp;"","")&lt;&gt;"",0,1))</f>
        <v/>
      </c>
      <c r="L538" s="28">
        <f>IF(K538="","",K538*IFERROR(VLOOKUP(C538,CodeTable,4,0),0))</f>
        <v/>
      </c>
    </row>
    <row r="539">
      <c r="A539" s="22" t="n"/>
      <c r="B539" s="23" t="n"/>
      <c r="C539" s="24" t="n"/>
      <c r="D539" s="25" t="n"/>
      <c r="E539" s="26" t="n"/>
      <c r="F539" s="26" t="n"/>
      <c r="G539" s="27">
        <f>IF(C539="","",IFERROR(VLOOKUP(C539,CodeTable,3,0),1))</f>
        <v/>
      </c>
      <c r="H539" s="27">
        <f>IF(C539="","",IF(E539&lt;&gt;"",E539,IF(IFERROR(VLOOKUP(C539,CodeTable,5,0)&amp;"","")="","All",VLOOKUP(C539,CodeTable,5,0)&amp;"")))</f>
        <v/>
      </c>
      <c r="I539" s="28">
        <f>IF(OR(A539="",C539=""),"",A539&amp;"|"&amp;B539&amp;"|"&amp;(COUNTIFS(FlDate,A539,FlShift,B539,FlCode,"&lt;&gt;",FlOrder,"&lt;"&amp;J539)+COUNTIFS(A$6:A539,A539,B$6:B539,B539,C$6:C539,"&lt;&gt;",J$6:J539,J539)))</f>
        <v/>
      </c>
      <c r="J539" s="28">
        <f>IF(C539="","",IF(D539="","zz","t"&amp;D539))</f>
        <v/>
      </c>
      <c r="K539" s="28">
        <f>IF(OR(A539="",C539=""),"",IF(IFERROR(INDEX(DayStat,A539-DATE(PlanYear,1,1)+1)&amp;"","")&lt;&gt;"",0,1))</f>
        <v/>
      </c>
      <c r="L539" s="28">
        <f>IF(K539="","",K539*IFERROR(VLOOKUP(C539,CodeTable,4,0),0))</f>
        <v/>
      </c>
    </row>
    <row r="540">
      <c r="A540" s="22" t="n"/>
      <c r="B540" s="23" t="n"/>
      <c r="C540" s="24" t="n"/>
      <c r="D540" s="25" t="n"/>
      <c r="E540" s="26" t="n"/>
      <c r="F540" s="26" t="n"/>
      <c r="G540" s="27">
        <f>IF(C540="","",IFERROR(VLOOKUP(C540,CodeTable,3,0),1))</f>
        <v/>
      </c>
      <c r="H540" s="27">
        <f>IF(C540="","",IF(E540&lt;&gt;"",E540,IF(IFERROR(VLOOKUP(C540,CodeTable,5,0)&amp;"","")="","All",VLOOKUP(C540,CodeTable,5,0)&amp;"")))</f>
        <v/>
      </c>
      <c r="I540" s="28">
        <f>IF(OR(A540="",C540=""),"",A540&amp;"|"&amp;B540&amp;"|"&amp;(COUNTIFS(FlDate,A540,FlShift,B540,FlCode,"&lt;&gt;",FlOrder,"&lt;"&amp;J540)+COUNTIFS(A$6:A540,A540,B$6:B540,B540,C$6:C540,"&lt;&gt;",J$6:J540,J540)))</f>
        <v/>
      </c>
      <c r="J540" s="28">
        <f>IF(C540="","",IF(D540="","zz","t"&amp;D540))</f>
        <v/>
      </c>
      <c r="K540" s="28">
        <f>IF(OR(A540="",C540=""),"",IF(IFERROR(INDEX(DayStat,A540-DATE(PlanYear,1,1)+1)&amp;"","")&lt;&gt;"",0,1))</f>
        <v/>
      </c>
      <c r="L540" s="28">
        <f>IF(K540="","",K540*IFERROR(VLOOKUP(C540,CodeTable,4,0),0))</f>
        <v/>
      </c>
    </row>
    <row r="541">
      <c r="A541" s="22" t="n"/>
      <c r="B541" s="23" t="n"/>
      <c r="C541" s="24" t="n"/>
      <c r="D541" s="25" t="n"/>
      <c r="E541" s="26" t="n"/>
      <c r="F541" s="26" t="n"/>
      <c r="G541" s="27">
        <f>IF(C541="","",IFERROR(VLOOKUP(C541,CodeTable,3,0),1))</f>
        <v/>
      </c>
      <c r="H541" s="27">
        <f>IF(C541="","",IF(E541&lt;&gt;"",E541,IF(IFERROR(VLOOKUP(C541,CodeTable,5,0)&amp;"","")="","All",VLOOKUP(C541,CodeTable,5,0)&amp;"")))</f>
        <v/>
      </c>
      <c r="I541" s="28">
        <f>IF(OR(A541="",C541=""),"",A541&amp;"|"&amp;B541&amp;"|"&amp;(COUNTIFS(FlDate,A541,FlShift,B541,FlCode,"&lt;&gt;",FlOrder,"&lt;"&amp;J541)+COUNTIFS(A$6:A541,A541,B$6:B541,B541,C$6:C541,"&lt;&gt;",J$6:J541,J541)))</f>
        <v/>
      </c>
      <c r="J541" s="28">
        <f>IF(C541="","",IF(D541="","zz","t"&amp;D541))</f>
        <v/>
      </c>
      <c r="K541" s="28">
        <f>IF(OR(A541="",C541=""),"",IF(IFERROR(INDEX(DayStat,A541-DATE(PlanYear,1,1)+1)&amp;"","")&lt;&gt;"",0,1))</f>
        <v/>
      </c>
      <c r="L541" s="28">
        <f>IF(K541="","",K541*IFERROR(VLOOKUP(C541,CodeTable,4,0),0))</f>
        <v/>
      </c>
    </row>
    <row r="542">
      <c r="A542" s="22" t="n"/>
      <c r="B542" s="23" t="n"/>
      <c r="C542" s="24" t="n"/>
      <c r="D542" s="25" t="n"/>
      <c r="E542" s="26" t="n"/>
      <c r="F542" s="26" t="n"/>
      <c r="G542" s="27">
        <f>IF(C542="","",IFERROR(VLOOKUP(C542,CodeTable,3,0),1))</f>
        <v/>
      </c>
      <c r="H542" s="27">
        <f>IF(C542="","",IF(E542&lt;&gt;"",E542,IF(IFERROR(VLOOKUP(C542,CodeTable,5,0)&amp;"","")="","All",VLOOKUP(C542,CodeTable,5,0)&amp;"")))</f>
        <v/>
      </c>
      <c r="I542" s="28">
        <f>IF(OR(A542="",C542=""),"",A542&amp;"|"&amp;B542&amp;"|"&amp;(COUNTIFS(FlDate,A542,FlShift,B542,FlCode,"&lt;&gt;",FlOrder,"&lt;"&amp;J542)+COUNTIFS(A$6:A542,A542,B$6:B542,B542,C$6:C542,"&lt;&gt;",J$6:J542,J542)))</f>
        <v/>
      </c>
      <c r="J542" s="28">
        <f>IF(C542="","",IF(D542="","zz","t"&amp;D542))</f>
        <v/>
      </c>
      <c r="K542" s="28">
        <f>IF(OR(A542="",C542=""),"",IF(IFERROR(INDEX(DayStat,A542-DATE(PlanYear,1,1)+1)&amp;"","")&lt;&gt;"",0,1))</f>
        <v/>
      </c>
      <c r="L542" s="28">
        <f>IF(K542="","",K542*IFERROR(VLOOKUP(C542,CodeTable,4,0),0))</f>
        <v/>
      </c>
    </row>
    <row r="543">
      <c r="A543" s="22" t="n"/>
      <c r="B543" s="23" t="n"/>
      <c r="C543" s="24" t="n"/>
      <c r="D543" s="25" t="n"/>
      <c r="E543" s="26" t="n"/>
      <c r="F543" s="26" t="n"/>
      <c r="G543" s="27">
        <f>IF(C543="","",IFERROR(VLOOKUP(C543,CodeTable,3,0),1))</f>
        <v/>
      </c>
      <c r="H543" s="27">
        <f>IF(C543="","",IF(E543&lt;&gt;"",E543,IF(IFERROR(VLOOKUP(C543,CodeTable,5,0)&amp;"","")="","All",VLOOKUP(C543,CodeTable,5,0)&amp;"")))</f>
        <v/>
      </c>
      <c r="I543" s="28">
        <f>IF(OR(A543="",C543=""),"",A543&amp;"|"&amp;B543&amp;"|"&amp;(COUNTIFS(FlDate,A543,FlShift,B543,FlCode,"&lt;&gt;",FlOrder,"&lt;"&amp;J543)+COUNTIFS(A$6:A543,A543,B$6:B543,B543,C$6:C543,"&lt;&gt;",J$6:J543,J543)))</f>
        <v/>
      </c>
      <c r="J543" s="28">
        <f>IF(C543="","",IF(D543="","zz","t"&amp;D543))</f>
        <v/>
      </c>
      <c r="K543" s="28">
        <f>IF(OR(A543="",C543=""),"",IF(IFERROR(INDEX(DayStat,A543-DATE(PlanYear,1,1)+1)&amp;"","")&lt;&gt;"",0,1))</f>
        <v/>
      </c>
      <c r="L543" s="28">
        <f>IF(K543="","",K543*IFERROR(VLOOKUP(C543,CodeTable,4,0),0))</f>
        <v/>
      </c>
    </row>
    <row r="544">
      <c r="A544" s="22" t="n"/>
      <c r="B544" s="23" t="n"/>
      <c r="C544" s="24" t="n"/>
      <c r="D544" s="25" t="n"/>
      <c r="E544" s="26" t="n"/>
      <c r="F544" s="26" t="n"/>
      <c r="G544" s="27">
        <f>IF(C544="","",IFERROR(VLOOKUP(C544,CodeTable,3,0),1))</f>
        <v/>
      </c>
      <c r="H544" s="27">
        <f>IF(C544="","",IF(E544&lt;&gt;"",E544,IF(IFERROR(VLOOKUP(C544,CodeTable,5,0)&amp;"","")="","All",VLOOKUP(C544,CodeTable,5,0)&amp;"")))</f>
        <v/>
      </c>
      <c r="I544" s="28">
        <f>IF(OR(A544="",C544=""),"",A544&amp;"|"&amp;B544&amp;"|"&amp;(COUNTIFS(FlDate,A544,FlShift,B544,FlCode,"&lt;&gt;",FlOrder,"&lt;"&amp;J544)+COUNTIFS(A$6:A544,A544,B$6:B544,B544,C$6:C544,"&lt;&gt;",J$6:J544,J544)))</f>
        <v/>
      </c>
      <c r="J544" s="28">
        <f>IF(C544="","",IF(D544="","zz","t"&amp;D544))</f>
        <v/>
      </c>
      <c r="K544" s="28">
        <f>IF(OR(A544="",C544=""),"",IF(IFERROR(INDEX(DayStat,A544-DATE(PlanYear,1,1)+1)&amp;"","")&lt;&gt;"",0,1))</f>
        <v/>
      </c>
      <c r="L544" s="28">
        <f>IF(K544="","",K544*IFERROR(VLOOKUP(C544,CodeTable,4,0),0))</f>
        <v/>
      </c>
    </row>
    <row r="545">
      <c r="A545" s="22" t="n"/>
      <c r="B545" s="23" t="n"/>
      <c r="C545" s="24" t="n"/>
      <c r="D545" s="25" t="n"/>
      <c r="E545" s="26" t="n"/>
      <c r="F545" s="26" t="n"/>
      <c r="G545" s="27">
        <f>IF(C545="","",IFERROR(VLOOKUP(C545,CodeTable,3,0),1))</f>
        <v/>
      </c>
      <c r="H545" s="27">
        <f>IF(C545="","",IF(E545&lt;&gt;"",E545,IF(IFERROR(VLOOKUP(C545,CodeTable,5,0)&amp;"","")="","All",VLOOKUP(C545,CodeTable,5,0)&amp;"")))</f>
        <v/>
      </c>
      <c r="I545" s="28">
        <f>IF(OR(A545="",C545=""),"",A545&amp;"|"&amp;B545&amp;"|"&amp;(COUNTIFS(FlDate,A545,FlShift,B545,FlCode,"&lt;&gt;",FlOrder,"&lt;"&amp;J545)+COUNTIFS(A$6:A545,A545,B$6:B545,B545,C$6:C545,"&lt;&gt;",J$6:J545,J545)))</f>
        <v/>
      </c>
      <c r="J545" s="28">
        <f>IF(C545="","",IF(D545="","zz","t"&amp;D545))</f>
        <v/>
      </c>
      <c r="K545" s="28">
        <f>IF(OR(A545="",C545=""),"",IF(IFERROR(INDEX(DayStat,A545-DATE(PlanYear,1,1)+1)&amp;"","")&lt;&gt;"",0,1))</f>
        <v/>
      </c>
      <c r="L545" s="28">
        <f>IF(K545="","",K545*IFERROR(VLOOKUP(C545,CodeTable,4,0),0))</f>
        <v/>
      </c>
    </row>
    <row r="546">
      <c r="A546" s="22" t="n"/>
      <c r="B546" s="23" t="n"/>
      <c r="C546" s="24" t="n"/>
      <c r="D546" s="25" t="n"/>
      <c r="E546" s="26" t="n"/>
      <c r="F546" s="26" t="n"/>
      <c r="G546" s="27">
        <f>IF(C546="","",IFERROR(VLOOKUP(C546,CodeTable,3,0),1))</f>
        <v/>
      </c>
      <c r="H546" s="27">
        <f>IF(C546="","",IF(E546&lt;&gt;"",E546,IF(IFERROR(VLOOKUP(C546,CodeTable,5,0)&amp;"","")="","All",VLOOKUP(C546,CodeTable,5,0)&amp;"")))</f>
        <v/>
      </c>
      <c r="I546" s="28">
        <f>IF(OR(A546="",C546=""),"",A546&amp;"|"&amp;B546&amp;"|"&amp;(COUNTIFS(FlDate,A546,FlShift,B546,FlCode,"&lt;&gt;",FlOrder,"&lt;"&amp;J546)+COUNTIFS(A$6:A546,A546,B$6:B546,B546,C$6:C546,"&lt;&gt;",J$6:J546,J546)))</f>
        <v/>
      </c>
      <c r="J546" s="28">
        <f>IF(C546="","",IF(D546="","zz","t"&amp;D546))</f>
        <v/>
      </c>
      <c r="K546" s="28">
        <f>IF(OR(A546="",C546=""),"",IF(IFERROR(INDEX(DayStat,A546-DATE(PlanYear,1,1)+1)&amp;"","")&lt;&gt;"",0,1))</f>
        <v/>
      </c>
      <c r="L546" s="28">
        <f>IF(K546="","",K546*IFERROR(VLOOKUP(C546,CodeTable,4,0),0))</f>
        <v/>
      </c>
    </row>
    <row r="547">
      <c r="A547" s="22" t="n"/>
      <c r="B547" s="23" t="n"/>
      <c r="C547" s="24" t="n"/>
      <c r="D547" s="25" t="n"/>
      <c r="E547" s="26" t="n"/>
      <c r="F547" s="26" t="n"/>
      <c r="G547" s="27">
        <f>IF(C547="","",IFERROR(VLOOKUP(C547,CodeTable,3,0),1))</f>
        <v/>
      </c>
      <c r="H547" s="27">
        <f>IF(C547="","",IF(E547&lt;&gt;"",E547,IF(IFERROR(VLOOKUP(C547,CodeTable,5,0)&amp;"","")="","All",VLOOKUP(C547,CodeTable,5,0)&amp;"")))</f>
        <v/>
      </c>
      <c r="I547" s="28">
        <f>IF(OR(A547="",C547=""),"",A547&amp;"|"&amp;B547&amp;"|"&amp;(COUNTIFS(FlDate,A547,FlShift,B547,FlCode,"&lt;&gt;",FlOrder,"&lt;"&amp;J547)+COUNTIFS(A$6:A547,A547,B$6:B547,B547,C$6:C547,"&lt;&gt;",J$6:J547,J547)))</f>
        <v/>
      </c>
      <c r="J547" s="28">
        <f>IF(C547="","",IF(D547="","zz","t"&amp;D547))</f>
        <v/>
      </c>
      <c r="K547" s="28">
        <f>IF(OR(A547="",C547=""),"",IF(IFERROR(INDEX(DayStat,A547-DATE(PlanYear,1,1)+1)&amp;"","")&lt;&gt;"",0,1))</f>
        <v/>
      </c>
      <c r="L547" s="28">
        <f>IF(K547="","",K547*IFERROR(VLOOKUP(C547,CodeTable,4,0),0))</f>
        <v/>
      </c>
    </row>
    <row r="548">
      <c r="A548" s="22" t="n"/>
      <c r="B548" s="23" t="n"/>
      <c r="C548" s="24" t="n"/>
      <c r="D548" s="25" t="n"/>
      <c r="E548" s="26" t="n"/>
      <c r="F548" s="26" t="n"/>
      <c r="G548" s="27">
        <f>IF(C548="","",IFERROR(VLOOKUP(C548,CodeTable,3,0),1))</f>
        <v/>
      </c>
      <c r="H548" s="27">
        <f>IF(C548="","",IF(E548&lt;&gt;"",E548,IF(IFERROR(VLOOKUP(C548,CodeTable,5,0)&amp;"","")="","All",VLOOKUP(C548,CodeTable,5,0)&amp;"")))</f>
        <v/>
      </c>
      <c r="I548" s="28">
        <f>IF(OR(A548="",C548=""),"",A548&amp;"|"&amp;B548&amp;"|"&amp;(COUNTIFS(FlDate,A548,FlShift,B548,FlCode,"&lt;&gt;",FlOrder,"&lt;"&amp;J548)+COUNTIFS(A$6:A548,A548,B$6:B548,B548,C$6:C548,"&lt;&gt;",J$6:J548,J548)))</f>
        <v/>
      </c>
      <c r="J548" s="28">
        <f>IF(C548="","",IF(D548="","zz","t"&amp;D548))</f>
        <v/>
      </c>
      <c r="K548" s="28">
        <f>IF(OR(A548="",C548=""),"",IF(IFERROR(INDEX(DayStat,A548-DATE(PlanYear,1,1)+1)&amp;"","")&lt;&gt;"",0,1))</f>
        <v/>
      </c>
      <c r="L548" s="28">
        <f>IF(K548="","",K548*IFERROR(VLOOKUP(C548,CodeTable,4,0),0))</f>
        <v/>
      </c>
    </row>
    <row r="549">
      <c r="A549" s="22" t="n"/>
      <c r="B549" s="23" t="n"/>
      <c r="C549" s="24" t="n"/>
      <c r="D549" s="25" t="n"/>
      <c r="E549" s="26" t="n"/>
      <c r="F549" s="26" t="n"/>
      <c r="G549" s="27">
        <f>IF(C549="","",IFERROR(VLOOKUP(C549,CodeTable,3,0),1))</f>
        <v/>
      </c>
      <c r="H549" s="27">
        <f>IF(C549="","",IF(E549&lt;&gt;"",E549,IF(IFERROR(VLOOKUP(C549,CodeTable,5,0)&amp;"","")="","All",VLOOKUP(C549,CodeTable,5,0)&amp;"")))</f>
        <v/>
      </c>
      <c r="I549" s="28">
        <f>IF(OR(A549="",C549=""),"",A549&amp;"|"&amp;B549&amp;"|"&amp;(COUNTIFS(FlDate,A549,FlShift,B549,FlCode,"&lt;&gt;",FlOrder,"&lt;"&amp;J549)+COUNTIFS(A$6:A549,A549,B$6:B549,B549,C$6:C549,"&lt;&gt;",J$6:J549,J549)))</f>
        <v/>
      </c>
      <c r="J549" s="28">
        <f>IF(C549="","",IF(D549="","zz","t"&amp;D549))</f>
        <v/>
      </c>
      <c r="K549" s="28">
        <f>IF(OR(A549="",C549=""),"",IF(IFERROR(INDEX(DayStat,A549-DATE(PlanYear,1,1)+1)&amp;"","")&lt;&gt;"",0,1))</f>
        <v/>
      </c>
      <c r="L549" s="28">
        <f>IF(K549="","",K549*IFERROR(VLOOKUP(C549,CodeTable,4,0),0))</f>
        <v/>
      </c>
    </row>
    <row r="550">
      <c r="A550" s="22" t="n"/>
      <c r="B550" s="23" t="n"/>
      <c r="C550" s="24" t="n"/>
      <c r="D550" s="25" t="n"/>
      <c r="E550" s="26" t="n"/>
      <c r="F550" s="26" t="n"/>
      <c r="G550" s="27">
        <f>IF(C550="","",IFERROR(VLOOKUP(C550,CodeTable,3,0),1))</f>
        <v/>
      </c>
      <c r="H550" s="27">
        <f>IF(C550="","",IF(E550&lt;&gt;"",E550,IF(IFERROR(VLOOKUP(C550,CodeTable,5,0)&amp;"","")="","All",VLOOKUP(C550,CodeTable,5,0)&amp;"")))</f>
        <v/>
      </c>
      <c r="I550" s="28">
        <f>IF(OR(A550="",C550=""),"",A550&amp;"|"&amp;B550&amp;"|"&amp;(COUNTIFS(FlDate,A550,FlShift,B550,FlCode,"&lt;&gt;",FlOrder,"&lt;"&amp;J550)+COUNTIFS(A$6:A550,A550,B$6:B550,B550,C$6:C550,"&lt;&gt;",J$6:J550,J550)))</f>
        <v/>
      </c>
      <c r="J550" s="28">
        <f>IF(C550="","",IF(D550="","zz","t"&amp;D550))</f>
        <v/>
      </c>
      <c r="K550" s="28">
        <f>IF(OR(A550="",C550=""),"",IF(IFERROR(INDEX(DayStat,A550-DATE(PlanYear,1,1)+1)&amp;"","")&lt;&gt;"",0,1))</f>
        <v/>
      </c>
      <c r="L550" s="28">
        <f>IF(K550="","",K550*IFERROR(VLOOKUP(C550,CodeTable,4,0),0))</f>
        <v/>
      </c>
    </row>
    <row r="551">
      <c r="A551" s="22" t="n"/>
      <c r="B551" s="23" t="n"/>
      <c r="C551" s="24" t="n"/>
      <c r="D551" s="25" t="n"/>
      <c r="E551" s="26" t="n"/>
      <c r="F551" s="26" t="n"/>
      <c r="G551" s="27">
        <f>IF(C551="","",IFERROR(VLOOKUP(C551,CodeTable,3,0),1))</f>
        <v/>
      </c>
      <c r="H551" s="27">
        <f>IF(C551="","",IF(E551&lt;&gt;"",E551,IF(IFERROR(VLOOKUP(C551,CodeTable,5,0)&amp;"","")="","All",VLOOKUP(C551,CodeTable,5,0)&amp;"")))</f>
        <v/>
      </c>
      <c r="I551" s="28">
        <f>IF(OR(A551="",C551=""),"",A551&amp;"|"&amp;B551&amp;"|"&amp;(COUNTIFS(FlDate,A551,FlShift,B551,FlCode,"&lt;&gt;",FlOrder,"&lt;"&amp;J551)+COUNTIFS(A$6:A551,A551,B$6:B551,B551,C$6:C551,"&lt;&gt;",J$6:J551,J551)))</f>
        <v/>
      </c>
      <c r="J551" s="28">
        <f>IF(C551="","",IF(D551="","zz","t"&amp;D551))</f>
        <v/>
      </c>
      <c r="K551" s="28">
        <f>IF(OR(A551="",C551=""),"",IF(IFERROR(INDEX(DayStat,A551-DATE(PlanYear,1,1)+1)&amp;"","")&lt;&gt;"",0,1))</f>
        <v/>
      </c>
      <c r="L551" s="28">
        <f>IF(K551="","",K551*IFERROR(VLOOKUP(C551,CodeTable,4,0),0))</f>
        <v/>
      </c>
    </row>
    <row r="552">
      <c r="A552" s="22" t="n"/>
      <c r="B552" s="23" t="n"/>
      <c r="C552" s="24" t="n"/>
      <c r="D552" s="25" t="n"/>
      <c r="E552" s="26" t="n"/>
      <c r="F552" s="26" t="n"/>
      <c r="G552" s="27">
        <f>IF(C552="","",IFERROR(VLOOKUP(C552,CodeTable,3,0),1))</f>
        <v/>
      </c>
      <c r="H552" s="27">
        <f>IF(C552="","",IF(E552&lt;&gt;"",E552,IF(IFERROR(VLOOKUP(C552,CodeTable,5,0)&amp;"","")="","All",VLOOKUP(C552,CodeTable,5,0)&amp;"")))</f>
        <v/>
      </c>
      <c r="I552" s="28">
        <f>IF(OR(A552="",C552=""),"",A552&amp;"|"&amp;B552&amp;"|"&amp;(COUNTIFS(FlDate,A552,FlShift,B552,FlCode,"&lt;&gt;",FlOrder,"&lt;"&amp;J552)+COUNTIFS(A$6:A552,A552,B$6:B552,B552,C$6:C552,"&lt;&gt;",J$6:J552,J552)))</f>
        <v/>
      </c>
      <c r="J552" s="28">
        <f>IF(C552="","",IF(D552="","zz","t"&amp;D552))</f>
        <v/>
      </c>
      <c r="K552" s="28">
        <f>IF(OR(A552="",C552=""),"",IF(IFERROR(INDEX(DayStat,A552-DATE(PlanYear,1,1)+1)&amp;"","")&lt;&gt;"",0,1))</f>
        <v/>
      </c>
      <c r="L552" s="28">
        <f>IF(K552="","",K552*IFERROR(VLOOKUP(C552,CodeTable,4,0),0))</f>
        <v/>
      </c>
    </row>
    <row r="553">
      <c r="A553" s="22" t="n"/>
      <c r="B553" s="23" t="n"/>
      <c r="C553" s="24" t="n"/>
      <c r="D553" s="25" t="n"/>
      <c r="E553" s="26" t="n"/>
      <c r="F553" s="26" t="n"/>
      <c r="G553" s="27">
        <f>IF(C553="","",IFERROR(VLOOKUP(C553,CodeTable,3,0),1))</f>
        <v/>
      </c>
      <c r="H553" s="27">
        <f>IF(C553="","",IF(E553&lt;&gt;"",E553,IF(IFERROR(VLOOKUP(C553,CodeTable,5,0)&amp;"","")="","All",VLOOKUP(C553,CodeTable,5,0)&amp;"")))</f>
        <v/>
      </c>
      <c r="I553" s="28">
        <f>IF(OR(A553="",C553=""),"",A553&amp;"|"&amp;B553&amp;"|"&amp;(COUNTIFS(FlDate,A553,FlShift,B553,FlCode,"&lt;&gt;",FlOrder,"&lt;"&amp;J553)+COUNTIFS(A$6:A553,A553,B$6:B553,B553,C$6:C553,"&lt;&gt;",J$6:J553,J553)))</f>
        <v/>
      </c>
      <c r="J553" s="28">
        <f>IF(C553="","",IF(D553="","zz","t"&amp;D553))</f>
        <v/>
      </c>
      <c r="K553" s="28">
        <f>IF(OR(A553="",C553=""),"",IF(IFERROR(INDEX(DayStat,A553-DATE(PlanYear,1,1)+1)&amp;"","")&lt;&gt;"",0,1))</f>
        <v/>
      </c>
      <c r="L553" s="28">
        <f>IF(K553="","",K553*IFERROR(VLOOKUP(C553,CodeTable,4,0),0))</f>
        <v/>
      </c>
    </row>
    <row r="554">
      <c r="A554" s="22" t="n"/>
      <c r="B554" s="23" t="n"/>
      <c r="C554" s="24" t="n"/>
      <c r="D554" s="25" t="n"/>
      <c r="E554" s="26" t="n"/>
      <c r="F554" s="26" t="n"/>
      <c r="G554" s="27">
        <f>IF(C554="","",IFERROR(VLOOKUP(C554,CodeTable,3,0),1))</f>
        <v/>
      </c>
      <c r="H554" s="27">
        <f>IF(C554="","",IF(E554&lt;&gt;"",E554,IF(IFERROR(VLOOKUP(C554,CodeTable,5,0)&amp;"","")="","All",VLOOKUP(C554,CodeTable,5,0)&amp;"")))</f>
        <v/>
      </c>
      <c r="I554" s="28">
        <f>IF(OR(A554="",C554=""),"",A554&amp;"|"&amp;B554&amp;"|"&amp;(COUNTIFS(FlDate,A554,FlShift,B554,FlCode,"&lt;&gt;",FlOrder,"&lt;"&amp;J554)+COUNTIFS(A$6:A554,A554,B$6:B554,B554,C$6:C554,"&lt;&gt;",J$6:J554,J554)))</f>
        <v/>
      </c>
      <c r="J554" s="28">
        <f>IF(C554="","",IF(D554="","zz","t"&amp;D554))</f>
        <v/>
      </c>
      <c r="K554" s="28">
        <f>IF(OR(A554="",C554=""),"",IF(IFERROR(INDEX(DayStat,A554-DATE(PlanYear,1,1)+1)&amp;"","")&lt;&gt;"",0,1))</f>
        <v/>
      </c>
      <c r="L554" s="28">
        <f>IF(K554="","",K554*IFERROR(VLOOKUP(C554,CodeTable,4,0),0))</f>
        <v/>
      </c>
    </row>
    <row r="555">
      <c r="A555" s="22" t="n"/>
      <c r="B555" s="23" t="n"/>
      <c r="C555" s="24" t="n"/>
      <c r="D555" s="25" t="n"/>
      <c r="E555" s="26" t="n"/>
      <c r="F555" s="26" t="n"/>
      <c r="G555" s="27">
        <f>IF(C555="","",IFERROR(VLOOKUP(C555,CodeTable,3,0),1))</f>
        <v/>
      </c>
      <c r="H555" s="27">
        <f>IF(C555="","",IF(E555&lt;&gt;"",E555,IF(IFERROR(VLOOKUP(C555,CodeTable,5,0)&amp;"","")="","All",VLOOKUP(C555,CodeTable,5,0)&amp;"")))</f>
        <v/>
      </c>
      <c r="I555" s="28">
        <f>IF(OR(A555="",C555=""),"",A555&amp;"|"&amp;B555&amp;"|"&amp;(COUNTIFS(FlDate,A555,FlShift,B555,FlCode,"&lt;&gt;",FlOrder,"&lt;"&amp;J555)+COUNTIFS(A$6:A555,A555,B$6:B555,B555,C$6:C555,"&lt;&gt;",J$6:J555,J555)))</f>
        <v/>
      </c>
      <c r="J555" s="28">
        <f>IF(C555="","",IF(D555="","zz","t"&amp;D555))</f>
        <v/>
      </c>
      <c r="K555" s="28">
        <f>IF(OR(A555="",C555=""),"",IF(IFERROR(INDEX(DayStat,A555-DATE(PlanYear,1,1)+1)&amp;"","")&lt;&gt;"",0,1))</f>
        <v/>
      </c>
      <c r="L555" s="28">
        <f>IF(K555="","",K555*IFERROR(VLOOKUP(C555,CodeTable,4,0),0))</f>
        <v/>
      </c>
    </row>
    <row r="556">
      <c r="A556" s="22" t="n"/>
      <c r="B556" s="23" t="n"/>
      <c r="C556" s="24" t="n"/>
      <c r="D556" s="25" t="n"/>
      <c r="E556" s="26" t="n"/>
      <c r="F556" s="26" t="n"/>
      <c r="G556" s="27">
        <f>IF(C556="","",IFERROR(VLOOKUP(C556,CodeTable,3,0),1))</f>
        <v/>
      </c>
      <c r="H556" s="27">
        <f>IF(C556="","",IF(E556&lt;&gt;"",E556,IF(IFERROR(VLOOKUP(C556,CodeTable,5,0)&amp;"","")="","All",VLOOKUP(C556,CodeTable,5,0)&amp;"")))</f>
        <v/>
      </c>
      <c r="I556" s="28">
        <f>IF(OR(A556="",C556=""),"",A556&amp;"|"&amp;B556&amp;"|"&amp;(COUNTIFS(FlDate,A556,FlShift,B556,FlCode,"&lt;&gt;",FlOrder,"&lt;"&amp;J556)+COUNTIFS(A$6:A556,A556,B$6:B556,B556,C$6:C556,"&lt;&gt;",J$6:J556,J556)))</f>
        <v/>
      </c>
      <c r="J556" s="28">
        <f>IF(C556="","",IF(D556="","zz","t"&amp;D556))</f>
        <v/>
      </c>
      <c r="K556" s="28">
        <f>IF(OR(A556="",C556=""),"",IF(IFERROR(INDEX(DayStat,A556-DATE(PlanYear,1,1)+1)&amp;"","")&lt;&gt;"",0,1))</f>
        <v/>
      </c>
      <c r="L556" s="28">
        <f>IF(K556="","",K556*IFERROR(VLOOKUP(C556,CodeTable,4,0),0))</f>
        <v/>
      </c>
    </row>
    <row r="557">
      <c r="A557" s="22" t="n"/>
      <c r="B557" s="23" t="n"/>
      <c r="C557" s="24" t="n"/>
      <c r="D557" s="25" t="n"/>
      <c r="E557" s="26" t="n"/>
      <c r="F557" s="26" t="n"/>
      <c r="G557" s="27">
        <f>IF(C557="","",IFERROR(VLOOKUP(C557,CodeTable,3,0),1))</f>
        <v/>
      </c>
      <c r="H557" s="27">
        <f>IF(C557="","",IF(E557&lt;&gt;"",E557,IF(IFERROR(VLOOKUP(C557,CodeTable,5,0)&amp;"","")="","All",VLOOKUP(C557,CodeTable,5,0)&amp;"")))</f>
        <v/>
      </c>
      <c r="I557" s="28">
        <f>IF(OR(A557="",C557=""),"",A557&amp;"|"&amp;B557&amp;"|"&amp;(COUNTIFS(FlDate,A557,FlShift,B557,FlCode,"&lt;&gt;",FlOrder,"&lt;"&amp;J557)+COUNTIFS(A$6:A557,A557,B$6:B557,B557,C$6:C557,"&lt;&gt;",J$6:J557,J557)))</f>
        <v/>
      </c>
      <c r="J557" s="28">
        <f>IF(C557="","",IF(D557="","zz","t"&amp;D557))</f>
        <v/>
      </c>
      <c r="K557" s="28">
        <f>IF(OR(A557="",C557=""),"",IF(IFERROR(INDEX(DayStat,A557-DATE(PlanYear,1,1)+1)&amp;"","")&lt;&gt;"",0,1))</f>
        <v/>
      </c>
      <c r="L557" s="28">
        <f>IF(K557="","",K557*IFERROR(VLOOKUP(C557,CodeTable,4,0),0))</f>
        <v/>
      </c>
    </row>
    <row r="558">
      <c r="A558" s="22" t="n"/>
      <c r="B558" s="23" t="n"/>
      <c r="C558" s="24" t="n"/>
      <c r="D558" s="25" t="n"/>
      <c r="E558" s="26" t="n"/>
      <c r="F558" s="26" t="n"/>
      <c r="G558" s="27">
        <f>IF(C558="","",IFERROR(VLOOKUP(C558,CodeTable,3,0),1))</f>
        <v/>
      </c>
      <c r="H558" s="27">
        <f>IF(C558="","",IF(E558&lt;&gt;"",E558,IF(IFERROR(VLOOKUP(C558,CodeTable,5,0)&amp;"","")="","All",VLOOKUP(C558,CodeTable,5,0)&amp;"")))</f>
        <v/>
      </c>
      <c r="I558" s="28">
        <f>IF(OR(A558="",C558=""),"",A558&amp;"|"&amp;B558&amp;"|"&amp;(COUNTIFS(FlDate,A558,FlShift,B558,FlCode,"&lt;&gt;",FlOrder,"&lt;"&amp;J558)+COUNTIFS(A$6:A558,A558,B$6:B558,B558,C$6:C558,"&lt;&gt;",J$6:J558,J558)))</f>
        <v/>
      </c>
      <c r="J558" s="28">
        <f>IF(C558="","",IF(D558="","zz","t"&amp;D558))</f>
        <v/>
      </c>
      <c r="K558" s="28">
        <f>IF(OR(A558="",C558=""),"",IF(IFERROR(INDEX(DayStat,A558-DATE(PlanYear,1,1)+1)&amp;"","")&lt;&gt;"",0,1))</f>
        <v/>
      </c>
      <c r="L558" s="28">
        <f>IF(K558="","",K558*IFERROR(VLOOKUP(C558,CodeTable,4,0),0))</f>
        <v/>
      </c>
    </row>
    <row r="559">
      <c r="A559" s="22" t="n"/>
      <c r="B559" s="23" t="n"/>
      <c r="C559" s="24" t="n"/>
      <c r="D559" s="25" t="n"/>
      <c r="E559" s="26" t="n"/>
      <c r="F559" s="26" t="n"/>
      <c r="G559" s="27">
        <f>IF(C559="","",IFERROR(VLOOKUP(C559,CodeTable,3,0),1))</f>
        <v/>
      </c>
      <c r="H559" s="27">
        <f>IF(C559="","",IF(E559&lt;&gt;"",E559,IF(IFERROR(VLOOKUP(C559,CodeTable,5,0)&amp;"","")="","All",VLOOKUP(C559,CodeTable,5,0)&amp;"")))</f>
        <v/>
      </c>
      <c r="I559" s="28">
        <f>IF(OR(A559="",C559=""),"",A559&amp;"|"&amp;B559&amp;"|"&amp;(COUNTIFS(FlDate,A559,FlShift,B559,FlCode,"&lt;&gt;",FlOrder,"&lt;"&amp;J559)+COUNTIFS(A$6:A559,A559,B$6:B559,B559,C$6:C559,"&lt;&gt;",J$6:J559,J559)))</f>
        <v/>
      </c>
      <c r="J559" s="28">
        <f>IF(C559="","",IF(D559="","zz","t"&amp;D559))</f>
        <v/>
      </c>
      <c r="K559" s="28">
        <f>IF(OR(A559="",C559=""),"",IF(IFERROR(INDEX(DayStat,A559-DATE(PlanYear,1,1)+1)&amp;"","")&lt;&gt;"",0,1))</f>
        <v/>
      </c>
      <c r="L559" s="28">
        <f>IF(K559="","",K559*IFERROR(VLOOKUP(C559,CodeTable,4,0),0))</f>
        <v/>
      </c>
    </row>
    <row r="560">
      <c r="A560" s="22" t="n"/>
      <c r="B560" s="23" t="n"/>
      <c r="C560" s="24" t="n"/>
      <c r="D560" s="25" t="n"/>
      <c r="E560" s="26" t="n"/>
      <c r="F560" s="26" t="n"/>
      <c r="G560" s="27">
        <f>IF(C560="","",IFERROR(VLOOKUP(C560,CodeTable,3,0),1))</f>
        <v/>
      </c>
      <c r="H560" s="27">
        <f>IF(C560="","",IF(E560&lt;&gt;"",E560,IF(IFERROR(VLOOKUP(C560,CodeTable,5,0)&amp;"","")="","All",VLOOKUP(C560,CodeTable,5,0)&amp;"")))</f>
        <v/>
      </c>
      <c r="I560" s="28">
        <f>IF(OR(A560="",C560=""),"",A560&amp;"|"&amp;B560&amp;"|"&amp;(COUNTIFS(FlDate,A560,FlShift,B560,FlCode,"&lt;&gt;",FlOrder,"&lt;"&amp;J560)+COUNTIFS(A$6:A560,A560,B$6:B560,B560,C$6:C560,"&lt;&gt;",J$6:J560,J560)))</f>
        <v/>
      </c>
      <c r="J560" s="28">
        <f>IF(C560="","",IF(D560="","zz","t"&amp;D560))</f>
        <v/>
      </c>
      <c r="K560" s="28">
        <f>IF(OR(A560="",C560=""),"",IF(IFERROR(INDEX(DayStat,A560-DATE(PlanYear,1,1)+1)&amp;"","")&lt;&gt;"",0,1))</f>
        <v/>
      </c>
      <c r="L560" s="28">
        <f>IF(K560="","",K560*IFERROR(VLOOKUP(C560,CodeTable,4,0),0))</f>
        <v/>
      </c>
    </row>
    <row r="561">
      <c r="A561" s="22" t="n"/>
      <c r="B561" s="23" t="n"/>
      <c r="C561" s="24" t="n"/>
      <c r="D561" s="25" t="n"/>
      <c r="E561" s="26" t="n"/>
      <c r="F561" s="26" t="n"/>
      <c r="G561" s="27">
        <f>IF(C561="","",IFERROR(VLOOKUP(C561,CodeTable,3,0),1))</f>
        <v/>
      </c>
      <c r="H561" s="27">
        <f>IF(C561="","",IF(E561&lt;&gt;"",E561,IF(IFERROR(VLOOKUP(C561,CodeTable,5,0)&amp;"","")="","All",VLOOKUP(C561,CodeTable,5,0)&amp;"")))</f>
        <v/>
      </c>
      <c r="I561" s="28">
        <f>IF(OR(A561="",C561=""),"",A561&amp;"|"&amp;B561&amp;"|"&amp;(COUNTIFS(FlDate,A561,FlShift,B561,FlCode,"&lt;&gt;",FlOrder,"&lt;"&amp;J561)+COUNTIFS(A$6:A561,A561,B$6:B561,B561,C$6:C561,"&lt;&gt;",J$6:J561,J561)))</f>
        <v/>
      </c>
      <c r="J561" s="28">
        <f>IF(C561="","",IF(D561="","zz","t"&amp;D561))</f>
        <v/>
      </c>
      <c r="K561" s="28">
        <f>IF(OR(A561="",C561=""),"",IF(IFERROR(INDEX(DayStat,A561-DATE(PlanYear,1,1)+1)&amp;"","")&lt;&gt;"",0,1))</f>
        <v/>
      </c>
      <c r="L561" s="28">
        <f>IF(K561="","",K561*IFERROR(VLOOKUP(C561,CodeTable,4,0),0))</f>
        <v/>
      </c>
    </row>
    <row r="562">
      <c r="A562" s="22" t="n"/>
      <c r="B562" s="23" t="n"/>
      <c r="C562" s="24" t="n"/>
      <c r="D562" s="25" t="n"/>
      <c r="E562" s="26" t="n"/>
      <c r="F562" s="26" t="n"/>
      <c r="G562" s="27">
        <f>IF(C562="","",IFERROR(VLOOKUP(C562,CodeTable,3,0),1))</f>
        <v/>
      </c>
      <c r="H562" s="27">
        <f>IF(C562="","",IF(E562&lt;&gt;"",E562,IF(IFERROR(VLOOKUP(C562,CodeTable,5,0)&amp;"","")="","All",VLOOKUP(C562,CodeTable,5,0)&amp;"")))</f>
        <v/>
      </c>
      <c r="I562" s="28">
        <f>IF(OR(A562="",C562=""),"",A562&amp;"|"&amp;B562&amp;"|"&amp;(COUNTIFS(FlDate,A562,FlShift,B562,FlCode,"&lt;&gt;",FlOrder,"&lt;"&amp;J562)+COUNTIFS(A$6:A562,A562,B$6:B562,B562,C$6:C562,"&lt;&gt;",J$6:J562,J562)))</f>
        <v/>
      </c>
      <c r="J562" s="28">
        <f>IF(C562="","",IF(D562="","zz","t"&amp;D562))</f>
        <v/>
      </c>
      <c r="K562" s="28">
        <f>IF(OR(A562="",C562=""),"",IF(IFERROR(INDEX(DayStat,A562-DATE(PlanYear,1,1)+1)&amp;"","")&lt;&gt;"",0,1))</f>
        <v/>
      </c>
      <c r="L562" s="28">
        <f>IF(K562="","",K562*IFERROR(VLOOKUP(C562,CodeTable,4,0),0))</f>
        <v/>
      </c>
    </row>
    <row r="563">
      <c r="A563" s="22" t="n"/>
      <c r="B563" s="23" t="n"/>
      <c r="C563" s="24" t="n"/>
      <c r="D563" s="25" t="n"/>
      <c r="E563" s="26" t="n"/>
      <c r="F563" s="26" t="n"/>
      <c r="G563" s="27">
        <f>IF(C563="","",IFERROR(VLOOKUP(C563,CodeTable,3,0),1))</f>
        <v/>
      </c>
      <c r="H563" s="27">
        <f>IF(C563="","",IF(E563&lt;&gt;"",E563,IF(IFERROR(VLOOKUP(C563,CodeTable,5,0)&amp;"","")="","All",VLOOKUP(C563,CodeTable,5,0)&amp;"")))</f>
        <v/>
      </c>
      <c r="I563" s="28">
        <f>IF(OR(A563="",C563=""),"",A563&amp;"|"&amp;B563&amp;"|"&amp;(COUNTIFS(FlDate,A563,FlShift,B563,FlCode,"&lt;&gt;",FlOrder,"&lt;"&amp;J563)+COUNTIFS(A$6:A563,A563,B$6:B563,B563,C$6:C563,"&lt;&gt;",J$6:J563,J563)))</f>
        <v/>
      </c>
      <c r="J563" s="28">
        <f>IF(C563="","",IF(D563="","zz","t"&amp;D563))</f>
        <v/>
      </c>
      <c r="K563" s="28">
        <f>IF(OR(A563="",C563=""),"",IF(IFERROR(INDEX(DayStat,A563-DATE(PlanYear,1,1)+1)&amp;"","")&lt;&gt;"",0,1))</f>
        <v/>
      </c>
      <c r="L563" s="28">
        <f>IF(K563="","",K563*IFERROR(VLOOKUP(C563,CodeTable,4,0),0))</f>
        <v/>
      </c>
    </row>
    <row r="564">
      <c r="A564" s="22" t="n"/>
      <c r="B564" s="23" t="n"/>
      <c r="C564" s="24" t="n"/>
      <c r="D564" s="25" t="n"/>
      <c r="E564" s="26" t="n"/>
      <c r="F564" s="26" t="n"/>
      <c r="G564" s="27">
        <f>IF(C564="","",IFERROR(VLOOKUP(C564,CodeTable,3,0),1))</f>
        <v/>
      </c>
      <c r="H564" s="27">
        <f>IF(C564="","",IF(E564&lt;&gt;"",E564,IF(IFERROR(VLOOKUP(C564,CodeTable,5,0)&amp;"","")="","All",VLOOKUP(C564,CodeTable,5,0)&amp;"")))</f>
        <v/>
      </c>
      <c r="I564" s="28">
        <f>IF(OR(A564="",C564=""),"",A564&amp;"|"&amp;B564&amp;"|"&amp;(COUNTIFS(FlDate,A564,FlShift,B564,FlCode,"&lt;&gt;",FlOrder,"&lt;"&amp;J564)+COUNTIFS(A$6:A564,A564,B$6:B564,B564,C$6:C564,"&lt;&gt;",J$6:J564,J564)))</f>
        <v/>
      </c>
      <c r="J564" s="28">
        <f>IF(C564="","",IF(D564="","zz","t"&amp;D564))</f>
        <v/>
      </c>
      <c r="K564" s="28">
        <f>IF(OR(A564="",C564=""),"",IF(IFERROR(INDEX(DayStat,A564-DATE(PlanYear,1,1)+1)&amp;"","")&lt;&gt;"",0,1))</f>
        <v/>
      </c>
      <c r="L564" s="28">
        <f>IF(K564="","",K564*IFERROR(VLOOKUP(C564,CodeTable,4,0),0))</f>
        <v/>
      </c>
    </row>
    <row r="565">
      <c r="A565" s="22" t="n"/>
      <c r="B565" s="23" t="n"/>
      <c r="C565" s="24" t="n"/>
      <c r="D565" s="25" t="n"/>
      <c r="E565" s="26" t="n"/>
      <c r="F565" s="26" t="n"/>
      <c r="G565" s="27">
        <f>IF(C565="","",IFERROR(VLOOKUP(C565,CodeTable,3,0),1))</f>
        <v/>
      </c>
      <c r="H565" s="27">
        <f>IF(C565="","",IF(E565&lt;&gt;"",E565,IF(IFERROR(VLOOKUP(C565,CodeTable,5,0)&amp;"","")="","All",VLOOKUP(C565,CodeTable,5,0)&amp;"")))</f>
        <v/>
      </c>
      <c r="I565" s="28">
        <f>IF(OR(A565="",C565=""),"",A565&amp;"|"&amp;B565&amp;"|"&amp;(COUNTIFS(FlDate,A565,FlShift,B565,FlCode,"&lt;&gt;",FlOrder,"&lt;"&amp;J565)+COUNTIFS(A$6:A565,A565,B$6:B565,B565,C$6:C565,"&lt;&gt;",J$6:J565,J565)))</f>
        <v/>
      </c>
      <c r="J565" s="28">
        <f>IF(C565="","",IF(D565="","zz","t"&amp;D565))</f>
        <v/>
      </c>
      <c r="K565" s="28">
        <f>IF(OR(A565="",C565=""),"",IF(IFERROR(INDEX(DayStat,A565-DATE(PlanYear,1,1)+1)&amp;"","")&lt;&gt;"",0,1))</f>
        <v/>
      </c>
      <c r="L565" s="28">
        <f>IF(K565="","",K565*IFERROR(VLOOKUP(C565,CodeTable,4,0),0))</f>
        <v/>
      </c>
    </row>
    <row r="566">
      <c r="A566" s="22" t="n"/>
      <c r="B566" s="23" t="n"/>
      <c r="C566" s="24" t="n"/>
      <c r="D566" s="25" t="n"/>
      <c r="E566" s="26" t="n"/>
      <c r="F566" s="26" t="n"/>
      <c r="G566" s="27">
        <f>IF(C566="","",IFERROR(VLOOKUP(C566,CodeTable,3,0),1))</f>
        <v/>
      </c>
      <c r="H566" s="27">
        <f>IF(C566="","",IF(E566&lt;&gt;"",E566,IF(IFERROR(VLOOKUP(C566,CodeTable,5,0)&amp;"","")="","All",VLOOKUP(C566,CodeTable,5,0)&amp;"")))</f>
        <v/>
      </c>
      <c r="I566" s="28">
        <f>IF(OR(A566="",C566=""),"",A566&amp;"|"&amp;B566&amp;"|"&amp;(COUNTIFS(FlDate,A566,FlShift,B566,FlCode,"&lt;&gt;",FlOrder,"&lt;"&amp;J566)+COUNTIFS(A$6:A566,A566,B$6:B566,B566,C$6:C566,"&lt;&gt;",J$6:J566,J566)))</f>
        <v/>
      </c>
      <c r="J566" s="28">
        <f>IF(C566="","",IF(D566="","zz","t"&amp;D566))</f>
        <v/>
      </c>
      <c r="K566" s="28">
        <f>IF(OR(A566="",C566=""),"",IF(IFERROR(INDEX(DayStat,A566-DATE(PlanYear,1,1)+1)&amp;"","")&lt;&gt;"",0,1))</f>
        <v/>
      </c>
      <c r="L566" s="28">
        <f>IF(K566="","",K566*IFERROR(VLOOKUP(C566,CodeTable,4,0),0))</f>
        <v/>
      </c>
    </row>
    <row r="567">
      <c r="A567" s="22" t="n"/>
      <c r="B567" s="23" t="n"/>
      <c r="C567" s="24" t="n"/>
      <c r="D567" s="25" t="n"/>
      <c r="E567" s="26" t="n"/>
      <c r="F567" s="26" t="n"/>
      <c r="G567" s="27">
        <f>IF(C567="","",IFERROR(VLOOKUP(C567,CodeTable,3,0),1))</f>
        <v/>
      </c>
      <c r="H567" s="27">
        <f>IF(C567="","",IF(E567&lt;&gt;"",E567,IF(IFERROR(VLOOKUP(C567,CodeTable,5,0)&amp;"","")="","All",VLOOKUP(C567,CodeTable,5,0)&amp;"")))</f>
        <v/>
      </c>
      <c r="I567" s="28">
        <f>IF(OR(A567="",C567=""),"",A567&amp;"|"&amp;B567&amp;"|"&amp;(COUNTIFS(FlDate,A567,FlShift,B567,FlCode,"&lt;&gt;",FlOrder,"&lt;"&amp;J567)+COUNTIFS(A$6:A567,A567,B$6:B567,B567,C$6:C567,"&lt;&gt;",J$6:J567,J567)))</f>
        <v/>
      </c>
      <c r="J567" s="28">
        <f>IF(C567="","",IF(D567="","zz","t"&amp;D567))</f>
        <v/>
      </c>
      <c r="K567" s="28">
        <f>IF(OR(A567="",C567=""),"",IF(IFERROR(INDEX(DayStat,A567-DATE(PlanYear,1,1)+1)&amp;"","")&lt;&gt;"",0,1))</f>
        <v/>
      </c>
      <c r="L567" s="28">
        <f>IF(K567="","",K567*IFERROR(VLOOKUP(C567,CodeTable,4,0),0))</f>
        <v/>
      </c>
    </row>
    <row r="568">
      <c r="A568" s="22" t="n"/>
      <c r="B568" s="23" t="n"/>
      <c r="C568" s="24" t="n"/>
      <c r="D568" s="25" t="n"/>
      <c r="E568" s="26" t="n"/>
      <c r="F568" s="26" t="n"/>
      <c r="G568" s="27">
        <f>IF(C568="","",IFERROR(VLOOKUP(C568,CodeTable,3,0),1))</f>
        <v/>
      </c>
      <c r="H568" s="27">
        <f>IF(C568="","",IF(E568&lt;&gt;"",E568,IF(IFERROR(VLOOKUP(C568,CodeTable,5,0)&amp;"","")="","All",VLOOKUP(C568,CodeTable,5,0)&amp;"")))</f>
        <v/>
      </c>
      <c r="I568" s="28">
        <f>IF(OR(A568="",C568=""),"",A568&amp;"|"&amp;B568&amp;"|"&amp;(COUNTIFS(FlDate,A568,FlShift,B568,FlCode,"&lt;&gt;",FlOrder,"&lt;"&amp;J568)+COUNTIFS(A$6:A568,A568,B$6:B568,B568,C$6:C568,"&lt;&gt;",J$6:J568,J568)))</f>
        <v/>
      </c>
      <c r="J568" s="28">
        <f>IF(C568="","",IF(D568="","zz","t"&amp;D568))</f>
        <v/>
      </c>
      <c r="K568" s="28">
        <f>IF(OR(A568="",C568=""),"",IF(IFERROR(INDEX(DayStat,A568-DATE(PlanYear,1,1)+1)&amp;"","")&lt;&gt;"",0,1))</f>
        <v/>
      </c>
      <c r="L568" s="28">
        <f>IF(K568="","",K568*IFERROR(VLOOKUP(C568,CodeTable,4,0),0))</f>
        <v/>
      </c>
    </row>
    <row r="569">
      <c r="A569" s="22" t="n"/>
      <c r="B569" s="23" t="n"/>
      <c r="C569" s="24" t="n"/>
      <c r="D569" s="25" t="n"/>
      <c r="E569" s="26" t="n"/>
      <c r="F569" s="26" t="n"/>
      <c r="G569" s="27">
        <f>IF(C569="","",IFERROR(VLOOKUP(C569,CodeTable,3,0),1))</f>
        <v/>
      </c>
      <c r="H569" s="27">
        <f>IF(C569="","",IF(E569&lt;&gt;"",E569,IF(IFERROR(VLOOKUP(C569,CodeTable,5,0)&amp;"","")="","All",VLOOKUP(C569,CodeTable,5,0)&amp;"")))</f>
        <v/>
      </c>
      <c r="I569" s="28">
        <f>IF(OR(A569="",C569=""),"",A569&amp;"|"&amp;B569&amp;"|"&amp;(COUNTIFS(FlDate,A569,FlShift,B569,FlCode,"&lt;&gt;",FlOrder,"&lt;"&amp;J569)+COUNTIFS(A$6:A569,A569,B$6:B569,B569,C$6:C569,"&lt;&gt;",J$6:J569,J569)))</f>
        <v/>
      </c>
      <c r="J569" s="28">
        <f>IF(C569="","",IF(D569="","zz","t"&amp;D569))</f>
        <v/>
      </c>
      <c r="K569" s="28">
        <f>IF(OR(A569="",C569=""),"",IF(IFERROR(INDEX(DayStat,A569-DATE(PlanYear,1,1)+1)&amp;"","")&lt;&gt;"",0,1))</f>
        <v/>
      </c>
      <c r="L569" s="28">
        <f>IF(K569="","",K569*IFERROR(VLOOKUP(C569,CodeTable,4,0),0))</f>
        <v/>
      </c>
    </row>
    <row r="570">
      <c r="A570" s="22" t="n"/>
      <c r="B570" s="23" t="n"/>
      <c r="C570" s="24" t="n"/>
      <c r="D570" s="25" t="n"/>
      <c r="E570" s="26" t="n"/>
      <c r="F570" s="26" t="n"/>
      <c r="G570" s="27">
        <f>IF(C570="","",IFERROR(VLOOKUP(C570,CodeTable,3,0),1))</f>
        <v/>
      </c>
      <c r="H570" s="27">
        <f>IF(C570="","",IF(E570&lt;&gt;"",E570,IF(IFERROR(VLOOKUP(C570,CodeTable,5,0)&amp;"","")="","All",VLOOKUP(C570,CodeTable,5,0)&amp;"")))</f>
        <v/>
      </c>
      <c r="I570" s="28">
        <f>IF(OR(A570="",C570=""),"",A570&amp;"|"&amp;B570&amp;"|"&amp;(COUNTIFS(FlDate,A570,FlShift,B570,FlCode,"&lt;&gt;",FlOrder,"&lt;"&amp;J570)+COUNTIFS(A$6:A570,A570,B$6:B570,B570,C$6:C570,"&lt;&gt;",J$6:J570,J570)))</f>
        <v/>
      </c>
      <c r="J570" s="28">
        <f>IF(C570="","",IF(D570="","zz","t"&amp;D570))</f>
        <v/>
      </c>
      <c r="K570" s="28">
        <f>IF(OR(A570="",C570=""),"",IF(IFERROR(INDEX(DayStat,A570-DATE(PlanYear,1,1)+1)&amp;"","")&lt;&gt;"",0,1))</f>
        <v/>
      </c>
      <c r="L570" s="28">
        <f>IF(K570="","",K570*IFERROR(VLOOKUP(C570,CodeTable,4,0),0))</f>
        <v/>
      </c>
    </row>
    <row r="571">
      <c r="A571" s="22" t="n"/>
      <c r="B571" s="23" t="n"/>
      <c r="C571" s="24" t="n"/>
      <c r="D571" s="25" t="n"/>
      <c r="E571" s="26" t="n"/>
      <c r="F571" s="26" t="n"/>
      <c r="G571" s="27">
        <f>IF(C571="","",IFERROR(VLOOKUP(C571,CodeTable,3,0),1))</f>
        <v/>
      </c>
      <c r="H571" s="27">
        <f>IF(C571="","",IF(E571&lt;&gt;"",E571,IF(IFERROR(VLOOKUP(C571,CodeTable,5,0)&amp;"","")="","All",VLOOKUP(C571,CodeTable,5,0)&amp;"")))</f>
        <v/>
      </c>
      <c r="I571" s="28">
        <f>IF(OR(A571="",C571=""),"",A571&amp;"|"&amp;B571&amp;"|"&amp;(COUNTIFS(FlDate,A571,FlShift,B571,FlCode,"&lt;&gt;",FlOrder,"&lt;"&amp;J571)+COUNTIFS(A$6:A571,A571,B$6:B571,B571,C$6:C571,"&lt;&gt;",J$6:J571,J571)))</f>
        <v/>
      </c>
      <c r="J571" s="28">
        <f>IF(C571="","",IF(D571="","zz","t"&amp;D571))</f>
        <v/>
      </c>
      <c r="K571" s="28">
        <f>IF(OR(A571="",C571=""),"",IF(IFERROR(INDEX(DayStat,A571-DATE(PlanYear,1,1)+1)&amp;"","")&lt;&gt;"",0,1))</f>
        <v/>
      </c>
      <c r="L571" s="28">
        <f>IF(K571="","",K571*IFERROR(VLOOKUP(C571,CodeTable,4,0),0))</f>
        <v/>
      </c>
    </row>
    <row r="572">
      <c r="A572" s="22" t="n"/>
      <c r="B572" s="23" t="n"/>
      <c r="C572" s="24" t="n"/>
      <c r="D572" s="25" t="n"/>
      <c r="E572" s="26" t="n"/>
      <c r="F572" s="26" t="n"/>
      <c r="G572" s="27">
        <f>IF(C572="","",IFERROR(VLOOKUP(C572,CodeTable,3,0),1))</f>
        <v/>
      </c>
      <c r="H572" s="27">
        <f>IF(C572="","",IF(E572&lt;&gt;"",E572,IF(IFERROR(VLOOKUP(C572,CodeTable,5,0)&amp;"","")="","All",VLOOKUP(C572,CodeTable,5,0)&amp;"")))</f>
        <v/>
      </c>
      <c r="I572" s="28">
        <f>IF(OR(A572="",C572=""),"",A572&amp;"|"&amp;B572&amp;"|"&amp;(COUNTIFS(FlDate,A572,FlShift,B572,FlCode,"&lt;&gt;",FlOrder,"&lt;"&amp;J572)+COUNTIFS(A$6:A572,A572,B$6:B572,B572,C$6:C572,"&lt;&gt;",J$6:J572,J572)))</f>
        <v/>
      </c>
      <c r="J572" s="28">
        <f>IF(C572="","",IF(D572="","zz","t"&amp;D572))</f>
        <v/>
      </c>
      <c r="K572" s="28">
        <f>IF(OR(A572="",C572=""),"",IF(IFERROR(INDEX(DayStat,A572-DATE(PlanYear,1,1)+1)&amp;"","")&lt;&gt;"",0,1))</f>
        <v/>
      </c>
      <c r="L572" s="28">
        <f>IF(K572="","",K572*IFERROR(VLOOKUP(C572,CodeTable,4,0),0))</f>
        <v/>
      </c>
    </row>
    <row r="573">
      <c r="A573" s="22" t="n"/>
      <c r="B573" s="23" t="n"/>
      <c r="C573" s="24" t="n"/>
      <c r="D573" s="25" t="n"/>
      <c r="E573" s="26" t="n"/>
      <c r="F573" s="26" t="n"/>
      <c r="G573" s="27">
        <f>IF(C573="","",IFERROR(VLOOKUP(C573,CodeTable,3,0),1))</f>
        <v/>
      </c>
      <c r="H573" s="27">
        <f>IF(C573="","",IF(E573&lt;&gt;"",E573,IF(IFERROR(VLOOKUP(C573,CodeTable,5,0)&amp;"","")="","All",VLOOKUP(C573,CodeTable,5,0)&amp;"")))</f>
        <v/>
      </c>
      <c r="I573" s="28">
        <f>IF(OR(A573="",C573=""),"",A573&amp;"|"&amp;B573&amp;"|"&amp;(COUNTIFS(FlDate,A573,FlShift,B573,FlCode,"&lt;&gt;",FlOrder,"&lt;"&amp;J573)+COUNTIFS(A$6:A573,A573,B$6:B573,B573,C$6:C573,"&lt;&gt;",J$6:J573,J573)))</f>
        <v/>
      </c>
      <c r="J573" s="28">
        <f>IF(C573="","",IF(D573="","zz","t"&amp;D573))</f>
        <v/>
      </c>
      <c r="K573" s="28">
        <f>IF(OR(A573="",C573=""),"",IF(IFERROR(INDEX(DayStat,A573-DATE(PlanYear,1,1)+1)&amp;"","")&lt;&gt;"",0,1))</f>
        <v/>
      </c>
      <c r="L573" s="28">
        <f>IF(K573="","",K573*IFERROR(VLOOKUP(C573,CodeTable,4,0),0))</f>
        <v/>
      </c>
    </row>
    <row r="574">
      <c r="A574" s="22" t="n"/>
      <c r="B574" s="23" t="n"/>
      <c r="C574" s="24" t="n"/>
      <c r="D574" s="25" t="n"/>
      <c r="E574" s="26" t="n"/>
      <c r="F574" s="26" t="n"/>
      <c r="G574" s="27">
        <f>IF(C574="","",IFERROR(VLOOKUP(C574,CodeTable,3,0),1))</f>
        <v/>
      </c>
      <c r="H574" s="27">
        <f>IF(C574="","",IF(E574&lt;&gt;"",E574,IF(IFERROR(VLOOKUP(C574,CodeTable,5,0)&amp;"","")="","All",VLOOKUP(C574,CodeTable,5,0)&amp;"")))</f>
        <v/>
      </c>
      <c r="I574" s="28">
        <f>IF(OR(A574="",C574=""),"",A574&amp;"|"&amp;B574&amp;"|"&amp;(COUNTIFS(FlDate,A574,FlShift,B574,FlCode,"&lt;&gt;",FlOrder,"&lt;"&amp;J574)+COUNTIFS(A$6:A574,A574,B$6:B574,B574,C$6:C574,"&lt;&gt;",J$6:J574,J574)))</f>
        <v/>
      </c>
      <c r="J574" s="28">
        <f>IF(C574="","",IF(D574="","zz","t"&amp;D574))</f>
        <v/>
      </c>
      <c r="K574" s="28">
        <f>IF(OR(A574="",C574=""),"",IF(IFERROR(INDEX(DayStat,A574-DATE(PlanYear,1,1)+1)&amp;"","")&lt;&gt;"",0,1))</f>
        <v/>
      </c>
      <c r="L574" s="28">
        <f>IF(K574="","",K574*IFERROR(VLOOKUP(C574,CodeTable,4,0),0))</f>
        <v/>
      </c>
    </row>
    <row r="575">
      <c r="A575" s="22" t="n"/>
      <c r="B575" s="23" t="n"/>
      <c r="C575" s="24" t="n"/>
      <c r="D575" s="25" t="n"/>
      <c r="E575" s="26" t="n"/>
      <c r="F575" s="26" t="n"/>
      <c r="G575" s="27">
        <f>IF(C575="","",IFERROR(VLOOKUP(C575,CodeTable,3,0),1))</f>
        <v/>
      </c>
      <c r="H575" s="27">
        <f>IF(C575="","",IF(E575&lt;&gt;"",E575,IF(IFERROR(VLOOKUP(C575,CodeTable,5,0)&amp;"","")="","All",VLOOKUP(C575,CodeTable,5,0)&amp;"")))</f>
        <v/>
      </c>
      <c r="I575" s="28">
        <f>IF(OR(A575="",C575=""),"",A575&amp;"|"&amp;B575&amp;"|"&amp;(COUNTIFS(FlDate,A575,FlShift,B575,FlCode,"&lt;&gt;",FlOrder,"&lt;"&amp;J575)+COUNTIFS(A$6:A575,A575,B$6:B575,B575,C$6:C575,"&lt;&gt;",J$6:J575,J575)))</f>
        <v/>
      </c>
      <c r="J575" s="28">
        <f>IF(C575="","",IF(D575="","zz","t"&amp;D575))</f>
        <v/>
      </c>
      <c r="K575" s="28">
        <f>IF(OR(A575="",C575=""),"",IF(IFERROR(INDEX(DayStat,A575-DATE(PlanYear,1,1)+1)&amp;"","")&lt;&gt;"",0,1))</f>
        <v/>
      </c>
      <c r="L575" s="28">
        <f>IF(K575="","",K575*IFERROR(VLOOKUP(C575,CodeTable,4,0),0))</f>
        <v/>
      </c>
    </row>
    <row r="576">
      <c r="A576" s="22" t="n"/>
      <c r="B576" s="23" t="n"/>
      <c r="C576" s="24" t="n"/>
      <c r="D576" s="25" t="n"/>
      <c r="E576" s="26" t="n"/>
      <c r="F576" s="26" t="n"/>
      <c r="G576" s="27">
        <f>IF(C576="","",IFERROR(VLOOKUP(C576,CodeTable,3,0),1))</f>
        <v/>
      </c>
      <c r="H576" s="27">
        <f>IF(C576="","",IF(E576&lt;&gt;"",E576,IF(IFERROR(VLOOKUP(C576,CodeTable,5,0)&amp;"","")="","All",VLOOKUP(C576,CodeTable,5,0)&amp;"")))</f>
        <v/>
      </c>
      <c r="I576" s="28">
        <f>IF(OR(A576="",C576=""),"",A576&amp;"|"&amp;B576&amp;"|"&amp;(COUNTIFS(FlDate,A576,FlShift,B576,FlCode,"&lt;&gt;",FlOrder,"&lt;"&amp;J576)+COUNTIFS(A$6:A576,A576,B$6:B576,B576,C$6:C576,"&lt;&gt;",J$6:J576,J576)))</f>
        <v/>
      </c>
      <c r="J576" s="28">
        <f>IF(C576="","",IF(D576="","zz","t"&amp;D576))</f>
        <v/>
      </c>
      <c r="K576" s="28">
        <f>IF(OR(A576="",C576=""),"",IF(IFERROR(INDEX(DayStat,A576-DATE(PlanYear,1,1)+1)&amp;"","")&lt;&gt;"",0,1))</f>
        <v/>
      </c>
      <c r="L576" s="28">
        <f>IF(K576="","",K576*IFERROR(VLOOKUP(C576,CodeTable,4,0),0))</f>
        <v/>
      </c>
    </row>
    <row r="577">
      <c r="A577" s="22" t="n"/>
      <c r="B577" s="23" t="n"/>
      <c r="C577" s="24" t="n"/>
      <c r="D577" s="25" t="n"/>
      <c r="E577" s="26" t="n"/>
      <c r="F577" s="26" t="n"/>
      <c r="G577" s="27">
        <f>IF(C577="","",IFERROR(VLOOKUP(C577,CodeTable,3,0),1))</f>
        <v/>
      </c>
      <c r="H577" s="27">
        <f>IF(C577="","",IF(E577&lt;&gt;"",E577,IF(IFERROR(VLOOKUP(C577,CodeTable,5,0)&amp;"","")="","All",VLOOKUP(C577,CodeTable,5,0)&amp;"")))</f>
        <v/>
      </c>
      <c r="I577" s="28">
        <f>IF(OR(A577="",C577=""),"",A577&amp;"|"&amp;B577&amp;"|"&amp;(COUNTIFS(FlDate,A577,FlShift,B577,FlCode,"&lt;&gt;",FlOrder,"&lt;"&amp;J577)+COUNTIFS(A$6:A577,A577,B$6:B577,B577,C$6:C577,"&lt;&gt;",J$6:J577,J577)))</f>
        <v/>
      </c>
      <c r="J577" s="28">
        <f>IF(C577="","",IF(D577="","zz","t"&amp;D577))</f>
        <v/>
      </c>
      <c r="K577" s="28">
        <f>IF(OR(A577="",C577=""),"",IF(IFERROR(INDEX(DayStat,A577-DATE(PlanYear,1,1)+1)&amp;"","")&lt;&gt;"",0,1))</f>
        <v/>
      </c>
      <c r="L577" s="28">
        <f>IF(K577="","",K577*IFERROR(VLOOKUP(C577,CodeTable,4,0),0))</f>
        <v/>
      </c>
    </row>
    <row r="578">
      <c r="A578" s="22" t="n"/>
      <c r="B578" s="23" t="n"/>
      <c r="C578" s="24" t="n"/>
      <c r="D578" s="25" t="n"/>
      <c r="E578" s="26" t="n"/>
      <c r="F578" s="26" t="n"/>
      <c r="G578" s="27">
        <f>IF(C578="","",IFERROR(VLOOKUP(C578,CodeTable,3,0),1))</f>
        <v/>
      </c>
      <c r="H578" s="27">
        <f>IF(C578="","",IF(E578&lt;&gt;"",E578,IF(IFERROR(VLOOKUP(C578,CodeTable,5,0)&amp;"","")="","All",VLOOKUP(C578,CodeTable,5,0)&amp;"")))</f>
        <v/>
      </c>
      <c r="I578" s="28">
        <f>IF(OR(A578="",C578=""),"",A578&amp;"|"&amp;B578&amp;"|"&amp;(COUNTIFS(FlDate,A578,FlShift,B578,FlCode,"&lt;&gt;",FlOrder,"&lt;"&amp;J578)+COUNTIFS(A$6:A578,A578,B$6:B578,B578,C$6:C578,"&lt;&gt;",J$6:J578,J578)))</f>
        <v/>
      </c>
      <c r="J578" s="28">
        <f>IF(C578="","",IF(D578="","zz","t"&amp;D578))</f>
        <v/>
      </c>
      <c r="K578" s="28">
        <f>IF(OR(A578="",C578=""),"",IF(IFERROR(INDEX(DayStat,A578-DATE(PlanYear,1,1)+1)&amp;"","")&lt;&gt;"",0,1))</f>
        <v/>
      </c>
      <c r="L578" s="28">
        <f>IF(K578="","",K578*IFERROR(VLOOKUP(C578,CodeTable,4,0),0))</f>
        <v/>
      </c>
    </row>
    <row r="579">
      <c r="A579" s="22" t="n"/>
      <c r="B579" s="23" t="n"/>
      <c r="C579" s="24" t="n"/>
      <c r="D579" s="25" t="n"/>
      <c r="E579" s="26" t="n"/>
      <c r="F579" s="26" t="n"/>
      <c r="G579" s="27">
        <f>IF(C579="","",IFERROR(VLOOKUP(C579,CodeTable,3,0),1))</f>
        <v/>
      </c>
      <c r="H579" s="27">
        <f>IF(C579="","",IF(E579&lt;&gt;"",E579,IF(IFERROR(VLOOKUP(C579,CodeTable,5,0)&amp;"","")="","All",VLOOKUP(C579,CodeTable,5,0)&amp;"")))</f>
        <v/>
      </c>
      <c r="I579" s="28">
        <f>IF(OR(A579="",C579=""),"",A579&amp;"|"&amp;B579&amp;"|"&amp;(COUNTIFS(FlDate,A579,FlShift,B579,FlCode,"&lt;&gt;",FlOrder,"&lt;"&amp;J579)+COUNTIFS(A$6:A579,A579,B$6:B579,B579,C$6:C579,"&lt;&gt;",J$6:J579,J579)))</f>
        <v/>
      </c>
      <c r="J579" s="28">
        <f>IF(C579="","",IF(D579="","zz","t"&amp;D579))</f>
        <v/>
      </c>
      <c r="K579" s="28">
        <f>IF(OR(A579="",C579=""),"",IF(IFERROR(INDEX(DayStat,A579-DATE(PlanYear,1,1)+1)&amp;"","")&lt;&gt;"",0,1))</f>
        <v/>
      </c>
      <c r="L579" s="28">
        <f>IF(K579="","",K579*IFERROR(VLOOKUP(C579,CodeTable,4,0),0))</f>
        <v/>
      </c>
    </row>
    <row r="580">
      <c r="A580" s="22" t="n"/>
      <c r="B580" s="23" t="n"/>
      <c r="C580" s="24" t="n"/>
      <c r="D580" s="25" t="n"/>
      <c r="E580" s="26" t="n"/>
      <c r="F580" s="26" t="n"/>
      <c r="G580" s="27">
        <f>IF(C580="","",IFERROR(VLOOKUP(C580,CodeTable,3,0),1))</f>
        <v/>
      </c>
      <c r="H580" s="27">
        <f>IF(C580="","",IF(E580&lt;&gt;"",E580,IF(IFERROR(VLOOKUP(C580,CodeTable,5,0)&amp;"","")="","All",VLOOKUP(C580,CodeTable,5,0)&amp;"")))</f>
        <v/>
      </c>
      <c r="I580" s="28">
        <f>IF(OR(A580="",C580=""),"",A580&amp;"|"&amp;B580&amp;"|"&amp;(COUNTIFS(FlDate,A580,FlShift,B580,FlCode,"&lt;&gt;",FlOrder,"&lt;"&amp;J580)+COUNTIFS(A$6:A580,A580,B$6:B580,B580,C$6:C580,"&lt;&gt;",J$6:J580,J580)))</f>
        <v/>
      </c>
      <c r="J580" s="28">
        <f>IF(C580="","",IF(D580="","zz","t"&amp;D580))</f>
        <v/>
      </c>
      <c r="K580" s="28">
        <f>IF(OR(A580="",C580=""),"",IF(IFERROR(INDEX(DayStat,A580-DATE(PlanYear,1,1)+1)&amp;"","")&lt;&gt;"",0,1))</f>
        <v/>
      </c>
      <c r="L580" s="28">
        <f>IF(K580="","",K580*IFERROR(VLOOKUP(C580,CodeTable,4,0),0))</f>
        <v/>
      </c>
    </row>
    <row r="581">
      <c r="A581" s="22" t="n"/>
      <c r="B581" s="23" t="n"/>
      <c r="C581" s="24" t="n"/>
      <c r="D581" s="25" t="n"/>
      <c r="E581" s="26" t="n"/>
      <c r="F581" s="26" t="n"/>
      <c r="G581" s="27">
        <f>IF(C581="","",IFERROR(VLOOKUP(C581,CodeTable,3,0),1))</f>
        <v/>
      </c>
      <c r="H581" s="27">
        <f>IF(C581="","",IF(E581&lt;&gt;"",E581,IF(IFERROR(VLOOKUP(C581,CodeTable,5,0)&amp;"","")="","All",VLOOKUP(C581,CodeTable,5,0)&amp;"")))</f>
        <v/>
      </c>
      <c r="I581" s="28">
        <f>IF(OR(A581="",C581=""),"",A581&amp;"|"&amp;B581&amp;"|"&amp;(COUNTIFS(FlDate,A581,FlShift,B581,FlCode,"&lt;&gt;",FlOrder,"&lt;"&amp;J581)+COUNTIFS(A$6:A581,A581,B$6:B581,B581,C$6:C581,"&lt;&gt;",J$6:J581,J581)))</f>
        <v/>
      </c>
      <c r="J581" s="28">
        <f>IF(C581="","",IF(D581="","zz","t"&amp;D581))</f>
        <v/>
      </c>
      <c r="K581" s="28">
        <f>IF(OR(A581="",C581=""),"",IF(IFERROR(INDEX(DayStat,A581-DATE(PlanYear,1,1)+1)&amp;"","")&lt;&gt;"",0,1))</f>
        <v/>
      </c>
      <c r="L581" s="28">
        <f>IF(K581="","",K581*IFERROR(VLOOKUP(C581,CodeTable,4,0),0))</f>
        <v/>
      </c>
    </row>
    <row r="582">
      <c r="A582" s="22" t="n"/>
      <c r="B582" s="23" t="n"/>
      <c r="C582" s="24" t="n"/>
      <c r="D582" s="25" t="n"/>
      <c r="E582" s="26" t="n"/>
      <c r="F582" s="26" t="n"/>
      <c r="G582" s="27">
        <f>IF(C582="","",IFERROR(VLOOKUP(C582,CodeTable,3,0),1))</f>
        <v/>
      </c>
      <c r="H582" s="27">
        <f>IF(C582="","",IF(E582&lt;&gt;"",E582,IF(IFERROR(VLOOKUP(C582,CodeTable,5,0)&amp;"","")="","All",VLOOKUP(C582,CodeTable,5,0)&amp;"")))</f>
        <v/>
      </c>
      <c r="I582" s="28">
        <f>IF(OR(A582="",C582=""),"",A582&amp;"|"&amp;B582&amp;"|"&amp;(COUNTIFS(FlDate,A582,FlShift,B582,FlCode,"&lt;&gt;",FlOrder,"&lt;"&amp;J582)+COUNTIFS(A$6:A582,A582,B$6:B582,B582,C$6:C582,"&lt;&gt;",J$6:J582,J582)))</f>
        <v/>
      </c>
      <c r="J582" s="28">
        <f>IF(C582="","",IF(D582="","zz","t"&amp;D582))</f>
        <v/>
      </c>
      <c r="K582" s="28">
        <f>IF(OR(A582="",C582=""),"",IF(IFERROR(INDEX(DayStat,A582-DATE(PlanYear,1,1)+1)&amp;"","")&lt;&gt;"",0,1))</f>
        <v/>
      </c>
      <c r="L582" s="28">
        <f>IF(K582="","",K582*IFERROR(VLOOKUP(C582,CodeTable,4,0),0))</f>
        <v/>
      </c>
    </row>
    <row r="583">
      <c r="A583" s="22" t="n"/>
      <c r="B583" s="23" t="n"/>
      <c r="C583" s="24" t="n"/>
      <c r="D583" s="25" t="n"/>
      <c r="E583" s="26" t="n"/>
      <c r="F583" s="26" t="n"/>
      <c r="G583" s="27">
        <f>IF(C583="","",IFERROR(VLOOKUP(C583,CodeTable,3,0),1))</f>
        <v/>
      </c>
      <c r="H583" s="27">
        <f>IF(C583="","",IF(E583&lt;&gt;"",E583,IF(IFERROR(VLOOKUP(C583,CodeTable,5,0)&amp;"","")="","All",VLOOKUP(C583,CodeTable,5,0)&amp;"")))</f>
        <v/>
      </c>
      <c r="I583" s="28">
        <f>IF(OR(A583="",C583=""),"",A583&amp;"|"&amp;B583&amp;"|"&amp;(COUNTIFS(FlDate,A583,FlShift,B583,FlCode,"&lt;&gt;",FlOrder,"&lt;"&amp;J583)+COUNTIFS(A$6:A583,A583,B$6:B583,B583,C$6:C583,"&lt;&gt;",J$6:J583,J583)))</f>
        <v/>
      </c>
      <c r="J583" s="28">
        <f>IF(C583="","",IF(D583="","zz","t"&amp;D583))</f>
        <v/>
      </c>
      <c r="K583" s="28">
        <f>IF(OR(A583="",C583=""),"",IF(IFERROR(INDEX(DayStat,A583-DATE(PlanYear,1,1)+1)&amp;"","")&lt;&gt;"",0,1))</f>
        <v/>
      </c>
      <c r="L583" s="28">
        <f>IF(K583="","",K583*IFERROR(VLOOKUP(C583,CodeTable,4,0),0))</f>
        <v/>
      </c>
    </row>
    <row r="584">
      <c r="A584" s="22" t="n"/>
      <c r="B584" s="23" t="n"/>
      <c r="C584" s="24" t="n"/>
      <c r="D584" s="25" t="n"/>
      <c r="E584" s="26" t="n"/>
      <c r="F584" s="26" t="n"/>
      <c r="G584" s="27">
        <f>IF(C584="","",IFERROR(VLOOKUP(C584,CodeTable,3,0),1))</f>
        <v/>
      </c>
      <c r="H584" s="27">
        <f>IF(C584="","",IF(E584&lt;&gt;"",E584,IF(IFERROR(VLOOKUP(C584,CodeTable,5,0)&amp;"","")="","All",VLOOKUP(C584,CodeTable,5,0)&amp;"")))</f>
        <v/>
      </c>
      <c r="I584" s="28">
        <f>IF(OR(A584="",C584=""),"",A584&amp;"|"&amp;B584&amp;"|"&amp;(COUNTIFS(FlDate,A584,FlShift,B584,FlCode,"&lt;&gt;",FlOrder,"&lt;"&amp;J584)+COUNTIFS(A$6:A584,A584,B$6:B584,B584,C$6:C584,"&lt;&gt;",J$6:J584,J584)))</f>
        <v/>
      </c>
      <c r="J584" s="28">
        <f>IF(C584="","",IF(D584="","zz","t"&amp;D584))</f>
        <v/>
      </c>
      <c r="K584" s="28">
        <f>IF(OR(A584="",C584=""),"",IF(IFERROR(INDEX(DayStat,A584-DATE(PlanYear,1,1)+1)&amp;"","")&lt;&gt;"",0,1))</f>
        <v/>
      </c>
      <c r="L584" s="28">
        <f>IF(K584="","",K584*IFERROR(VLOOKUP(C584,CodeTable,4,0),0))</f>
        <v/>
      </c>
    </row>
    <row r="585">
      <c r="A585" s="22" t="n"/>
      <c r="B585" s="23" t="n"/>
      <c r="C585" s="24" t="n"/>
      <c r="D585" s="25" t="n"/>
      <c r="E585" s="26" t="n"/>
      <c r="F585" s="26" t="n"/>
      <c r="G585" s="27">
        <f>IF(C585="","",IFERROR(VLOOKUP(C585,CodeTable,3,0),1))</f>
        <v/>
      </c>
      <c r="H585" s="27">
        <f>IF(C585="","",IF(E585&lt;&gt;"",E585,IF(IFERROR(VLOOKUP(C585,CodeTable,5,0)&amp;"","")="","All",VLOOKUP(C585,CodeTable,5,0)&amp;"")))</f>
        <v/>
      </c>
      <c r="I585" s="28">
        <f>IF(OR(A585="",C585=""),"",A585&amp;"|"&amp;B585&amp;"|"&amp;(COUNTIFS(FlDate,A585,FlShift,B585,FlCode,"&lt;&gt;",FlOrder,"&lt;"&amp;J585)+COUNTIFS(A$6:A585,A585,B$6:B585,B585,C$6:C585,"&lt;&gt;",J$6:J585,J585)))</f>
        <v/>
      </c>
      <c r="J585" s="28">
        <f>IF(C585="","",IF(D585="","zz","t"&amp;D585))</f>
        <v/>
      </c>
      <c r="K585" s="28">
        <f>IF(OR(A585="",C585=""),"",IF(IFERROR(INDEX(DayStat,A585-DATE(PlanYear,1,1)+1)&amp;"","")&lt;&gt;"",0,1))</f>
        <v/>
      </c>
      <c r="L585" s="28">
        <f>IF(K585="","",K585*IFERROR(VLOOKUP(C585,CodeTable,4,0),0))</f>
        <v/>
      </c>
    </row>
    <row r="586">
      <c r="A586" s="22" t="n"/>
      <c r="B586" s="23" t="n"/>
      <c r="C586" s="24" t="n"/>
      <c r="D586" s="25" t="n"/>
      <c r="E586" s="26" t="n"/>
      <c r="F586" s="26" t="n"/>
      <c r="G586" s="27">
        <f>IF(C586="","",IFERROR(VLOOKUP(C586,CodeTable,3,0),1))</f>
        <v/>
      </c>
      <c r="H586" s="27">
        <f>IF(C586="","",IF(E586&lt;&gt;"",E586,IF(IFERROR(VLOOKUP(C586,CodeTable,5,0)&amp;"","")="","All",VLOOKUP(C586,CodeTable,5,0)&amp;"")))</f>
        <v/>
      </c>
      <c r="I586" s="28">
        <f>IF(OR(A586="",C586=""),"",A586&amp;"|"&amp;B586&amp;"|"&amp;(COUNTIFS(FlDate,A586,FlShift,B586,FlCode,"&lt;&gt;",FlOrder,"&lt;"&amp;J586)+COUNTIFS(A$6:A586,A586,B$6:B586,B586,C$6:C586,"&lt;&gt;",J$6:J586,J586)))</f>
        <v/>
      </c>
      <c r="J586" s="28">
        <f>IF(C586="","",IF(D586="","zz","t"&amp;D586))</f>
        <v/>
      </c>
      <c r="K586" s="28">
        <f>IF(OR(A586="",C586=""),"",IF(IFERROR(INDEX(DayStat,A586-DATE(PlanYear,1,1)+1)&amp;"","")&lt;&gt;"",0,1))</f>
        <v/>
      </c>
      <c r="L586" s="28">
        <f>IF(K586="","",K586*IFERROR(VLOOKUP(C586,CodeTable,4,0),0))</f>
        <v/>
      </c>
    </row>
    <row r="587">
      <c r="A587" s="22" t="n"/>
      <c r="B587" s="23" t="n"/>
      <c r="C587" s="24" t="n"/>
      <c r="D587" s="25" t="n"/>
      <c r="E587" s="26" t="n"/>
      <c r="F587" s="26" t="n"/>
      <c r="G587" s="27">
        <f>IF(C587="","",IFERROR(VLOOKUP(C587,CodeTable,3,0),1))</f>
        <v/>
      </c>
      <c r="H587" s="27">
        <f>IF(C587="","",IF(E587&lt;&gt;"",E587,IF(IFERROR(VLOOKUP(C587,CodeTable,5,0)&amp;"","")="","All",VLOOKUP(C587,CodeTable,5,0)&amp;"")))</f>
        <v/>
      </c>
      <c r="I587" s="28">
        <f>IF(OR(A587="",C587=""),"",A587&amp;"|"&amp;B587&amp;"|"&amp;(COUNTIFS(FlDate,A587,FlShift,B587,FlCode,"&lt;&gt;",FlOrder,"&lt;"&amp;J587)+COUNTIFS(A$6:A587,A587,B$6:B587,B587,C$6:C587,"&lt;&gt;",J$6:J587,J587)))</f>
        <v/>
      </c>
      <c r="J587" s="28">
        <f>IF(C587="","",IF(D587="","zz","t"&amp;D587))</f>
        <v/>
      </c>
      <c r="K587" s="28">
        <f>IF(OR(A587="",C587=""),"",IF(IFERROR(INDEX(DayStat,A587-DATE(PlanYear,1,1)+1)&amp;"","")&lt;&gt;"",0,1))</f>
        <v/>
      </c>
      <c r="L587" s="28">
        <f>IF(K587="","",K587*IFERROR(VLOOKUP(C587,CodeTable,4,0),0))</f>
        <v/>
      </c>
    </row>
    <row r="588">
      <c r="A588" s="22" t="n"/>
      <c r="B588" s="23" t="n"/>
      <c r="C588" s="24" t="n"/>
      <c r="D588" s="25" t="n"/>
      <c r="E588" s="26" t="n"/>
      <c r="F588" s="26" t="n"/>
      <c r="G588" s="27">
        <f>IF(C588="","",IFERROR(VLOOKUP(C588,CodeTable,3,0),1))</f>
        <v/>
      </c>
      <c r="H588" s="27">
        <f>IF(C588="","",IF(E588&lt;&gt;"",E588,IF(IFERROR(VLOOKUP(C588,CodeTable,5,0)&amp;"","")="","All",VLOOKUP(C588,CodeTable,5,0)&amp;"")))</f>
        <v/>
      </c>
      <c r="I588" s="28">
        <f>IF(OR(A588="",C588=""),"",A588&amp;"|"&amp;B588&amp;"|"&amp;(COUNTIFS(FlDate,A588,FlShift,B588,FlCode,"&lt;&gt;",FlOrder,"&lt;"&amp;J588)+COUNTIFS(A$6:A588,A588,B$6:B588,B588,C$6:C588,"&lt;&gt;",J$6:J588,J588)))</f>
        <v/>
      </c>
      <c r="J588" s="28">
        <f>IF(C588="","",IF(D588="","zz","t"&amp;D588))</f>
        <v/>
      </c>
      <c r="K588" s="28">
        <f>IF(OR(A588="",C588=""),"",IF(IFERROR(INDEX(DayStat,A588-DATE(PlanYear,1,1)+1)&amp;"","")&lt;&gt;"",0,1))</f>
        <v/>
      </c>
      <c r="L588" s="28">
        <f>IF(K588="","",K588*IFERROR(VLOOKUP(C588,CodeTable,4,0),0))</f>
        <v/>
      </c>
    </row>
    <row r="589">
      <c r="A589" s="22" t="n"/>
      <c r="B589" s="23" t="n"/>
      <c r="C589" s="24" t="n"/>
      <c r="D589" s="25" t="n"/>
      <c r="E589" s="26" t="n"/>
      <c r="F589" s="26" t="n"/>
      <c r="G589" s="27">
        <f>IF(C589="","",IFERROR(VLOOKUP(C589,CodeTable,3,0),1))</f>
        <v/>
      </c>
      <c r="H589" s="27">
        <f>IF(C589="","",IF(E589&lt;&gt;"",E589,IF(IFERROR(VLOOKUP(C589,CodeTable,5,0)&amp;"","")="","All",VLOOKUP(C589,CodeTable,5,0)&amp;"")))</f>
        <v/>
      </c>
      <c r="I589" s="28">
        <f>IF(OR(A589="",C589=""),"",A589&amp;"|"&amp;B589&amp;"|"&amp;(COUNTIFS(FlDate,A589,FlShift,B589,FlCode,"&lt;&gt;",FlOrder,"&lt;"&amp;J589)+COUNTIFS(A$6:A589,A589,B$6:B589,B589,C$6:C589,"&lt;&gt;",J$6:J589,J589)))</f>
        <v/>
      </c>
      <c r="J589" s="28">
        <f>IF(C589="","",IF(D589="","zz","t"&amp;D589))</f>
        <v/>
      </c>
      <c r="K589" s="28">
        <f>IF(OR(A589="",C589=""),"",IF(IFERROR(INDEX(DayStat,A589-DATE(PlanYear,1,1)+1)&amp;"","")&lt;&gt;"",0,1))</f>
        <v/>
      </c>
      <c r="L589" s="28">
        <f>IF(K589="","",K589*IFERROR(VLOOKUP(C589,CodeTable,4,0),0))</f>
        <v/>
      </c>
    </row>
    <row r="590">
      <c r="A590" s="22" t="n"/>
      <c r="B590" s="23" t="n"/>
      <c r="C590" s="24" t="n"/>
      <c r="D590" s="25" t="n"/>
      <c r="E590" s="26" t="n"/>
      <c r="F590" s="26" t="n"/>
      <c r="G590" s="27">
        <f>IF(C590="","",IFERROR(VLOOKUP(C590,CodeTable,3,0),1))</f>
        <v/>
      </c>
      <c r="H590" s="27">
        <f>IF(C590="","",IF(E590&lt;&gt;"",E590,IF(IFERROR(VLOOKUP(C590,CodeTable,5,0)&amp;"","")="","All",VLOOKUP(C590,CodeTable,5,0)&amp;"")))</f>
        <v/>
      </c>
      <c r="I590" s="28">
        <f>IF(OR(A590="",C590=""),"",A590&amp;"|"&amp;B590&amp;"|"&amp;(COUNTIFS(FlDate,A590,FlShift,B590,FlCode,"&lt;&gt;",FlOrder,"&lt;"&amp;J590)+COUNTIFS(A$6:A590,A590,B$6:B590,B590,C$6:C590,"&lt;&gt;",J$6:J590,J590)))</f>
        <v/>
      </c>
      <c r="J590" s="28">
        <f>IF(C590="","",IF(D590="","zz","t"&amp;D590))</f>
        <v/>
      </c>
      <c r="K590" s="28">
        <f>IF(OR(A590="",C590=""),"",IF(IFERROR(INDEX(DayStat,A590-DATE(PlanYear,1,1)+1)&amp;"","")&lt;&gt;"",0,1))</f>
        <v/>
      </c>
      <c r="L590" s="28">
        <f>IF(K590="","",K590*IFERROR(VLOOKUP(C590,CodeTable,4,0),0))</f>
        <v/>
      </c>
    </row>
    <row r="591">
      <c r="A591" s="22" t="n"/>
      <c r="B591" s="23" t="n"/>
      <c r="C591" s="24" t="n"/>
      <c r="D591" s="25" t="n"/>
      <c r="E591" s="26" t="n"/>
      <c r="F591" s="26" t="n"/>
      <c r="G591" s="27">
        <f>IF(C591="","",IFERROR(VLOOKUP(C591,CodeTable,3,0),1))</f>
        <v/>
      </c>
      <c r="H591" s="27">
        <f>IF(C591="","",IF(E591&lt;&gt;"",E591,IF(IFERROR(VLOOKUP(C591,CodeTable,5,0)&amp;"","")="","All",VLOOKUP(C591,CodeTable,5,0)&amp;"")))</f>
        <v/>
      </c>
      <c r="I591" s="28">
        <f>IF(OR(A591="",C591=""),"",A591&amp;"|"&amp;B591&amp;"|"&amp;(COUNTIFS(FlDate,A591,FlShift,B591,FlCode,"&lt;&gt;",FlOrder,"&lt;"&amp;J591)+COUNTIFS(A$6:A591,A591,B$6:B591,B591,C$6:C591,"&lt;&gt;",J$6:J591,J591)))</f>
        <v/>
      </c>
      <c r="J591" s="28">
        <f>IF(C591="","",IF(D591="","zz","t"&amp;D591))</f>
        <v/>
      </c>
      <c r="K591" s="28">
        <f>IF(OR(A591="",C591=""),"",IF(IFERROR(INDEX(DayStat,A591-DATE(PlanYear,1,1)+1)&amp;"","")&lt;&gt;"",0,1))</f>
        <v/>
      </c>
      <c r="L591" s="28">
        <f>IF(K591="","",K591*IFERROR(VLOOKUP(C591,CodeTable,4,0),0))</f>
        <v/>
      </c>
    </row>
    <row r="592">
      <c r="A592" s="22" t="n"/>
      <c r="B592" s="23" t="n"/>
      <c r="C592" s="24" t="n"/>
      <c r="D592" s="25" t="n"/>
      <c r="E592" s="26" t="n"/>
      <c r="F592" s="26" t="n"/>
      <c r="G592" s="27">
        <f>IF(C592="","",IFERROR(VLOOKUP(C592,CodeTable,3,0),1))</f>
        <v/>
      </c>
      <c r="H592" s="27">
        <f>IF(C592="","",IF(E592&lt;&gt;"",E592,IF(IFERROR(VLOOKUP(C592,CodeTable,5,0)&amp;"","")="","All",VLOOKUP(C592,CodeTable,5,0)&amp;"")))</f>
        <v/>
      </c>
      <c r="I592" s="28">
        <f>IF(OR(A592="",C592=""),"",A592&amp;"|"&amp;B592&amp;"|"&amp;(COUNTIFS(FlDate,A592,FlShift,B592,FlCode,"&lt;&gt;",FlOrder,"&lt;"&amp;J592)+COUNTIFS(A$6:A592,A592,B$6:B592,B592,C$6:C592,"&lt;&gt;",J$6:J592,J592)))</f>
        <v/>
      </c>
      <c r="J592" s="28">
        <f>IF(C592="","",IF(D592="","zz","t"&amp;D592))</f>
        <v/>
      </c>
      <c r="K592" s="28">
        <f>IF(OR(A592="",C592=""),"",IF(IFERROR(INDEX(DayStat,A592-DATE(PlanYear,1,1)+1)&amp;"","")&lt;&gt;"",0,1))</f>
        <v/>
      </c>
      <c r="L592" s="28">
        <f>IF(K592="","",K592*IFERROR(VLOOKUP(C592,CodeTable,4,0),0))</f>
        <v/>
      </c>
    </row>
    <row r="593">
      <c r="A593" s="22" t="n"/>
      <c r="B593" s="23" t="n"/>
      <c r="C593" s="24" t="n"/>
      <c r="D593" s="25" t="n"/>
      <c r="E593" s="26" t="n"/>
      <c r="F593" s="26" t="n"/>
      <c r="G593" s="27">
        <f>IF(C593="","",IFERROR(VLOOKUP(C593,CodeTable,3,0),1))</f>
        <v/>
      </c>
      <c r="H593" s="27">
        <f>IF(C593="","",IF(E593&lt;&gt;"",E593,IF(IFERROR(VLOOKUP(C593,CodeTable,5,0)&amp;"","")="","All",VLOOKUP(C593,CodeTable,5,0)&amp;"")))</f>
        <v/>
      </c>
      <c r="I593" s="28">
        <f>IF(OR(A593="",C593=""),"",A593&amp;"|"&amp;B593&amp;"|"&amp;(COUNTIFS(FlDate,A593,FlShift,B593,FlCode,"&lt;&gt;",FlOrder,"&lt;"&amp;J593)+COUNTIFS(A$6:A593,A593,B$6:B593,B593,C$6:C593,"&lt;&gt;",J$6:J593,J593)))</f>
        <v/>
      </c>
      <c r="J593" s="28">
        <f>IF(C593="","",IF(D593="","zz","t"&amp;D593))</f>
        <v/>
      </c>
      <c r="K593" s="28">
        <f>IF(OR(A593="",C593=""),"",IF(IFERROR(INDEX(DayStat,A593-DATE(PlanYear,1,1)+1)&amp;"","")&lt;&gt;"",0,1))</f>
        <v/>
      </c>
      <c r="L593" s="28">
        <f>IF(K593="","",K593*IFERROR(VLOOKUP(C593,CodeTable,4,0),0))</f>
        <v/>
      </c>
    </row>
    <row r="594">
      <c r="A594" s="22" t="n"/>
      <c r="B594" s="23" t="n"/>
      <c r="C594" s="24" t="n"/>
      <c r="D594" s="25" t="n"/>
      <c r="E594" s="26" t="n"/>
      <c r="F594" s="26" t="n"/>
      <c r="G594" s="27">
        <f>IF(C594="","",IFERROR(VLOOKUP(C594,CodeTable,3,0),1))</f>
        <v/>
      </c>
      <c r="H594" s="27">
        <f>IF(C594="","",IF(E594&lt;&gt;"",E594,IF(IFERROR(VLOOKUP(C594,CodeTable,5,0)&amp;"","")="","All",VLOOKUP(C594,CodeTable,5,0)&amp;"")))</f>
        <v/>
      </c>
      <c r="I594" s="28">
        <f>IF(OR(A594="",C594=""),"",A594&amp;"|"&amp;B594&amp;"|"&amp;(COUNTIFS(FlDate,A594,FlShift,B594,FlCode,"&lt;&gt;",FlOrder,"&lt;"&amp;J594)+COUNTIFS(A$6:A594,A594,B$6:B594,B594,C$6:C594,"&lt;&gt;",J$6:J594,J594)))</f>
        <v/>
      </c>
      <c r="J594" s="28">
        <f>IF(C594="","",IF(D594="","zz","t"&amp;D594))</f>
        <v/>
      </c>
      <c r="K594" s="28">
        <f>IF(OR(A594="",C594=""),"",IF(IFERROR(INDEX(DayStat,A594-DATE(PlanYear,1,1)+1)&amp;"","")&lt;&gt;"",0,1))</f>
        <v/>
      </c>
      <c r="L594" s="28">
        <f>IF(K594="","",K594*IFERROR(VLOOKUP(C594,CodeTable,4,0),0))</f>
        <v/>
      </c>
    </row>
    <row r="595">
      <c r="A595" s="22" t="n"/>
      <c r="B595" s="23" t="n"/>
      <c r="C595" s="24" t="n"/>
      <c r="D595" s="25" t="n"/>
      <c r="E595" s="26" t="n"/>
      <c r="F595" s="26" t="n"/>
      <c r="G595" s="27">
        <f>IF(C595="","",IFERROR(VLOOKUP(C595,CodeTable,3,0),1))</f>
        <v/>
      </c>
      <c r="H595" s="27">
        <f>IF(C595="","",IF(E595&lt;&gt;"",E595,IF(IFERROR(VLOOKUP(C595,CodeTable,5,0)&amp;"","")="","All",VLOOKUP(C595,CodeTable,5,0)&amp;"")))</f>
        <v/>
      </c>
      <c r="I595" s="28">
        <f>IF(OR(A595="",C595=""),"",A595&amp;"|"&amp;B595&amp;"|"&amp;(COUNTIFS(FlDate,A595,FlShift,B595,FlCode,"&lt;&gt;",FlOrder,"&lt;"&amp;J595)+COUNTIFS(A$6:A595,A595,B$6:B595,B595,C$6:C595,"&lt;&gt;",J$6:J595,J595)))</f>
        <v/>
      </c>
      <c r="J595" s="28">
        <f>IF(C595="","",IF(D595="","zz","t"&amp;D595))</f>
        <v/>
      </c>
      <c r="K595" s="28">
        <f>IF(OR(A595="",C595=""),"",IF(IFERROR(INDEX(DayStat,A595-DATE(PlanYear,1,1)+1)&amp;"","")&lt;&gt;"",0,1))</f>
        <v/>
      </c>
      <c r="L595" s="28">
        <f>IF(K595="","",K595*IFERROR(VLOOKUP(C595,CodeTable,4,0),0))</f>
        <v/>
      </c>
    </row>
    <row r="596">
      <c r="A596" s="22" t="n"/>
      <c r="B596" s="23" t="n"/>
      <c r="C596" s="24" t="n"/>
      <c r="D596" s="25" t="n"/>
      <c r="E596" s="26" t="n"/>
      <c r="F596" s="26" t="n"/>
      <c r="G596" s="27">
        <f>IF(C596="","",IFERROR(VLOOKUP(C596,CodeTable,3,0),1))</f>
        <v/>
      </c>
      <c r="H596" s="27">
        <f>IF(C596="","",IF(E596&lt;&gt;"",E596,IF(IFERROR(VLOOKUP(C596,CodeTable,5,0)&amp;"","")="","All",VLOOKUP(C596,CodeTable,5,0)&amp;"")))</f>
        <v/>
      </c>
      <c r="I596" s="28">
        <f>IF(OR(A596="",C596=""),"",A596&amp;"|"&amp;B596&amp;"|"&amp;(COUNTIFS(FlDate,A596,FlShift,B596,FlCode,"&lt;&gt;",FlOrder,"&lt;"&amp;J596)+COUNTIFS(A$6:A596,A596,B$6:B596,B596,C$6:C596,"&lt;&gt;",J$6:J596,J596)))</f>
        <v/>
      </c>
      <c r="J596" s="28">
        <f>IF(C596="","",IF(D596="","zz","t"&amp;D596))</f>
        <v/>
      </c>
      <c r="K596" s="28">
        <f>IF(OR(A596="",C596=""),"",IF(IFERROR(INDEX(DayStat,A596-DATE(PlanYear,1,1)+1)&amp;"","")&lt;&gt;"",0,1))</f>
        <v/>
      </c>
      <c r="L596" s="28">
        <f>IF(K596="","",K596*IFERROR(VLOOKUP(C596,CodeTable,4,0),0))</f>
        <v/>
      </c>
    </row>
    <row r="597">
      <c r="A597" s="22" t="n"/>
      <c r="B597" s="23" t="n"/>
      <c r="C597" s="24" t="n"/>
      <c r="D597" s="25" t="n"/>
      <c r="E597" s="26" t="n"/>
      <c r="F597" s="26" t="n"/>
      <c r="G597" s="27">
        <f>IF(C597="","",IFERROR(VLOOKUP(C597,CodeTable,3,0),1))</f>
        <v/>
      </c>
      <c r="H597" s="27">
        <f>IF(C597="","",IF(E597&lt;&gt;"",E597,IF(IFERROR(VLOOKUP(C597,CodeTable,5,0)&amp;"","")="","All",VLOOKUP(C597,CodeTable,5,0)&amp;"")))</f>
        <v/>
      </c>
      <c r="I597" s="28">
        <f>IF(OR(A597="",C597=""),"",A597&amp;"|"&amp;B597&amp;"|"&amp;(COUNTIFS(FlDate,A597,FlShift,B597,FlCode,"&lt;&gt;",FlOrder,"&lt;"&amp;J597)+COUNTIFS(A$6:A597,A597,B$6:B597,B597,C$6:C597,"&lt;&gt;",J$6:J597,J597)))</f>
        <v/>
      </c>
      <c r="J597" s="28">
        <f>IF(C597="","",IF(D597="","zz","t"&amp;D597))</f>
        <v/>
      </c>
      <c r="K597" s="28">
        <f>IF(OR(A597="",C597=""),"",IF(IFERROR(INDEX(DayStat,A597-DATE(PlanYear,1,1)+1)&amp;"","")&lt;&gt;"",0,1))</f>
        <v/>
      </c>
      <c r="L597" s="28">
        <f>IF(K597="","",K597*IFERROR(VLOOKUP(C597,CodeTable,4,0),0))</f>
        <v/>
      </c>
    </row>
    <row r="598">
      <c r="A598" s="22" t="n"/>
      <c r="B598" s="23" t="n"/>
      <c r="C598" s="24" t="n"/>
      <c r="D598" s="25" t="n"/>
      <c r="E598" s="26" t="n"/>
      <c r="F598" s="26" t="n"/>
      <c r="G598" s="27">
        <f>IF(C598="","",IFERROR(VLOOKUP(C598,CodeTable,3,0),1))</f>
        <v/>
      </c>
      <c r="H598" s="27">
        <f>IF(C598="","",IF(E598&lt;&gt;"",E598,IF(IFERROR(VLOOKUP(C598,CodeTable,5,0)&amp;"","")="","All",VLOOKUP(C598,CodeTable,5,0)&amp;"")))</f>
        <v/>
      </c>
      <c r="I598" s="28">
        <f>IF(OR(A598="",C598=""),"",A598&amp;"|"&amp;B598&amp;"|"&amp;(COUNTIFS(FlDate,A598,FlShift,B598,FlCode,"&lt;&gt;",FlOrder,"&lt;"&amp;J598)+COUNTIFS(A$6:A598,A598,B$6:B598,B598,C$6:C598,"&lt;&gt;",J$6:J598,J598)))</f>
        <v/>
      </c>
      <c r="J598" s="28">
        <f>IF(C598="","",IF(D598="","zz","t"&amp;D598))</f>
        <v/>
      </c>
      <c r="K598" s="28">
        <f>IF(OR(A598="",C598=""),"",IF(IFERROR(INDEX(DayStat,A598-DATE(PlanYear,1,1)+1)&amp;"","")&lt;&gt;"",0,1))</f>
        <v/>
      </c>
      <c r="L598" s="28">
        <f>IF(K598="","",K598*IFERROR(VLOOKUP(C598,CodeTable,4,0),0))</f>
        <v/>
      </c>
    </row>
    <row r="599">
      <c r="A599" s="22" t="n"/>
      <c r="B599" s="23" t="n"/>
      <c r="C599" s="24" t="n"/>
      <c r="D599" s="25" t="n"/>
      <c r="E599" s="26" t="n"/>
      <c r="F599" s="26" t="n"/>
      <c r="G599" s="27">
        <f>IF(C599="","",IFERROR(VLOOKUP(C599,CodeTable,3,0),1))</f>
        <v/>
      </c>
      <c r="H599" s="27">
        <f>IF(C599="","",IF(E599&lt;&gt;"",E599,IF(IFERROR(VLOOKUP(C599,CodeTable,5,0)&amp;"","")="","All",VLOOKUP(C599,CodeTable,5,0)&amp;"")))</f>
        <v/>
      </c>
      <c r="I599" s="28">
        <f>IF(OR(A599="",C599=""),"",A599&amp;"|"&amp;B599&amp;"|"&amp;(COUNTIFS(FlDate,A599,FlShift,B599,FlCode,"&lt;&gt;",FlOrder,"&lt;"&amp;J599)+COUNTIFS(A$6:A599,A599,B$6:B599,B599,C$6:C599,"&lt;&gt;",J$6:J599,J599)))</f>
        <v/>
      </c>
      <c r="J599" s="28">
        <f>IF(C599="","",IF(D599="","zz","t"&amp;D599))</f>
        <v/>
      </c>
      <c r="K599" s="28">
        <f>IF(OR(A599="",C599=""),"",IF(IFERROR(INDEX(DayStat,A599-DATE(PlanYear,1,1)+1)&amp;"","")&lt;&gt;"",0,1))</f>
        <v/>
      </c>
      <c r="L599" s="28">
        <f>IF(K599="","",K599*IFERROR(VLOOKUP(C599,CodeTable,4,0),0))</f>
        <v/>
      </c>
    </row>
    <row r="600">
      <c r="A600" s="22" t="n"/>
      <c r="B600" s="23" t="n"/>
      <c r="C600" s="24" t="n"/>
      <c r="D600" s="25" t="n"/>
      <c r="E600" s="26" t="n"/>
      <c r="F600" s="26" t="n"/>
      <c r="G600" s="27">
        <f>IF(C600="","",IFERROR(VLOOKUP(C600,CodeTable,3,0),1))</f>
        <v/>
      </c>
      <c r="H600" s="27">
        <f>IF(C600="","",IF(E600&lt;&gt;"",E600,IF(IFERROR(VLOOKUP(C600,CodeTable,5,0)&amp;"","")="","All",VLOOKUP(C600,CodeTable,5,0)&amp;"")))</f>
        <v/>
      </c>
      <c r="I600" s="28">
        <f>IF(OR(A600="",C600=""),"",A600&amp;"|"&amp;B600&amp;"|"&amp;(COUNTIFS(FlDate,A600,FlShift,B600,FlCode,"&lt;&gt;",FlOrder,"&lt;"&amp;J600)+COUNTIFS(A$6:A600,A600,B$6:B600,B600,C$6:C600,"&lt;&gt;",J$6:J600,J600)))</f>
        <v/>
      </c>
      <c r="J600" s="28">
        <f>IF(C600="","",IF(D600="","zz","t"&amp;D600))</f>
        <v/>
      </c>
      <c r="K600" s="28">
        <f>IF(OR(A600="",C600=""),"",IF(IFERROR(INDEX(DayStat,A600-DATE(PlanYear,1,1)+1)&amp;"","")&lt;&gt;"",0,1))</f>
        <v/>
      </c>
      <c r="L600" s="28">
        <f>IF(K600="","",K600*IFERROR(VLOOKUP(C600,CodeTable,4,0),0))</f>
        <v/>
      </c>
    </row>
    <row r="601">
      <c r="A601" s="22" t="n"/>
      <c r="B601" s="23" t="n"/>
      <c r="C601" s="24" t="n"/>
      <c r="D601" s="25" t="n"/>
      <c r="E601" s="26" t="n"/>
      <c r="F601" s="26" t="n"/>
      <c r="G601" s="27">
        <f>IF(C601="","",IFERROR(VLOOKUP(C601,CodeTable,3,0),1))</f>
        <v/>
      </c>
      <c r="H601" s="27">
        <f>IF(C601="","",IF(E601&lt;&gt;"",E601,IF(IFERROR(VLOOKUP(C601,CodeTable,5,0)&amp;"","")="","All",VLOOKUP(C601,CodeTable,5,0)&amp;"")))</f>
        <v/>
      </c>
      <c r="I601" s="28">
        <f>IF(OR(A601="",C601=""),"",A601&amp;"|"&amp;B601&amp;"|"&amp;(COUNTIFS(FlDate,A601,FlShift,B601,FlCode,"&lt;&gt;",FlOrder,"&lt;"&amp;J601)+COUNTIFS(A$6:A601,A601,B$6:B601,B601,C$6:C601,"&lt;&gt;",J$6:J601,J601)))</f>
        <v/>
      </c>
      <c r="J601" s="28">
        <f>IF(C601="","",IF(D601="","zz","t"&amp;D601))</f>
        <v/>
      </c>
      <c r="K601" s="28">
        <f>IF(OR(A601="",C601=""),"",IF(IFERROR(INDEX(DayStat,A601-DATE(PlanYear,1,1)+1)&amp;"","")&lt;&gt;"",0,1))</f>
        <v/>
      </c>
      <c r="L601" s="28">
        <f>IF(K601="","",K601*IFERROR(VLOOKUP(C601,CodeTable,4,0),0))</f>
        <v/>
      </c>
    </row>
    <row r="602">
      <c r="A602" s="22" t="n"/>
      <c r="B602" s="23" t="n"/>
      <c r="C602" s="24" t="n"/>
      <c r="D602" s="25" t="n"/>
      <c r="E602" s="26" t="n"/>
      <c r="F602" s="26" t="n"/>
      <c r="G602" s="27">
        <f>IF(C602="","",IFERROR(VLOOKUP(C602,CodeTable,3,0),1))</f>
        <v/>
      </c>
      <c r="H602" s="27">
        <f>IF(C602="","",IF(E602&lt;&gt;"",E602,IF(IFERROR(VLOOKUP(C602,CodeTable,5,0)&amp;"","")="","All",VLOOKUP(C602,CodeTable,5,0)&amp;"")))</f>
        <v/>
      </c>
      <c r="I602" s="28">
        <f>IF(OR(A602="",C602=""),"",A602&amp;"|"&amp;B602&amp;"|"&amp;(COUNTIFS(FlDate,A602,FlShift,B602,FlCode,"&lt;&gt;",FlOrder,"&lt;"&amp;J602)+COUNTIFS(A$6:A602,A602,B$6:B602,B602,C$6:C602,"&lt;&gt;",J$6:J602,J602)))</f>
        <v/>
      </c>
      <c r="J602" s="28">
        <f>IF(C602="","",IF(D602="","zz","t"&amp;D602))</f>
        <v/>
      </c>
      <c r="K602" s="28">
        <f>IF(OR(A602="",C602=""),"",IF(IFERROR(INDEX(DayStat,A602-DATE(PlanYear,1,1)+1)&amp;"","")&lt;&gt;"",0,1))</f>
        <v/>
      </c>
      <c r="L602" s="28">
        <f>IF(K602="","",K602*IFERROR(VLOOKUP(C602,CodeTable,4,0),0))</f>
        <v/>
      </c>
    </row>
    <row r="603">
      <c r="A603" s="22" t="n"/>
      <c r="B603" s="23" t="n"/>
      <c r="C603" s="24" t="n"/>
      <c r="D603" s="25" t="n"/>
      <c r="E603" s="26" t="n"/>
      <c r="F603" s="26" t="n"/>
      <c r="G603" s="27">
        <f>IF(C603="","",IFERROR(VLOOKUP(C603,CodeTable,3,0),1))</f>
        <v/>
      </c>
      <c r="H603" s="27">
        <f>IF(C603="","",IF(E603&lt;&gt;"",E603,IF(IFERROR(VLOOKUP(C603,CodeTable,5,0)&amp;"","")="","All",VLOOKUP(C603,CodeTable,5,0)&amp;"")))</f>
        <v/>
      </c>
      <c r="I603" s="28">
        <f>IF(OR(A603="",C603=""),"",A603&amp;"|"&amp;B603&amp;"|"&amp;(COUNTIFS(FlDate,A603,FlShift,B603,FlCode,"&lt;&gt;",FlOrder,"&lt;"&amp;J603)+COUNTIFS(A$6:A603,A603,B$6:B603,B603,C$6:C603,"&lt;&gt;",J$6:J603,J603)))</f>
        <v/>
      </c>
      <c r="J603" s="28">
        <f>IF(C603="","",IF(D603="","zz","t"&amp;D603))</f>
        <v/>
      </c>
      <c r="K603" s="28">
        <f>IF(OR(A603="",C603=""),"",IF(IFERROR(INDEX(DayStat,A603-DATE(PlanYear,1,1)+1)&amp;"","")&lt;&gt;"",0,1))</f>
        <v/>
      </c>
      <c r="L603" s="28">
        <f>IF(K603="","",K603*IFERROR(VLOOKUP(C603,CodeTable,4,0),0))</f>
        <v/>
      </c>
    </row>
    <row r="604">
      <c r="A604" s="22" t="n"/>
      <c r="B604" s="23" t="n"/>
      <c r="C604" s="24" t="n"/>
      <c r="D604" s="25" t="n"/>
      <c r="E604" s="26" t="n"/>
      <c r="F604" s="26" t="n"/>
      <c r="G604" s="27">
        <f>IF(C604="","",IFERROR(VLOOKUP(C604,CodeTable,3,0),1))</f>
        <v/>
      </c>
      <c r="H604" s="27">
        <f>IF(C604="","",IF(E604&lt;&gt;"",E604,IF(IFERROR(VLOOKUP(C604,CodeTable,5,0)&amp;"","")="","All",VLOOKUP(C604,CodeTable,5,0)&amp;"")))</f>
        <v/>
      </c>
      <c r="I604" s="28">
        <f>IF(OR(A604="",C604=""),"",A604&amp;"|"&amp;B604&amp;"|"&amp;(COUNTIFS(FlDate,A604,FlShift,B604,FlCode,"&lt;&gt;",FlOrder,"&lt;"&amp;J604)+COUNTIFS(A$6:A604,A604,B$6:B604,B604,C$6:C604,"&lt;&gt;",J$6:J604,J604)))</f>
        <v/>
      </c>
      <c r="J604" s="28">
        <f>IF(C604="","",IF(D604="","zz","t"&amp;D604))</f>
        <v/>
      </c>
      <c r="K604" s="28">
        <f>IF(OR(A604="",C604=""),"",IF(IFERROR(INDEX(DayStat,A604-DATE(PlanYear,1,1)+1)&amp;"","")&lt;&gt;"",0,1))</f>
        <v/>
      </c>
      <c r="L604" s="28">
        <f>IF(K604="","",K604*IFERROR(VLOOKUP(C604,CodeTable,4,0),0))</f>
        <v/>
      </c>
    </row>
    <row r="605">
      <c r="A605" s="22" t="n"/>
      <c r="B605" s="23" t="n"/>
      <c r="C605" s="24" t="n"/>
      <c r="D605" s="25" t="n"/>
      <c r="E605" s="26" t="n"/>
      <c r="F605" s="26" t="n"/>
      <c r="G605" s="27">
        <f>IF(C605="","",IFERROR(VLOOKUP(C605,CodeTable,3,0),1))</f>
        <v/>
      </c>
      <c r="H605" s="27">
        <f>IF(C605="","",IF(E605&lt;&gt;"",E605,IF(IFERROR(VLOOKUP(C605,CodeTable,5,0)&amp;"","")="","All",VLOOKUP(C605,CodeTable,5,0)&amp;"")))</f>
        <v/>
      </c>
      <c r="I605" s="28">
        <f>IF(OR(A605="",C605=""),"",A605&amp;"|"&amp;B605&amp;"|"&amp;(COUNTIFS(FlDate,A605,FlShift,B605,FlCode,"&lt;&gt;",FlOrder,"&lt;"&amp;J605)+COUNTIFS(A$6:A605,A605,B$6:B605,B605,C$6:C605,"&lt;&gt;",J$6:J605,J605)))</f>
        <v/>
      </c>
      <c r="J605" s="28">
        <f>IF(C605="","",IF(D605="","zz","t"&amp;D605))</f>
        <v/>
      </c>
      <c r="K605" s="28">
        <f>IF(OR(A605="",C605=""),"",IF(IFERROR(INDEX(DayStat,A605-DATE(PlanYear,1,1)+1)&amp;"","")&lt;&gt;"",0,1))</f>
        <v/>
      </c>
      <c r="L605" s="28">
        <f>IF(K605="","",K605*IFERROR(VLOOKUP(C605,CodeTable,4,0),0))</f>
        <v/>
      </c>
    </row>
    <row r="606">
      <c r="A606" s="22" t="n"/>
      <c r="B606" s="23" t="n"/>
      <c r="C606" s="24" t="n"/>
      <c r="D606" s="25" t="n"/>
      <c r="E606" s="26" t="n"/>
      <c r="F606" s="26" t="n"/>
      <c r="G606" s="27">
        <f>IF(C606="","",IFERROR(VLOOKUP(C606,CodeTable,3,0),1))</f>
        <v/>
      </c>
      <c r="H606" s="27">
        <f>IF(C606="","",IF(E606&lt;&gt;"",E606,IF(IFERROR(VLOOKUP(C606,CodeTable,5,0)&amp;"","")="","All",VLOOKUP(C606,CodeTable,5,0)&amp;"")))</f>
        <v/>
      </c>
      <c r="I606" s="28">
        <f>IF(OR(A606="",C606=""),"",A606&amp;"|"&amp;B606&amp;"|"&amp;(COUNTIFS(FlDate,A606,FlShift,B606,FlCode,"&lt;&gt;",FlOrder,"&lt;"&amp;J606)+COUNTIFS(A$6:A606,A606,B$6:B606,B606,C$6:C606,"&lt;&gt;",J$6:J606,J606)))</f>
        <v/>
      </c>
      <c r="J606" s="28">
        <f>IF(C606="","",IF(D606="","zz","t"&amp;D606))</f>
        <v/>
      </c>
      <c r="K606" s="28">
        <f>IF(OR(A606="",C606=""),"",IF(IFERROR(INDEX(DayStat,A606-DATE(PlanYear,1,1)+1)&amp;"","")&lt;&gt;"",0,1))</f>
        <v/>
      </c>
      <c r="L606" s="28">
        <f>IF(K606="","",K606*IFERROR(VLOOKUP(C606,CodeTable,4,0),0))</f>
        <v/>
      </c>
    </row>
    <row r="607">
      <c r="A607" s="22" t="n"/>
      <c r="B607" s="23" t="n"/>
      <c r="C607" s="24" t="n"/>
      <c r="D607" s="25" t="n"/>
      <c r="E607" s="26" t="n"/>
      <c r="F607" s="26" t="n"/>
      <c r="G607" s="27">
        <f>IF(C607="","",IFERROR(VLOOKUP(C607,CodeTable,3,0),1))</f>
        <v/>
      </c>
      <c r="H607" s="27">
        <f>IF(C607="","",IF(E607&lt;&gt;"",E607,IF(IFERROR(VLOOKUP(C607,CodeTable,5,0)&amp;"","")="","All",VLOOKUP(C607,CodeTable,5,0)&amp;"")))</f>
        <v/>
      </c>
      <c r="I607" s="28">
        <f>IF(OR(A607="",C607=""),"",A607&amp;"|"&amp;B607&amp;"|"&amp;(COUNTIFS(FlDate,A607,FlShift,B607,FlCode,"&lt;&gt;",FlOrder,"&lt;"&amp;J607)+COUNTIFS(A$6:A607,A607,B$6:B607,B607,C$6:C607,"&lt;&gt;",J$6:J607,J607)))</f>
        <v/>
      </c>
      <c r="J607" s="28">
        <f>IF(C607="","",IF(D607="","zz","t"&amp;D607))</f>
        <v/>
      </c>
      <c r="K607" s="28">
        <f>IF(OR(A607="",C607=""),"",IF(IFERROR(INDEX(DayStat,A607-DATE(PlanYear,1,1)+1)&amp;"","")&lt;&gt;"",0,1))</f>
        <v/>
      </c>
      <c r="L607" s="28">
        <f>IF(K607="","",K607*IFERROR(VLOOKUP(C607,CodeTable,4,0),0))</f>
        <v/>
      </c>
    </row>
    <row r="608">
      <c r="A608" s="22" t="n"/>
      <c r="B608" s="23" t="n"/>
      <c r="C608" s="24" t="n"/>
      <c r="D608" s="25" t="n"/>
      <c r="E608" s="26" t="n"/>
      <c r="F608" s="26" t="n"/>
      <c r="G608" s="27">
        <f>IF(C608="","",IFERROR(VLOOKUP(C608,CodeTable,3,0),1))</f>
        <v/>
      </c>
      <c r="H608" s="27">
        <f>IF(C608="","",IF(E608&lt;&gt;"",E608,IF(IFERROR(VLOOKUP(C608,CodeTable,5,0)&amp;"","")="","All",VLOOKUP(C608,CodeTable,5,0)&amp;"")))</f>
        <v/>
      </c>
      <c r="I608" s="28">
        <f>IF(OR(A608="",C608=""),"",A608&amp;"|"&amp;B608&amp;"|"&amp;(COUNTIFS(FlDate,A608,FlShift,B608,FlCode,"&lt;&gt;",FlOrder,"&lt;"&amp;J608)+COUNTIFS(A$6:A608,A608,B$6:B608,B608,C$6:C608,"&lt;&gt;",J$6:J608,J608)))</f>
        <v/>
      </c>
      <c r="J608" s="28">
        <f>IF(C608="","",IF(D608="","zz","t"&amp;D608))</f>
        <v/>
      </c>
      <c r="K608" s="28">
        <f>IF(OR(A608="",C608=""),"",IF(IFERROR(INDEX(DayStat,A608-DATE(PlanYear,1,1)+1)&amp;"","")&lt;&gt;"",0,1))</f>
        <v/>
      </c>
      <c r="L608" s="28">
        <f>IF(K608="","",K608*IFERROR(VLOOKUP(C608,CodeTable,4,0),0))</f>
        <v/>
      </c>
    </row>
    <row r="609">
      <c r="A609" s="22" t="n"/>
      <c r="B609" s="23" t="n"/>
      <c r="C609" s="24" t="n"/>
      <c r="D609" s="25" t="n"/>
      <c r="E609" s="26" t="n"/>
      <c r="F609" s="26" t="n"/>
      <c r="G609" s="27">
        <f>IF(C609="","",IFERROR(VLOOKUP(C609,CodeTable,3,0),1))</f>
        <v/>
      </c>
      <c r="H609" s="27">
        <f>IF(C609="","",IF(E609&lt;&gt;"",E609,IF(IFERROR(VLOOKUP(C609,CodeTable,5,0)&amp;"","")="","All",VLOOKUP(C609,CodeTable,5,0)&amp;"")))</f>
        <v/>
      </c>
      <c r="I609" s="28">
        <f>IF(OR(A609="",C609=""),"",A609&amp;"|"&amp;B609&amp;"|"&amp;(COUNTIFS(FlDate,A609,FlShift,B609,FlCode,"&lt;&gt;",FlOrder,"&lt;"&amp;J609)+COUNTIFS(A$6:A609,A609,B$6:B609,B609,C$6:C609,"&lt;&gt;",J$6:J609,J609)))</f>
        <v/>
      </c>
      <c r="J609" s="28">
        <f>IF(C609="","",IF(D609="","zz","t"&amp;D609))</f>
        <v/>
      </c>
      <c r="K609" s="28">
        <f>IF(OR(A609="",C609=""),"",IF(IFERROR(INDEX(DayStat,A609-DATE(PlanYear,1,1)+1)&amp;"","")&lt;&gt;"",0,1))</f>
        <v/>
      </c>
      <c r="L609" s="28">
        <f>IF(K609="","",K609*IFERROR(VLOOKUP(C609,CodeTable,4,0),0))</f>
        <v/>
      </c>
    </row>
    <row r="610">
      <c r="A610" s="22" t="n"/>
      <c r="B610" s="23" t="n"/>
      <c r="C610" s="24" t="n"/>
      <c r="D610" s="25" t="n"/>
      <c r="E610" s="26" t="n"/>
      <c r="F610" s="26" t="n"/>
      <c r="G610" s="27">
        <f>IF(C610="","",IFERROR(VLOOKUP(C610,CodeTable,3,0),1))</f>
        <v/>
      </c>
      <c r="H610" s="27">
        <f>IF(C610="","",IF(E610&lt;&gt;"",E610,IF(IFERROR(VLOOKUP(C610,CodeTable,5,0)&amp;"","")="","All",VLOOKUP(C610,CodeTable,5,0)&amp;"")))</f>
        <v/>
      </c>
      <c r="I610" s="28">
        <f>IF(OR(A610="",C610=""),"",A610&amp;"|"&amp;B610&amp;"|"&amp;(COUNTIFS(FlDate,A610,FlShift,B610,FlCode,"&lt;&gt;",FlOrder,"&lt;"&amp;J610)+COUNTIFS(A$6:A610,A610,B$6:B610,B610,C$6:C610,"&lt;&gt;",J$6:J610,J610)))</f>
        <v/>
      </c>
      <c r="J610" s="28">
        <f>IF(C610="","",IF(D610="","zz","t"&amp;D610))</f>
        <v/>
      </c>
      <c r="K610" s="28">
        <f>IF(OR(A610="",C610=""),"",IF(IFERROR(INDEX(DayStat,A610-DATE(PlanYear,1,1)+1)&amp;"","")&lt;&gt;"",0,1))</f>
        <v/>
      </c>
      <c r="L610" s="28">
        <f>IF(K610="","",K610*IFERROR(VLOOKUP(C610,CodeTable,4,0),0))</f>
        <v/>
      </c>
    </row>
    <row r="611">
      <c r="A611" s="22" t="n"/>
      <c r="B611" s="23" t="n"/>
      <c r="C611" s="24" t="n"/>
      <c r="D611" s="25" t="n"/>
      <c r="E611" s="26" t="n"/>
      <c r="F611" s="26" t="n"/>
      <c r="G611" s="27">
        <f>IF(C611="","",IFERROR(VLOOKUP(C611,CodeTable,3,0),1))</f>
        <v/>
      </c>
      <c r="H611" s="27">
        <f>IF(C611="","",IF(E611&lt;&gt;"",E611,IF(IFERROR(VLOOKUP(C611,CodeTable,5,0)&amp;"","")="","All",VLOOKUP(C611,CodeTable,5,0)&amp;"")))</f>
        <v/>
      </c>
      <c r="I611" s="28">
        <f>IF(OR(A611="",C611=""),"",A611&amp;"|"&amp;B611&amp;"|"&amp;(COUNTIFS(FlDate,A611,FlShift,B611,FlCode,"&lt;&gt;",FlOrder,"&lt;"&amp;J611)+COUNTIFS(A$6:A611,A611,B$6:B611,B611,C$6:C611,"&lt;&gt;",J$6:J611,J611)))</f>
        <v/>
      </c>
      <c r="J611" s="28">
        <f>IF(C611="","",IF(D611="","zz","t"&amp;D611))</f>
        <v/>
      </c>
      <c r="K611" s="28">
        <f>IF(OR(A611="",C611=""),"",IF(IFERROR(INDEX(DayStat,A611-DATE(PlanYear,1,1)+1)&amp;"","")&lt;&gt;"",0,1))</f>
        <v/>
      </c>
      <c r="L611" s="28">
        <f>IF(K611="","",K611*IFERROR(VLOOKUP(C611,CodeTable,4,0),0))</f>
        <v/>
      </c>
    </row>
    <row r="612">
      <c r="A612" s="22" t="n"/>
      <c r="B612" s="23" t="n"/>
      <c r="C612" s="24" t="n"/>
      <c r="D612" s="25" t="n"/>
      <c r="E612" s="26" t="n"/>
      <c r="F612" s="26" t="n"/>
      <c r="G612" s="27">
        <f>IF(C612="","",IFERROR(VLOOKUP(C612,CodeTable,3,0),1))</f>
        <v/>
      </c>
      <c r="H612" s="27">
        <f>IF(C612="","",IF(E612&lt;&gt;"",E612,IF(IFERROR(VLOOKUP(C612,CodeTable,5,0)&amp;"","")="","All",VLOOKUP(C612,CodeTable,5,0)&amp;"")))</f>
        <v/>
      </c>
      <c r="I612" s="28">
        <f>IF(OR(A612="",C612=""),"",A612&amp;"|"&amp;B612&amp;"|"&amp;(COUNTIFS(FlDate,A612,FlShift,B612,FlCode,"&lt;&gt;",FlOrder,"&lt;"&amp;J612)+COUNTIFS(A$6:A612,A612,B$6:B612,B612,C$6:C612,"&lt;&gt;",J$6:J612,J612)))</f>
        <v/>
      </c>
      <c r="J612" s="28">
        <f>IF(C612="","",IF(D612="","zz","t"&amp;D612))</f>
        <v/>
      </c>
      <c r="K612" s="28">
        <f>IF(OR(A612="",C612=""),"",IF(IFERROR(INDEX(DayStat,A612-DATE(PlanYear,1,1)+1)&amp;"","")&lt;&gt;"",0,1))</f>
        <v/>
      </c>
      <c r="L612" s="28">
        <f>IF(K612="","",K612*IFERROR(VLOOKUP(C612,CodeTable,4,0),0))</f>
        <v/>
      </c>
    </row>
    <row r="613">
      <c r="A613" s="22" t="n"/>
      <c r="B613" s="23" t="n"/>
      <c r="C613" s="24" t="n"/>
      <c r="D613" s="25" t="n"/>
      <c r="E613" s="26" t="n"/>
      <c r="F613" s="26" t="n"/>
      <c r="G613" s="27">
        <f>IF(C613="","",IFERROR(VLOOKUP(C613,CodeTable,3,0),1))</f>
        <v/>
      </c>
      <c r="H613" s="27">
        <f>IF(C613="","",IF(E613&lt;&gt;"",E613,IF(IFERROR(VLOOKUP(C613,CodeTable,5,0)&amp;"","")="","All",VLOOKUP(C613,CodeTable,5,0)&amp;"")))</f>
        <v/>
      </c>
      <c r="I613" s="28">
        <f>IF(OR(A613="",C613=""),"",A613&amp;"|"&amp;B613&amp;"|"&amp;(COUNTIFS(FlDate,A613,FlShift,B613,FlCode,"&lt;&gt;",FlOrder,"&lt;"&amp;J613)+COUNTIFS(A$6:A613,A613,B$6:B613,B613,C$6:C613,"&lt;&gt;",J$6:J613,J613)))</f>
        <v/>
      </c>
      <c r="J613" s="28">
        <f>IF(C613="","",IF(D613="","zz","t"&amp;D613))</f>
        <v/>
      </c>
      <c r="K613" s="28">
        <f>IF(OR(A613="",C613=""),"",IF(IFERROR(INDEX(DayStat,A613-DATE(PlanYear,1,1)+1)&amp;"","")&lt;&gt;"",0,1))</f>
        <v/>
      </c>
      <c r="L613" s="28">
        <f>IF(K613="","",K613*IFERROR(VLOOKUP(C613,CodeTable,4,0),0))</f>
        <v/>
      </c>
    </row>
    <row r="614">
      <c r="A614" s="22" t="n"/>
      <c r="B614" s="23" t="n"/>
      <c r="C614" s="24" t="n"/>
      <c r="D614" s="25" t="n"/>
      <c r="E614" s="26" t="n"/>
      <c r="F614" s="26" t="n"/>
      <c r="G614" s="27">
        <f>IF(C614="","",IFERROR(VLOOKUP(C614,CodeTable,3,0),1))</f>
        <v/>
      </c>
      <c r="H614" s="27">
        <f>IF(C614="","",IF(E614&lt;&gt;"",E614,IF(IFERROR(VLOOKUP(C614,CodeTable,5,0)&amp;"","")="","All",VLOOKUP(C614,CodeTable,5,0)&amp;"")))</f>
        <v/>
      </c>
      <c r="I614" s="28">
        <f>IF(OR(A614="",C614=""),"",A614&amp;"|"&amp;B614&amp;"|"&amp;(COUNTIFS(FlDate,A614,FlShift,B614,FlCode,"&lt;&gt;",FlOrder,"&lt;"&amp;J614)+COUNTIFS(A$6:A614,A614,B$6:B614,B614,C$6:C614,"&lt;&gt;",J$6:J614,J614)))</f>
        <v/>
      </c>
      <c r="J614" s="28">
        <f>IF(C614="","",IF(D614="","zz","t"&amp;D614))</f>
        <v/>
      </c>
      <c r="K614" s="28">
        <f>IF(OR(A614="",C614=""),"",IF(IFERROR(INDEX(DayStat,A614-DATE(PlanYear,1,1)+1)&amp;"","")&lt;&gt;"",0,1))</f>
        <v/>
      </c>
      <c r="L614" s="28">
        <f>IF(K614="","",K614*IFERROR(VLOOKUP(C614,CodeTable,4,0),0))</f>
        <v/>
      </c>
    </row>
    <row r="615">
      <c r="A615" s="22" t="n"/>
      <c r="B615" s="23" t="n"/>
      <c r="C615" s="24" t="n"/>
      <c r="D615" s="25" t="n"/>
      <c r="E615" s="26" t="n"/>
      <c r="F615" s="26" t="n"/>
      <c r="G615" s="27">
        <f>IF(C615="","",IFERROR(VLOOKUP(C615,CodeTable,3,0),1))</f>
        <v/>
      </c>
      <c r="H615" s="27">
        <f>IF(C615="","",IF(E615&lt;&gt;"",E615,IF(IFERROR(VLOOKUP(C615,CodeTable,5,0)&amp;"","")="","All",VLOOKUP(C615,CodeTable,5,0)&amp;"")))</f>
        <v/>
      </c>
      <c r="I615" s="28">
        <f>IF(OR(A615="",C615=""),"",A615&amp;"|"&amp;B615&amp;"|"&amp;(COUNTIFS(FlDate,A615,FlShift,B615,FlCode,"&lt;&gt;",FlOrder,"&lt;"&amp;J615)+COUNTIFS(A$6:A615,A615,B$6:B615,B615,C$6:C615,"&lt;&gt;",J$6:J615,J615)))</f>
        <v/>
      </c>
      <c r="J615" s="28">
        <f>IF(C615="","",IF(D615="","zz","t"&amp;D615))</f>
        <v/>
      </c>
      <c r="K615" s="28">
        <f>IF(OR(A615="",C615=""),"",IF(IFERROR(INDEX(DayStat,A615-DATE(PlanYear,1,1)+1)&amp;"","")&lt;&gt;"",0,1))</f>
        <v/>
      </c>
      <c r="L615" s="28">
        <f>IF(K615="","",K615*IFERROR(VLOOKUP(C615,CodeTable,4,0),0))</f>
        <v/>
      </c>
    </row>
    <row r="616">
      <c r="A616" s="22" t="n"/>
      <c r="B616" s="23" t="n"/>
      <c r="C616" s="24" t="n"/>
      <c r="D616" s="25" t="n"/>
      <c r="E616" s="26" t="n"/>
      <c r="F616" s="26" t="n"/>
      <c r="G616" s="27">
        <f>IF(C616="","",IFERROR(VLOOKUP(C616,CodeTable,3,0),1))</f>
        <v/>
      </c>
      <c r="H616" s="27">
        <f>IF(C616="","",IF(E616&lt;&gt;"",E616,IF(IFERROR(VLOOKUP(C616,CodeTable,5,0)&amp;"","")="","All",VLOOKUP(C616,CodeTable,5,0)&amp;"")))</f>
        <v/>
      </c>
      <c r="I616" s="28">
        <f>IF(OR(A616="",C616=""),"",A616&amp;"|"&amp;B616&amp;"|"&amp;(COUNTIFS(FlDate,A616,FlShift,B616,FlCode,"&lt;&gt;",FlOrder,"&lt;"&amp;J616)+COUNTIFS(A$6:A616,A616,B$6:B616,B616,C$6:C616,"&lt;&gt;",J$6:J616,J616)))</f>
        <v/>
      </c>
      <c r="J616" s="28">
        <f>IF(C616="","",IF(D616="","zz","t"&amp;D616))</f>
        <v/>
      </c>
      <c r="K616" s="28">
        <f>IF(OR(A616="",C616=""),"",IF(IFERROR(INDEX(DayStat,A616-DATE(PlanYear,1,1)+1)&amp;"","")&lt;&gt;"",0,1))</f>
        <v/>
      </c>
      <c r="L616" s="28">
        <f>IF(K616="","",K616*IFERROR(VLOOKUP(C616,CodeTable,4,0),0))</f>
        <v/>
      </c>
    </row>
    <row r="617">
      <c r="A617" s="22" t="n"/>
      <c r="B617" s="23" t="n"/>
      <c r="C617" s="24" t="n"/>
      <c r="D617" s="25" t="n"/>
      <c r="E617" s="26" t="n"/>
      <c r="F617" s="26" t="n"/>
      <c r="G617" s="27">
        <f>IF(C617="","",IFERROR(VLOOKUP(C617,CodeTable,3,0),1))</f>
        <v/>
      </c>
      <c r="H617" s="27">
        <f>IF(C617="","",IF(E617&lt;&gt;"",E617,IF(IFERROR(VLOOKUP(C617,CodeTable,5,0)&amp;"","")="","All",VLOOKUP(C617,CodeTable,5,0)&amp;"")))</f>
        <v/>
      </c>
      <c r="I617" s="28">
        <f>IF(OR(A617="",C617=""),"",A617&amp;"|"&amp;B617&amp;"|"&amp;(COUNTIFS(FlDate,A617,FlShift,B617,FlCode,"&lt;&gt;",FlOrder,"&lt;"&amp;J617)+COUNTIFS(A$6:A617,A617,B$6:B617,B617,C$6:C617,"&lt;&gt;",J$6:J617,J617)))</f>
        <v/>
      </c>
      <c r="J617" s="28">
        <f>IF(C617="","",IF(D617="","zz","t"&amp;D617))</f>
        <v/>
      </c>
      <c r="K617" s="28">
        <f>IF(OR(A617="",C617=""),"",IF(IFERROR(INDEX(DayStat,A617-DATE(PlanYear,1,1)+1)&amp;"","")&lt;&gt;"",0,1))</f>
        <v/>
      </c>
      <c r="L617" s="28">
        <f>IF(K617="","",K617*IFERROR(VLOOKUP(C617,CodeTable,4,0),0))</f>
        <v/>
      </c>
    </row>
    <row r="618">
      <c r="A618" s="22" t="n"/>
      <c r="B618" s="23" t="n"/>
      <c r="C618" s="24" t="n"/>
      <c r="D618" s="25" t="n"/>
      <c r="E618" s="26" t="n"/>
      <c r="F618" s="26" t="n"/>
      <c r="G618" s="27">
        <f>IF(C618="","",IFERROR(VLOOKUP(C618,CodeTable,3,0),1))</f>
        <v/>
      </c>
      <c r="H618" s="27">
        <f>IF(C618="","",IF(E618&lt;&gt;"",E618,IF(IFERROR(VLOOKUP(C618,CodeTable,5,0)&amp;"","")="","All",VLOOKUP(C618,CodeTable,5,0)&amp;"")))</f>
        <v/>
      </c>
      <c r="I618" s="28">
        <f>IF(OR(A618="",C618=""),"",A618&amp;"|"&amp;B618&amp;"|"&amp;(COUNTIFS(FlDate,A618,FlShift,B618,FlCode,"&lt;&gt;",FlOrder,"&lt;"&amp;J618)+COUNTIFS(A$6:A618,A618,B$6:B618,B618,C$6:C618,"&lt;&gt;",J$6:J618,J618)))</f>
        <v/>
      </c>
      <c r="J618" s="28">
        <f>IF(C618="","",IF(D618="","zz","t"&amp;D618))</f>
        <v/>
      </c>
      <c r="K618" s="28">
        <f>IF(OR(A618="",C618=""),"",IF(IFERROR(INDEX(DayStat,A618-DATE(PlanYear,1,1)+1)&amp;"","")&lt;&gt;"",0,1))</f>
        <v/>
      </c>
      <c r="L618" s="28">
        <f>IF(K618="","",K618*IFERROR(VLOOKUP(C618,CodeTable,4,0),0))</f>
        <v/>
      </c>
    </row>
    <row r="619">
      <c r="A619" s="22" t="n"/>
      <c r="B619" s="23" t="n"/>
      <c r="C619" s="24" t="n"/>
      <c r="D619" s="25" t="n"/>
      <c r="E619" s="26" t="n"/>
      <c r="F619" s="26" t="n"/>
      <c r="G619" s="27">
        <f>IF(C619="","",IFERROR(VLOOKUP(C619,CodeTable,3,0),1))</f>
        <v/>
      </c>
      <c r="H619" s="27">
        <f>IF(C619="","",IF(E619&lt;&gt;"",E619,IF(IFERROR(VLOOKUP(C619,CodeTable,5,0)&amp;"","")="","All",VLOOKUP(C619,CodeTable,5,0)&amp;"")))</f>
        <v/>
      </c>
      <c r="I619" s="28">
        <f>IF(OR(A619="",C619=""),"",A619&amp;"|"&amp;B619&amp;"|"&amp;(COUNTIFS(FlDate,A619,FlShift,B619,FlCode,"&lt;&gt;",FlOrder,"&lt;"&amp;J619)+COUNTIFS(A$6:A619,A619,B$6:B619,B619,C$6:C619,"&lt;&gt;",J$6:J619,J619)))</f>
        <v/>
      </c>
      <c r="J619" s="28">
        <f>IF(C619="","",IF(D619="","zz","t"&amp;D619))</f>
        <v/>
      </c>
      <c r="K619" s="28">
        <f>IF(OR(A619="",C619=""),"",IF(IFERROR(INDEX(DayStat,A619-DATE(PlanYear,1,1)+1)&amp;"","")&lt;&gt;"",0,1))</f>
        <v/>
      </c>
      <c r="L619" s="28">
        <f>IF(K619="","",K619*IFERROR(VLOOKUP(C619,CodeTable,4,0),0))</f>
        <v/>
      </c>
    </row>
    <row r="620">
      <c r="A620" s="22" t="n"/>
      <c r="B620" s="23" t="n"/>
      <c r="C620" s="24" t="n"/>
      <c r="D620" s="25" t="n"/>
      <c r="E620" s="26" t="n"/>
      <c r="F620" s="26" t="n"/>
      <c r="G620" s="27">
        <f>IF(C620="","",IFERROR(VLOOKUP(C620,CodeTable,3,0),1))</f>
        <v/>
      </c>
      <c r="H620" s="27">
        <f>IF(C620="","",IF(E620&lt;&gt;"",E620,IF(IFERROR(VLOOKUP(C620,CodeTable,5,0)&amp;"","")="","All",VLOOKUP(C620,CodeTable,5,0)&amp;"")))</f>
        <v/>
      </c>
      <c r="I620" s="28">
        <f>IF(OR(A620="",C620=""),"",A620&amp;"|"&amp;B620&amp;"|"&amp;(COUNTIFS(FlDate,A620,FlShift,B620,FlCode,"&lt;&gt;",FlOrder,"&lt;"&amp;J620)+COUNTIFS(A$6:A620,A620,B$6:B620,B620,C$6:C620,"&lt;&gt;",J$6:J620,J620)))</f>
        <v/>
      </c>
      <c r="J620" s="28">
        <f>IF(C620="","",IF(D620="","zz","t"&amp;D620))</f>
        <v/>
      </c>
      <c r="K620" s="28">
        <f>IF(OR(A620="",C620=""),"",IF(IFERROR(INDEX(DayStat,A620-DATE(PlanYear,1,1)+1)&amp;"","")&lt;&gt;"",0,1))</f>
        <v/>
      </c>
      <c r="L620" s="28">
        <f>IF(K620="","",K620*IFERROR(VLOOKUP(C620,CodeTable,4,0),0))</f>
        <v/>
      </c>
    </row>
    <row r="621">
      <c r="A621" s="22" t="n"/>
      <c r="B621" s="23" t="n"/>
      <c r="C621" s="24" t="n"/>
      <c r="D621" s="25" t="n"/>
      <c r="E621" s="26" t="n"/>
      <c r="F621" s="26" t="n"/>
      <c r="G621" s="27">
        <f>IF(C621="","",IFERROR(VLOOKUP(C621,CodeTable,3,0),1))</f>
        <v/>
      </c>
      <c r="H621" s="27">
        <f>IF(C621="","",IF(E621&lt;&gt;"",E621,IF(IFERROR(VLOOKUP(C621,CodeTable,5,0)&amp;"","")="","All",VLOOKUP(C621,CodeTable,5,0)&amp;"")))</f>
        <v/>
      </c>
      <c r="I621" s="28">
        <f>IF(OR(A621="",C621=""),"",A621&amp;"|"&amp;B621&amp;"|"&amp;(COUNTIFS(FlDate,A621,FlShift,B621,FlCode,"&lt;&gt;",FlOrder,"&lt;"&amp;J621)+COUNTIFS(A$6:A621,A621,B$6:B621,B621,C$6:C621,"&lt;&gt;",J$6:J621,J621)))</f>
        <v/>
      </c>
      <c r="J621" s="28">
        <f>IF(C621="","",IF(D621="","zz","t"&amp;D621))</f>
        <v/>
      </c>
      <c r="K621" s="28">
        <f>IF(OR(A621="",C621=""),"",IF(IFERROR(INDEX(DayStat,A621-DATE(PlanYear,1,1)+1)&amp;"","")&lt;&gt;"",0,1))</f>
        <v/>
      </c>
      <c r="L621" s="28">
        <f>IF(K621="","",K621*IFERROR(VLOOKUP(C621,CodeTable,4,0),0))</f>
        <v/>
      </c>
    </row>
    <row r="622">
      <c r="A622" s="22" t="n"/>
      <c r="B622" s="23" t="n"/>
      <c r="C622" s="24" t="n"/>
      <c r="D622" s="25" t="n"/>
      <c r="E622" s="26" t="n"/>
      <c r="F622" s="26" t="n"/>
      <c r="G622" s="27">
        <f>IF(C622="","",IFERROR(VLOOKUP(C622,CodeTable,3,0),1))</f>
        <v/>
      </c>
      <c r="H622" s="27">
        <f>IF(C622="","",IF(E622&lt;&gt;"",E622,IF(IFERROR(VLOOKUP(C622,CodeTable,5,0)&amp;"","")="","All",VLOOKUP(C622,CodeTable,5,0)&amp;"")))</f>
        <v/>
      </c>
      <c r="I622" s="28">
        <f>IF(OR(A622="",C622=""),"",A622&amp;"|"&amp;B622&amp;"|"&amp;(COUNTIFS(FlDate,A622,FlShift,B622,FlCode,"&lt;&gt;",FlOrder,"&lt;"&amp;J622)+COUNTIFS(A$6:A622,A622,B$6:B622,B622,C$6:C622,"&lt;&gt;",J$6:J622,J622)))</f>
        <v/>
      </c>
      <c r="J622" s="28">
        <f>IF(C622="","",IF(D622="","zz","t"&amp;D622))</f>
        <v/>
      </c>
      <c r="K622" s="28">
        <f>IF(OR(A622="",C622=""),"",IF(IFERROR(INDEX(DayStat,A622-DATE(PlanYear,1,1)+1)&amp;"","")&lt;&gt;"",0,1))</f>
        <v/>
      </c>
      <c r="L622" s="28">
        <f>IF(K622="","",K622*IFERROR(VLOOKUP(C622,CodeTable,4,0),0))</f>
        <v/>
      </c>
    </row>
    <row r="623">
      <c r="A623" s="22" t="n"/>
      <c r="B623" s="23" t="n"/>
      <c r="C623" s="24" t="n"/>
      <c r="D623" s="25" t="n"/>
      <c r="E623" s="26" t="n"/>
      <c r="F623" s="26" t="n"/>
      <c r="G623" s="27">
        <f>IF(C623="","",IFERROR(VLOOKUP(C623,CodeTable,3,0),1))</f>
        <v/>
      </c>
      <c r="H623" s="27">
        <f>IF(C623="","",IF(E623&lt;&gt;"",E623,IF(IFERROR(VLOOKUP(C623,CodeTable,5,0)&amp;"","")="","All",VLOOKUP(C623,CodeTable,5,0)&amp;"")))</f>
        <v/>
      </c>
      <c r="I623" s="28">
        <f>IF(OR(A623="",C623=""),"",A623&amp;"|"&amp;B623&amp;"|"&amp;(COUNTIFS(FlDate,A623,FlShift,B623,FlCode,"&lt;&gt;",FlOrder,"&lt;"&amp;J623)+COUNTIFS(A$6:A623,A623,B$6:B623,B623,C$6:C623,"&lt;&gt;",J$6:J623,J623)))</f>
        <v/>
      </c>
      <c r="J623" s="28">
        <f>IF(C623="","",IF(D623="","zz","t"&amp;D623))</f>
        <v/>
      </c>
      <c r="K623" s="28">
        <f>IF(OR(A623="",C623=""),"",IF(IFERROR(INDEX(DayStat,A623-DATE(PlanYear,1,1)+1)&amp;"","")&lt;&gt;"",0,1))</f>
        <v/>
      </c>
      <c r="L623" s="28">
        <f>IF(K623="","",K623*IFERROR(VLOOKUP(C623,CodeTable,4,0),0))</f>
        <v/>
      </c>
    </row>
    <row r="624">
      <c r="A624" s="22" t="n"/>
      <c r="B624" s="23" t="n"/>
      <c r="C624" s="24" t="n"/>
      <c r="D624" s="25" t="n"/>
      <c r="E624" s="26" t="n"/>
      <c r="F624" s="26" t="n"/>
      <c r="G624" s="27">
        <f>IF(C624="","",IFERROR(VLOOKUP(C624,CodeTable,3,0),1))</f>
        <v/>
      </c>
      <c r="H624" s="27">
        <f>IF(C624="","",IF(E624&lt;&gt;"",E624,IF(IFERROR(VLOOKUP(C624,CodeTable,5,0)&amp;"","")="","All",VLOOKUP(C624,CodeTable,5,0)&amp;"")))</f>
        <v/>
      </c>
      <c r="I624" s="28">
        <f>IF(OR(A624="",C624=""),"",A624&amp;"|"&amp;B624&amp;"|"&amp;(COUNTIFS(FlDate,A624,FlShift,B624,FlCode,"&lt;&gt;",FlOrder,"&lt;"&amp;J624)+COUNTIFS(A$6:A624,A624,B$6:B624,B624,C$6:C624,"&lt;&gt;",J$6:J624,J624)))</f>
        <v/>
      </c>
      <c r="J624" s="28">
        <f>IF(C624="","",IF(D624="","zz","t"&amp;D624))</f>
        <v/>
      </c>
      <c r="K624" s="28">
        <f>IF(OR(A624="",C624=""),"",IF(IFERROR(INDEX(DayStat,A624-DATE(PlanYear,1,1)+1)&amp;"","")&lt;&gt;"",0,1))</f>
        <v/>
      </c>
      <c r="L624" s="28">
        <f>IF(K624="","",K624*IFERROR(VLOOKUP(C624,CodeTable,4,0),0))</f>
        <v/>
      </c>
    </row>
    <row r="625">
      <c r="A625" s="22" t="n"/>
      <c r="B625" s="23" t="n"/>
      <c r="C625" s="24" t="n"/>
      <c r="D625" s="25" t="n"/>
      <c r="E625" s="26" t="n"/>
      <c r="F625" s="26" t="n"/>
      <c r="G625" s="27">
        <f>IF(C625="","",IFERROR(VLOOKUP(C625,CodeTable,3,0),1))</f>
        <v/>
      </c>
      <c r="H625" s="27">
        <f>IF(C625="","",IF(E625&lt;&gt;"",E625,IF(IFERROR(VLOOKUP(C625,CodeTable,5,0)&amp;"","")="","All",VLOOKUP(C625,CodeTable,5,0)&amp;"")))</f>
        <v/>
      </c>
      <c r="I625" s="28">
        <f>IF(OR(A625="",C625=""),"",A625&amp;"|"&amp;B625&amp;"|"&amp;(COUNTIFS(FlDate,A625,FlShift,B625,FlCode,"&lt;&gt;",FlOrder,"&lt;"&amp;J625)+COUNTIFS(A$6:A625,A625,B$6:B625,B625,C$6:C625,"&lt;&gt;",J$6:J625,J625)))</f>
        <v/>
      </c>
      <c r="J625" s="28">
        <f>IF(C625="","",IF(D625="","zz","t"&amp;D625))</f>
        <v/>
      </c>
      <c r="K625" s="28">
        <f>IF(OR(A625="",C625=""),"",IF(IFERROR(INDEX(DayStat,A625-DATE(PlanYear,1,1)+1)&amp;"","")&lt;&gt;"",0,1))</f>
        <v/>
      </c>
      <c r="L625" s="28">
        <f>IF(K625="","",K625*IFERROR(VLOOKUP(C625,CodeTable,4,0),0))</f>
        <v/>
      </c>
    </row>
    <row r="626">
      <c r="A626" s="22" t="n"/>
      <c r="B626" s="23" t="n"/>
      <c r="C626" s="24" t="n"/>
      <c r="D626" s="25" t="n"/>
      <c r="E626" s="26" t="n"/>
      <c r="F626" s="26" t="n"/>
      <c r="G626" s="27">
        <f>IF(C626="","",IFERROR(VLOOKUP(C626,CodeTable,3,0),1))</f>
        <v/>
      </c>
      <c r="H626" s="27">
        <f>IF(C626="","",IF(E626&lt;&gt;"",E626,IF(IFERROR(VLOOKUP(C626,CodeTable,5,0)&amp;"","")="","All",VLOOKUP(C626,CodeTable,5,0)&amp;"")))</f>
        <v/>
      </c>
      <c r="I626" s="28">
        <f>IF(OR(A626="",C626=""),"",A626&amp;"|"&amp;B626&amp;"|"&amp;(COUNTIFS(FlDate,A626,FlShift,B626,FlCode,"&lt;&gt;",FlOrder,"&lt;"&amp;J626)+COUNTIFS(A$6:A626,A626,B$6:B626,B626,C$6:C626,"&lt;&gt;",J$6:J626,J626)))</f>
        <v/>
      </c>
      <c r="J626" s="28">
        <f>IF(C626="","",IF(D626="","zz","t"&amp;D626))</f>
        <v/>
      </c>
      <c r="K626" s="28">
        <f>IF(OR(A626="",C626=""),"",IF(IFERROR(INDEX(DayStat,A626-DATE(PlanYear,1,1)+1)&amp;"","")&lt;&gt;"",0,1))</f>
        <v/>
      </c>
      <c r="L626" s="28">
        <f>IF(K626="","",K626*IFERROR(VLOOKUP(C626,CodeTable,4,0),0))</f>
        <v/>
      </c>
    </row>
    <row r="627">
      <c r="A627" s="22" t="n"/>
      <c r="B627" s="23" t="n"/>
      <c r="C627" s="24" t="n"/>
      <c r="D627" s="25" t="n"/>
      <c r="E627" s="26" t="n"/>
      <c r="F627" s="26" t="n"/>
      <c r="G627" s="27">
        <f>IF(C627="","",IFERROR(VLOOKUP(C627,CodeTable,3,0),1))</f>
        <v/>
      </c>
      <c r="H627" s="27">
        <f>IF(C627="","",IF(E627&lt;&gt;"",E627,IF(IFERROR(VLOOKUP(C627,CodeTable,5,0)&amp;"","")="","All",VLOOKUP(C627,CodeTable,5,0)&amp;"")))</f>
        <v/>
      </c>
      <c r="I627" s="28">
        <f>IF(OR(A627="",C627=""),"",A627&amp;"|"&amp;B627&amp;"|"&amp;(COUNTIFS(FlDate,A627,FlShift,B627,FlCode,"&lt;&gt;",FlOrder,"&lt;"&amp;J627)+COUNTIFS(A$6:A627,A627,B$6:B627,B627,C$6:C627,"&lt;&gt;",J$6:J627,J627)))</f>
        <v/>
      </c>
      <c r="J627" s="28">
        <f>IF(C627="","",IF(D627="","zz","t"&amp;D627))</f>
        <v/>
      </c>
      <c r="K627" s="28">
        <f>IF(OR(A627="",C627=""),"",IF(IFERROR(INDEX(DayStat,A627-DATE(PlanYear,1,1)+1)&amp;"","")&lt;&gt;"",0,1))</f>
        <v/>
      </c>
      <c r="L627" s="28">
        <f>IF(K627="","",K627*IFERROR(VLOOKUP(C627,CodeTable,4,0),0))</f>
        <v/>
      </c>
    </row>
    <row r="628">
      <c r="A628" s="22" t="n"/>
      <c r="B628" s="23" t="n"/>
      <c r="C628" s="24" t="n"/>
      <c r="D628" s="25" t="n"/>
      <c r="E628" s="26" t="n"/>
      <c r="F628" s="26" t="n"/>
      <c r="G628" s="27">
        <f>IF(C628="","",IFERROR(VLOOKUP(C628,CodeTable,3,0),1))</f>
        <v/>
      </c>
      <c r="H628" s="27">
        <f>IF(C628="","",IF(E628&lt;&gt;"",E628,IF(IFERROR(VLOOKUP(C628,CodeTable,5,0)&amp;"","")="","All",VLOOKUP(C628,CodeTable,5,0)&amp;"")))</f>
        <v/>
      </c>
      <c r="I628" s="28">
        <f>IF(OR(A628="",C628=""),"",A628&amp;"|"&amp;B628&amp;"|"&amp;(COUNTIFS(FlDate,A628,FlShift,B628,FlCode,"&lt;&gt;",FlOrder,"&lt;"&amp;J628)+COUNTIFS(A$6:A628,A628,B$6:B628,B628,C$6:C628,"&lt;&gt;",J$6:J628,J628)))</f>
        <v/>
      </c>
      <c r="J628" s="28">
        <f>IF(C628="","",IF(D628="","zz","t"&amp;D628))</f>
        <v/>
      </c>
      <c r="K628" s="28">
        <f>IF(OR(A628="",C628=""),"",IF(IFERROR(INDEX(DayStat,A628-DATE(PlanYear,1,1)+1)&amp;"","")&lt;&gt;"",0,1))</f>
        <v/>
      </c>
      <c r="L628" s="28">
        <f>IF(K628="","",K628*IFERROR(VLOOKUP(C628,CodeTable,4,0),0))</f>
        <v/>
      </c>
    </row>
    <row r="629">
      <c r="A629" s="22" t="n"/>
      <c r="B629" s="23" t="n"/>
      <c r="C629" s="24" t="n"/>
      <c r="D629" s="25" t="n"/>
      <c r="E629" s="26" t="n"/>
      <c r="F629" s="26" t="n"/>
      <c r="G629" s="27">
        <f>IF(C629="","",IFERROR(VLOOKUP(C629,CodeTable,3,0),1))</f>
        <v/>
      </c>
      <c r="H629" s="27">
        <f>IF(C629="","",IF(E629&lt;&gt;"",E629,IF(IFERROR(VLOOKUP(C629,CodeTable,5,0)&amp;"","")="","All",VLOOKUP(C629,CodeTable,5,0)&amp;"")))</f>
        <v/>
      </c>
      <c r="I629" s="28">
        <f>IF(OR(A629="",C629=""),"",A629&amp;"|"&amp;B629&amp;"|"&amp;(COUNTIFS(FlDate,A629,FlShift,B629,FlCode,"&lt;&gt;",FlOrder,"&lt;"&amp;J629)+COUNTIFS(A$6:A629,A629,B$6:B629,B629,C$6:C629,"&lt;&gt;",J$6:J629,J629)))</f>
        <v/>
      </c>
      <c r="J629" s="28">
        <f>IF(C629="","",IF(D629="","zz","t"&amp;D629))</f>
        <v/>
      </c>
      <c r="K629" s="28">
        <f>IF(OR(A629="",C629=""),"",IF(IFERROR(INDEX(DayStat,A629-DATE(PlanYear,1,1)+1)&amp;"","")&lt;&gt;"",0,1))</f>
        <v/>
      </c>
      <c r="L629" s="28">
        <f>IF(K629="","",K629*IFERROR(VLOOKUP(C629,CodeTable,4,0),0))</f>
        <v/>
      </c>
    </row>
    <row r="630">
      <c r="A630" s="22" t="n"/>
      <c r="B630" s="23" t="n"/>
      <c r="C630" s="24" t="n"/>
      <c r="D630" s="25" t="n"/>
      <c r="E630" s="26" t="n"/>
      <c r="F630" s="26" t="n"/>
      <c r="G630" s="27">
        <f>IF(C630="","",IFERROR(VLOOKUP(C630,CodeTable,3,0),1))</f>
        <v/>
      </c>
      <c r="H630" s="27">
        <f>IF(C630="","",IF(E630&lt;&gt;"",E630,IF(IFERROR(VLOOKUP(C630,CodeTable,5,0)&amp;"","")="","All",VLOOKUP(C630,CodeTable,5,0)&amp;"")))</f>
        <v/>
      </c>
      <c r="I630" s="28">
        <f>IF(OR(A630="",C630=""),"",A630&amp;"|"&amp;B630&amp;"|"&amp;(COUNTIFS(FlDate,A630,FlShift,B630,FlCode,"&lt;&gt;",FlOrder,"&lt;"&amp;J630)+COUNTIFS(A$6:A630,A630,B$6:B630,B630,C$6:C630,"&lt;&gt;",J$6:J630,J630)))</f>
        <v/>
      </c>
      <c r="J630" s="28">
        <f>IF(C630="","",IF(D630="","zz","t"&amp;D630))</f>
        <v/>
      </c>
      <c r="K630" s="28">
        <f>IF(OR(A630="",C630=""),"",IF(IFERROR(INDEX(DayStat,A630-DATE(PlanYear,1,1)+1)&amp;"","")&lt;&gt;"",0,1))</f>
        <v/>
      </c>
      <c r="L630" s="28">
        <f>IF(K630="","",K630*IFERROR(VLOOKUP(C630,CodeTable,4,0),0))</f>
        <v/>
      </c>
    </row>
    <row r="631">
      <c r="A631" s="22" t="n"/>
      <c r="B631" s="23" t="n"/>
      <c r="C631" s="24" t="n"/>
      <c r="D631" s="25" t="n"/>
      <c r="E631" s="26" t="n"/>
      <c r="F631" s="26" t="n"/>
      <c r="G631" s="27">
        <f>IF(C631="","",IFERROR(VLOOKUP(C631,CodeTable,3,0),1))</f>
        <v/>
      </c>
      <c r="H631" s="27">
        <f>IF(C631="","",IF(E631&lt;&gt;"",E631,IF(IFERROR(VLOOKUP(C631,CodeTable,5,0)&amp;"","")="","All",VLOOKUP(C631,CodeTable,5,0)&amp;"")))</f>
        <v/>
      </c>
      <c r="I631" s="28">
        <f>IF(OR(A631="",C631=""),"",A631&amp;"|"&amp;B631&amp;"|"&amp;(COUNTIFS(FlDate,A631,FlShift,B631,FlCode,"&lt;&gt;",FlOrder,"&lt;"&amp;J631)+COUNTIFS(A$6:A631,A631,B$6:B631,B631,C$6:C631,"&lt;&gt;",J$6:J631,J631)))</f>
        <v/>
      </c>
      <c r="J631" s="28">
        <f>IF(C631="","",IF(D631="","zz","t"&amp;D631))</f>
        <v/>
      </c>
      <c r="K631" s="28">
        <f>IF(OR(A631="",C631=""),"",IF(IFERROR(INDEX(DayStat,A631-DATE(PlanYear,1,1)+1)&amp;"","")&lt;&gt;"",0,1))</f>
        <v/>
      </c>
      <c r="L631" s="28">
        <f>IF(K631="","",K631*IFERROR(VLOOKUP(C631,CodeTable,4,0),0))</f>
        <v/>
      </c>
    </row>
    <row r="632">
      <c r="A632" s="22" t="n"/>
      <c r="B632" s="23" t="n"/>
      <c r="C632" s="24" t="n"/>
      <c r="D632" s="25" t="n"/>
      <c r="E632" s="26" t="n"/>
      <c r="F632" s="26" t="n"/>
      <c r="G632" s="27">
        <f>IF(C632="","",IFERROR(VLOOKUP(C632,CodeTable,3,0),1))</f>
        <v/>
      </c>
      <c r="H632" s="27">
        <f>IF(C632="","",IF(E632&lt;&gt;"",E632,IF(IFERROR(VLOOKUP(C632,CodeTable,5,0)&amp;"","")="","All",VLOOKUP(C632,CodeTable,5,0)&amp;"")))</f>
        <v/>
      </c>
      <c r="I632" s="28">
        <f>IF(OR(A632="",C632=""),"",A632&amp;"|"&amp;B632&amp;"|"&amp;(COUNTIFS(FlDate,A632,FlShift,B632,FlCode,"&lt;&gt;",FlOrder,"&lt;"&amp;J632)+COUNTIFS(A$6:A632,A632,B$6:B632,B632,C$6:C632,"&lt;&gt;",J$6:J632,J632)))</f>
        <v/>
      </c>
      <c r="J632" s="28">
        <f>IF(C632="","",IF(D632="","zz","t"&amp;D632))</f>
        <v/>
      </c>
      <c r="K632" s="28">
        <f>IF(OR(A632="",C632=""),"",IF(IFERROR(INDEX(DayStat,A632-DATE(PlanYear,1,1)+1)&amp;"","")&lt;&gt;"",0,1))</f>
        <v/>
      </c>
      <c r="L632" s="28">
        <f>IF(K632="","",K632*IFERROR(VLOOKUP(C632,CodeTable,4,0),0))</f>
        <v/>
      </c>
    </row>
    <row r="633">
      <c r="A633" s="22" t="n"/>
      <c r="B633" s="23" t="n"/>
      <c r="C633" s="24" t="n"/>
      <c r="D633" s="25" t="n"/>
      <c r="E633" s="26" t="n"/>
      <c r="F633" s="26" t="n"/>
      <c r="G633" s="27">
        <f>IF(C633="","",IFERROR(VLOOKUP(C633,CodeTable,3,0),1))</f>
        <v/>
      </c>
      <c r="H633" s="27">
        <f>IF(C633="","",IF(E633&lt;&gt;"",E633,IF(IFERROR(VLOOKUP(C633,CodeTable,5,0)&amp;"","")="","All",VLOOKUP(C633,CodeTable,5,0)&amp;"")))</f>
        <v/>
      </c>
      <c r="I633" s="28">
        <f>IF(OR(A633="",C633=""),"",A633&amp;"|"&amp;B633&amp;"|"&amp;(COUNTIFS(FlDate,A633,FlShift,B633,FlCode,"&lt;&gt;",FlOrder,"&lt;"&amp;J633)+COUNTIFS(A$6:A633,A633,B$6:B633,B633,C$6:C633,"&lt;&gt;",J$6:J633,J633)))</f>
        <v/>
      </c>
      <c r="J633" s="28">
        <f>IF(C633="","",IF(D633="","zz","t"&amp;D633))</f>
        <v/>
      </c>
      <c r="K633" s="28">
        <f>IF(OR(A633="",C633=""),"",IF(IFERROR(INDEX(DayStat,A633-DATE(PlanYear,1,1)+1)&amp;"","")&lt;&gt;"",0,1))</f>
        <v/>
      </c>
      <c r="L633" s="28">
        <f>IF(K633="","",K633*IFERROR(VLOOKUP(C633,CodeTable,4,0),0))</f>
        <v/>
      </c>
    </row>
    <row r="634">
      <c r="A634" s="22" t="n"/>
      <c r="B634" s="23" t="n"/>
      <c r="C634" s="24" t="n"/>
      <c r="D634" s="25" t="n"/>
      <c r="E634" s="26" t="n"/>
      <c r="F634" s="26" t="n"/>
      <c r="G634" s="27">
        <f>IF(C634="","",IFERROR(VLOOKUP(C634,CodeTable,3,0),1))</f>
        <v/>
      </c>
      <c r="H634" s="27">
        <f>IF(C634="","",IF(E634&lt;&gt;"",E634,IF(IFERROR(VLOOKUP(C634,CodeTable,5,0)&amp;"","")="","All",VLOOKUP(C634,CodeTable,5,0)&amp;"")))</f>
        <v/>
      </c>
      <c r="I634" s="28">
        <f>IF(OR(A634="",C634=""),"",A634&amp;"|"&amp;B634&amp;"|"&amp;(COUNTIFS(FlDate,A634,FlShift,B634,FlCode,"&lt;&gt;",FlOrder,"&lt;"&amp;J634)+COUNTIFS(A$6:A634,A634,B$6:B634,B634,C$6:C634,"&lt;&gt;",J$6:J634,J634)))</f>
        <v/>
      </c>
      <c r="J634" s="28">
        <f>IF(C634="","",IF(D634="","zz","t"&amp;D634))</f>
        <v/>
      </c>
      <c r="K634" s="28">
        <f>IF(OR(A634="",C634=""),"",IF(IFERROR(INDEX(DayStat,A634-DATE(PlanYear,1,1)+1)&amp;"","")&lt;&gt;"",0,1))</f>
        <v/>
      </c>
      <c r="L634" s="28">
        <f>IF(K634="","",K634*IFERROR(VLOOKUP(C634,CodeTable,4,0),0))</f>
        <v/>
      </c>
    </row>
    <row r="635">
      <c r="A635" s="22" t="n"/>
      <c r="B635" s="23" t="n"/>
      <c r="C635" s="24" t="n"/>
      <c r="D635" s="25" t="n"/>
      <c r="E635" s="26" t="n"/>
      <c r="F635" s="26" t="n"/>
      <c r="G635" s="27">
        <f>IF(C635="","",IFERROR(VLOOKUP(C635,CodeTable,3,0),1))</f>
        <v/>
      </c>
      <c r="H635" s="27">
        <f>IF(C635="","",IF(E635&lt;&gt;"",E635,IF(IFERROR(VLOOKUP(C635,CodeTable,5,0)&amp;"","")="","All",VLOOKUP(C635,CodeTable,5,0)&amp;"")))</f>
        <v/>
      </c>
      <c r="I635" s="28">
        <f>IF(OR(A635="",C635=""),"",A635&amp;"|"&amp;B635&amp;"|"&amp;(COUNTIFS(FlDate,A635,FlShift,B635,FlCode,"&lt;&gt;",FlOrder,"&lt;"&amp;J635)+COUNTIFS(A$6:A635,A635,B$6:B635,B635,C$6:C635,"&lt;&gt;",J$6:J635,J635)))</f>
        <v/>
      </c>
      <c r="J635" s="28">
        <f>IF(C635="","",IF(D635="","zz","t"&amp;D635))</f>
        <v/>
      </c>
      <c r="K635" s="28">
        <f>IF(OR(A635="",C635=""),"",IF(IFERROR(INDEX(DayStat,A635-DATE(PlanYear,1,1)+1)&amp;"","")&lt;&gt;"",0,1))</f>
        <v/>
      </c>
      <c r="L635" s="28">
        <f>IF(K635="","",K635*IFERROR(VLOOKUP(C635,CodeTable,4,0),0))</f>
        <v/>
      </c>
    </row>
    <row r="636">
      <c r="A636" s="22" t="n"/>
      <c r="B636" s="23" t="n"/>
      <c r="C636" s="24" t="n"/>
      <c r="D636" s="25" t="n"/>
      <c r="E636" s="26" t="n"/>
      <c r="F636" s="26" t="n"/>
      <c r="G636" s="27">
        <f>IF(C636="","",IFERROR(VLOOKUP(C636,CodeTable,3,0),1))</f>
        <v/>
      </c>
      <c r="H636" s="27">
        <f>IF(C636="","",IF(E636&lt;&gt;"",E636,IF(IFERROR(VLOOKUP(C636,CodeTable,5,0)&amp;"","")="","All",VLOOKUP(C636,CodeTable,5,0)&amp;"")))</f>
        <v/>
      </c>
      <c r="I636" s="28">
        <f>IF(OR(A636="",C636=""),"",A636&amp;"|"&amp;B636&amp;"|"&amp;(COUNTIFS(FlDate,A636,FlShift,B636,FlCode,"&lt;&gt;",FlOrder,"&lt;"&amp;J636)+COUNTIFS(A$6:A636,A636,B$6:B636,B636,C$6:C636,"&lt;&gt;",J$6:J636,J636)))</f>
        <v/>
      </c>
      <c r="J636" s="28">
        <f>IF(C636="","",IF(D636="","zz","t"&amp;D636))</f>
        <v/>
      </c>
      <c r="K636" s="28">
        <f>IF(OR(A636="",C636=""),"",IF(IFERROR(INDEX(DayStat,A636-DATE(PlanYear,1,1)+1)&amp;"","")&lt;&gt;"",0,1))</f>
        <v/>
      </c>
      <c r="L636" s="28">
        <f>IF(K636="","",K636*IFERROR(VLOOKUP(C636,CodeTable,4,0),0))</f>
        <v/>
      </c>
    </row>
    <row r="637">
      <c r="A637" s="22" t="n"/>
      <c r="B637" s="23" t="n"/>
      <c r="C637" s="24" t="n"/>
      <c r="D637" s="25" t="n"/>
      <c r="E637" s="26" t="n"/>
      <c r="F637" s="26" t="n"/>
      <c r="G637" s="27">
        <f>IF(C637="","",IFERROR(VLOOKUP(C637,CodeTable,3,0),1))</f>
        <v/>
      </c>
      <c r="H637" s="27">
        <f>IF(C637="","",IF(E637&lt;&gt;"",E637,IF(IFERROR(VLOOKUP(C637,CodeTable,5,0)&amp;"","")="","All",VLOOKUP(C637,CodeTable,5,0)&amp;"")))</f>
        <v/>
      </c>
      <c r="I637" s="28">
        <f>IF(OR(A637="",C637=""),"",A637&amp;"|"&amp;B637&amp;"|"&amp;(COUNTIFS(FlDate,A637,FlShift,B637,FlCode,"&lt;&gt;",FlOrder,"&lt;"&amp;J637)+COUNTIFS(A$6:A637,A637,B$6:B637,B637,C$6:C637,"&lt;&gt;",J$6:J637,J637)))</f>
        <v/>
      </c>
      <c r="J637" s="28">
        <f>IF(C637="","",IF(D637="","zz","t"&amp;D637))</f>
        <v/>
      </c>
      <c r="K637" s="28">
        <f>IF(OR(A637="",C637=""),"",IF(IFERROR(INDEX(DayStat,A637-DATE(PlanYear,1,1)+1)&amp;"","")&lt;&gt;"",0,1))</f>
        <v/>
      </c>
      <c r="L637" s="28">
        <f>IF(K637="","",K637*IFERROR(VLOOKUP(C637,CodeTable,4,0),0))</f>
        <v/>
      </c>
    </row>
    <row r="638">
      <c r="A638" s="22" t="n"/>
      <c r="B638" s="23" t="n"/>
      <c r="C638" s="24" t="n"/>
      <c r="D638" s="25" t="n"/>
      <c r="E638" s="26" t="n"/>
      <c r="F638" s="26" t="n"/>
      <c r="G638" s="27">
        <f>IF(C638="","",IFERROR(VLOOKUP(C638,CodeTable,3,0),1))</f>
        <v/>
      </c>
      <c r="H638" s="27">
        <f>IF(C638="","",IF(E638&lt;&gt;"",E638,IF(IFERROR(VLOOKUP(C638,CodeTable,5,0)&amp;"","")="","All",VLOOKUP(C638,CodeTable,5,0)&amp;"")))</f>
        <v/>
      </c>
      <c r="I638" s="28">
        <f>IF(OR(A638="",C638=""),"",A638&amp;"|"&amp;B638&amp;"|"&amp;(COUNTIFS(FlDate,A638,FlShift,B638,FlCode,"&lt;&gt;",FlOrder,"&lt;"&amp;J638)+COUNTIFS(A$6:A638,A638,B$6:B638,B638,C$6:C638,"&lt;&gt;",J$6:J638,J638)))</f>
        <v/>
      </c>
      <c r="J638" s="28">
        <f>IF(C638="","",IF(D638="","zz","t"&amp;D638))</f>
        <v/>
      </c>
      <c r="K638" s="28">
        <f>IF(OR(A638="",C638=""),"",IF(IFERROR(INDEX(DayStat,A638-DATE(PlanYear,1,1)+1)&amp;"","")&lt;&gt;"",0,1))</f>
        <v/>
      </c>
      <c r="L638" s="28">
        <f>IF(K638="","",K638*IFERROR(VLOOKUP(C638,CodeTable,4,0),0))</f>
        <v/>
      </c>
    </row>
    <row r="639">
      <c r="A639" s="22" t="n"/>
      <c r="B639" s="23" t="n"/>
      <c r="C639" s="24" t="n"/>
      <c r="D639" s="25" t="n"/>
      <c r="E639" s="26" t="n"/>
      <c r="F639" s="26" t="n"/>
      <c r="G639" s="27">
        <f>IF(C639="","",IFERROR(VLOOKUP(C639,CodeTable,3,0),1))</f>
        <v/>
      </c>
      <c r="H639" s="27">
        <f>IF(C639="","",IF(E639&lt;&gt;"",E639,IF(IFERROR(VLOOKUP(C639,CodeTable,5,0)&amp;"","")="","All",VLOOKUP(C639,CodeTable,5,0)&amp;"")))</f>
        <v/>
      </c>
      <c r="I639" s="28">
        <f>IF(OR(A639="",C639=""),"",A639&amp;"|"&amp;B639&amp;"|"&amp;(COUNTIFS(FlDate,A639,FlShift,B639,FlCode,"&lt;&gt;",FlOrder,"&lt;"&amp;J639)+COUNTIFS(A$6:A639,A639,B$6:B639,B639,C$6:C639,"&lt;&gt;",J$6:J639,J639)))</f>
        <v/>
      </c>
      <c r="J639" s="28">
        <f>IF(C639="","",IF(D639="","zz","t"&amp;D639))</f>
        <v/>
      </c>
      <c r="K639" s="28">
        <f>IF(OR(A639="",C639=""),"",IF(IFERROR(INDEX(DayStat,A639-DATE(PlanYear,1,1)+1)&amp;"","")&lt;&gt;"",0,1))</f>
        <v/>
      </c>
      <c r="L639" s="28">
        <f>IF(K639="","",K639*IFERROR(VLOOKUP(C639,CodeTable,4,0),0))</f>
        <v/>
      </c>
    </row>
    <row r="640">
      <c r="A640" s="22" t="n"/>
      <c r="B640" s="23" t="n"/>
      <c r="C640" s="24" t="n"/>
      <c r="D640" s="25" t="n"/>
      <c r="E640" s="26" t="n"/>
      <c r="F640" s="26" t="n"/>
      <c r="G640" s="27">
        <f>IF(C640="","",IFERROR(VLOOKUP(C640,CodeTable,3,0),1))</f>
        <v/>
      </c>
      <c r="H640" s="27">
        <f>IF(C640="","",IF(E640&lt;&gt;"",E640,IF(IFERROR(VLOOKUP(C640,CodeTable,5,0)&amp;"","")="","All",VLOOKUP(C640,CodeTable,5,0)&amp;"")))</f>
        <v/>
      </c>
      <c r="I640" s="28">
        <f>IF(OR(A640="",C640=""),"",A640&amp;"|"&amp;B640&amp;"|"&amp;(COUNTIFS(FlDate,A640,FlShift,B640,FlCode,"&lt;&gt;",FlOrder,"&lt;"&amp;J640)+COUNTIFS(A$6:A640,A640,B$6:B640,B640,C$6:C640,"&lt;&gt;",J$6:J640,J640)))</f>
        <v/>
      </c>
      <c r="J640" s="28">
        <f>IF(C640="","",IF(D640="","zz","t"&amp;D640))</f>
        <v/>
      </c>
      <c r="K640" s="28">
        <f>IF(OR(A640="",C640=""),"",IF(IFERROR(INDEX(DayStat,A640-DATE(PlanYear,1,1)+1)&amp;"","")&lt;&gt;"",0,1))</f>
        <v/>
      </c>
      <c r="L640" s="28">
        <f>IF(K640="","",K640*IFERROR(VLOOKUP(C640,CodeTable,4,0),0))</f>
        <v/>
      </c>
    </row>
    <row r="641">
      <c r="A641" s="22" t="n"/>
      <c r="B641" s="23" t="n"/>
      <c r="C641" s="24" t="n"/>
      <c r="D641" s="25" t="n"/>
      <c r="E641" s="26" t="n"/>
      <c r="F641" s="26" t="n"/>
      <c r="G641" s="27">
        <f>IF(C641="","",IFERROR(VLOOKUP(C641,CodeTable,3,0),1))</f>
        <v/>
      </c>
      <c r="H641" s="27">
        <f>IF(C641="","",IF(E641&lt;&gt;"",E641,IF(IFERROR(VLOOKUP(C641,CodeTable,5,0)&amp;"","")="","All",VLOOKUP(C641,CodeTable,5,0)&amp;"")))</f>
        <v/>
      </c>
      <c r="I641" s="28">
        <f>IF(OR(A641="",C641=""),"",A641&amp;"|"&amp;B641&amp;"|"&amp;(COUNTIFS(FlDate,A641,FlShift,B641,FlCode,"&lt;&gt;",FlOrder,"&lt;"&amp;J641)+COUNTIFS(A$6:A641,A641,B$6:B641,B641,C$6:C641,"&lt;&gt;",J$6:J641,J641)))</f>
        <v/>
      </c>
      <c r="J641" s="28">
        <f>IF(C641="","",IF(D641="","zz","t"&amp;D641))</f>
        <v/>
      </c>
      <c r="K641" s="28">
        <f>IF(OR(A641="",C641=""),"",IF(IFERROR(INDEX(DayStat,A641-DATE(PlanYear,1,1)+1)&amp;"","")&lt;&gt;"",0,1))</f>
        <v/>
      </c>
      <c r="L641" s="28">
        <f>IF(K641="","",K641*IFERROR(VLOOKUP(C641,CodeTable,4,0),0))</f>
        <v/>
      </c>
    </row>
    <row r="642">
      <c r="A642" s="22" t="n"/>
      <c r="B642" s="23" t="n"/>
      <c r="C642" s="24" t="n"/>
      <c r="D642" s="25" t="n"/>
      <c r="E642" s="26" t="n"/>
      <c r="F642" s="26" t="n"/>
      <c r="G642" s="27">
        <f>IF(C642="","",IFERROR(VLOOKUP(C642,CodeTable,3,0),1))</f>
        <v/>
      </c>
      <c r="H642" s="27">
        <f>IF(C642="","",IF(E642&lt;&gt;"",E642,IF(IFERROR(VLOOKUP(C642,CodeTable,5,0)&amp;"","")="","All",VLOOKUP(C642,CodeTable,5,0)&amp;"")))</f>
        <v/>
      </c>
      <c r="I642" s="28">
        <f>IF(OR(A642="",C642=""),"",A642&amp;"|"&amp;B642&amp;"|"&amp;(COUNTIFS(FlDate,A642,FlShift,B642,FlCode,"&lt;&gt;",FlOrder,"&lt;"&amp;J642)+COUNTIFS(A$6:A642,A642,B$6:B642,B642,C$6:C642,"&lt;&gt;",J$6:J642,J642)))</f>
        <v/>
      </c>
      <c r="J642" s="28">
        <f>IF(C642="","",IF(D642="","zz","t"&amp;D642))</f>
        <v/>
      </c>
      <c r="K642" s="28">
        <f>IF(OR(A642="",C642=""),"",IF(IFERROR(INDEX(DayStat,A642-DATE(PlanYear,1,1)+1)&amp;"","")&lt;&gt;"",0,1))</f>
        <v/>
      </c>
      <c r="L642" s="28">
        <f>IF(K642="","",K642*IFERROR(VLOOKUP(C642,CodeTable,4,0),0))</f>
        <v/>
      </c>
    </row>
    <row r="643">
      <c r="A643" s="22" t="n"/>
      <c r="B643" s="23" t="n"/>
      <c r="C643" s="24" t="n"/>
      <c r="D643" s="25" t="n"/>
      <c r="E643" s="26" t="n"/>
      <c r="F643" s="26" t="n"/>
      <c r="G643" s="27">
        <f>IF(C643="","",IFERROR(VLOOKUP(C643,CodeTable,3,0),1))</f>
        <v/>
      </c>
      <c r="H643" s="27">
        <f>IF(C643="","",IF(E643&lt;&gt;"",E643,IF(IFERROR(VLOOKUP(C643,CodeTable,5,0)&amp;"","")="","All",VLOOKUP(C643,CodeTable,5,0)&amp;"")))</f>
        <v/>
      </c>
      <c r="I643" s="28">
        <f>IF(OR(A643="",C643=""),"",A643&amp;"|"&amp;B643&amp;"|"&amp;(COUNTIFS(FlDate,A643,FlShift,B643,FlCode,"&lt;&gt;",FlOrder,"&lt;"&amp;J643)+COUNTIFS(A$6:A643,A643,B$6:B643,B643,C$6:C643,"&lt;&gt;",J$6:J643,J643)))</f>
        <v/>
      </c>
      <c r="J643" s="28">
        <f>IF(C643="","",IF(D643="","zz","t"&amp;D643))</f>
        <v/>
      </c>
      <c r="K643" s="28">
        <f>IF(OR(A643="",C643=""),"",IF(IFERROR(INDEX(DayStat,A643-DATE(PlanYear,1,1)+1)&amp;"","")&lt;&gt;"",0,1))</f>
        <v/>
      </c>
      <c r="L643" s="28">
        <f>IF(K643="","",K643*IFERROR(VLOOKUP(C643,CodeTable,4,0),0))</f>
        <v/>
      </c>
    </row>
    <row r="644">
      <c r="A644" s="22" t="n"/>
      <c r="B644" s="23" t="n"/>
      <c r="C644" s="24" t="n"/>
      <c r="D644" s="25" t="n"/>
      <c r="E644" s="26" t="n"/>
      <c r="F644" s="26" t="n"/>
      <c r="G644" s="27">
        <f>IF(C644="","",IFERROR(VLOOKUP(C644,CodeTable,3,0),1))</f>
        <v/>
      </c>
      <c r="H644" s="27">
        <f>IF(C644="","",IF(E644&lt;&gt;"",E644,IF(IFERROR(VLOOKUP(C644,CodeTable,5,0)&amp;"","")="","All",VLOOKUP(C644,CodeTable,5,0)&amp;"")))</f>
        <v/>
      </c>
      <c r="I644" s="28">
        <f>IF(OR(A644="",C644=""),"",A644&amp;"|"&amp;B644&amp;"|"&amp;(COUNTIFS(FlDate,A644,FlShift,B644,FlCode,"&lt;&gt;",FlOrder,"&lt;"&amp;J644)+COUNTIFS(A$6:A644,A644,B$6:B644,B644,C$6:C644,"&lt;&gt;",J$6:J644,J644)))</f>
        <v/>
      </c>
      <c r="J644" s="28">
        <f>IF(C644="","",IF(D644="","zz","t"&amp;D644))</f>
        <v/>
      </c>
      <c r="K644" s="28">
        <f>IF(OR(A644="",C644=""),"",IF(IFERROR(INDEX(DayStat,A644-DATE(PlanYear,1,1)+1)&amp;"","")&lt;&gt;"",0,1))</f>
        <v/>
      </c>
      <c r="L644" s="28">
        <f>IF(K644="","",K644*IFERROR(VLOOKUP(C644,CodeTable,4,0),0))</f>
        <v/>
      </c>
    </row>
    <row r="645">
      <c r="A645" s="22" t="n"/>
      <c r="B645" s="23" t="n"/>
      <c r="C645" s="24" t="n"/>
      <c r="D645" s="25" t="n"/>
      <c r="E645" s="26" t="n"/>
      <c r="F645" s="26" t="n"/>
      <c r="G645" s="27">
        <f>IF(C645="","",IFERROR(VLOOKUP(C645,CodeTable,3,0),1))</f>
        <v/>
      </c>
      <c r="H645" s="27">
        <f>IF(C645="","",IF(E645&lt;&gt;"",E645,IF(IFERROR(VLOOKUP(C645,CodeTable,5,0)&amp;"","")="","All",VLOOKUP(C645,CodeTable,5,0)&amp;"")))</f>
        <v/>
      </c>
      <c r="I645" s="28">
        <f>IF(OR(A645="",C645=""),"",A645&amp;"|"&amp;B645&amp;"|"&amp;(COUNTIFS(FlDate,A645,FlShift,B645,FlCode,"&lt;&gt;",FlOrder,"&lt;"&amp;J645)+COUNTIFS(A$6:A645,A645,B$6:B645,B645,C$6:C645,"&lt;&gt;",J$6:J645,J645)))</f>
        <v/>
      </c>
      <c r="J645" s="28">
        <f>IF(C645="","",IF(D645="","zz","t"&amp;D645))</f>
        <v/>
      </c>
      <c r="K645" s="28">
        <f>IF(OR(A645="",C645=""),"",IF(IFERROR(INDEX(DayStat,A645-DATE(PlanYear,1,1)+1)&amp;"","")&lt;&gt;"",0,1))</f>
        <v/>
      </c>
      <c r="L645" s="28">
        <f>IF(K645="","",K645*IFERROR(VLOOKUP(C645,CodeTable,4,0),0))</f>
        <v/>
      </c>
    </row>
    <row r="646">
      <c r="A646" s="22" t="n"/>
      <c r="B646" s="23" t="n"/>
      <c r="C646" s="24" t="n"/>
      <c r="D646" s="25" t="n"/>
      <c r="E646" s="26" t="n"/>
      <c r="F646" s="26" t="n"/>
      <c r="G646" s="27">
        <f>IF(C646="","",IFERROR(VLOOKUP(C646,CodeTable,3,0),1))</f>
        <v/>
      </c>
      <c r="H646" s="27">
        <f>IF(C646="","",IF(E646&lt;&gt;"",E646,IF(IFERROR(VLOOKUP(C646,CodeTable,5,0)&amp;"","")="","All",VLOOKUP(C646,CodeTable,5,0)&amp;"")))</f>
        <v/>
      </c>
      <c r="I646" s="28">
        <f>IF(OR(A646="",C646=""),"",A646&amp;"|"&amp;B646&amp;"|"&amp;(COUNTIFS(FlDate,A646,FlShift,B646,FlCode,"&lt;&gt;",FlOrder,"&lt;"&amp;J646)+COUNTIFS(A$6:A646,A646,B$6:B646,B646,C$6:C646,"&lt;&gt;",J$6:J646,J646)))</f>
        <v/>
      </c>
      <c r="J646" s="28">
        <f>IF(C646="","",IF(D646="","zz","t"&amp;D646))</f>
        <v/>
      </c>
      <c r="K646" s="28">
        <f>IF(OR(A646="",C646=""),"",IF(IFERROR(INDEX(DayStat,A646-DATE(PlanYear,1,1)+1)&amp;"","")&lt;&gt;"",0,1))</f>
        <v/>
      </c>
      <c r="L646" s="28">
        <f>IF(K646="","",K646*IFERROR(VLOOKUP(C646,CodeTable,4,0),0))</f>
        <v/>
      </c>
    </row>
    <row r="647">
      <c r="A647" s="22" t="n"/>
      <c r="B647" s="23" t="n"/>
      <c r="C647" s="24" t="n"/>
      <c r="D647" s="25" t="n"/>
      <c r="E647" s="26" t="n"/>
      <c r="F647" s="26" t="n"/>
      <c r="G647" s="27">
        <f>IF(C647="","",IFERROR(VLOOKUP(C647,CodeTable,3,0),1))</f>
        <v/>
      </c>
      <c r="H647" s="27">
        <f>IF(C647="","",IF(E647&lt;&gt;"",E647,IF(IFERROR(VLOOKUP(C647,CodeTable,5,0)&amp;"","")="","All",VLOOKUP(C647,CodeTable,5,0)&amp;"")))</f>
        <v/>
      </c>
      <c r="I647" s="28">
        <f>IF(OR(A647="",C647=""),"",A647&amp;"|"&amp;B647&amp;"|"&amp;(COUNTIFS(FlDate,A647,FlShift,B647,FlCode,"&lt;&gt;",FlOrder,"&lt;"&amp;J647)+COUNTIFS(A$6:A647,A647,B$6:B647,B647,C$6:C647,"&lt;&gt;",J$6:J647,J647)))</f>
        <v/>
      </c>
      <c r="J647" s="28">
        <f>IF(C647="","",IF(D647="","zz","t"&amp;D647))</f>
        <v/>
      </c>
      <c r="K647" s="28">
        <f>IF(OR(A647="",C647=""),"",IF(IFERROR(INDEX(DayStat,A647-DATE(PlanYear,1,1)+1)&amp;"","")&lt;&gt;"",0,1))</f>
        <v/>
      </c>
      <c r="L647" s="28">
        <f>IF(K647="","",K647*IFERROR(VLOOKUP(C647,CodeTable,4,0),0))</f>
        <v/>
      </c>
    </row>
    <row r="648">
      <c r="A648" s="22" t="n"/>
      <c r="B648" s="23" t="n"/>
      <c r="C648" s="24" t="n"/>
      <c r="D648" s="25" t="n"/>
      <c r="E648" s="26" t="n"/>
      <c r="F648" s="26" t="n"/>
      <c r="G648" s="27">
        <f>IF(C648="","",IFERROR(VLOOKUP(C648,CodeTable,3,0),1))</f>
        <v/>
      </c>
      <c r="H648" s="27">
        <f>IF(C648="","",IF(E648&lt;&gt;"",E648,IF(IFERROR(VLOOKUP(C648,CodeTable,5,0)&amp;"","")="","All",VLOOKUP(C648,CodeTable,5,0)&amp;"")))</f>
        <v/>
      </c>
      <c r="I648" s="28">
        <f>IF(OR(A648="",C648=""),"",A648&amp;"|"&amp;B648&amp;"|"&amp;(COUNTIFS(FlDate,A648,FlShift,B648,FlCode,"&lt;&gt;",FlOrder,"&lt;"&amp;J648)+COUNTIFS(A$6:A648,A648,B$6:B648,B648,C$6:C648,"&lt;&gt;",J$6:J648,J648)))</f>
        <v/>
      </c>
      <c r="J648" s="28">
        <f>IF(C648="","",IF(D648="","zz","t"&amp;D648))</f>
        <v/>
      </c>
      <c r="K648" s="28">
        <f>IF(OR(A648="",C648=""),"",IF(IFERROR(INDEX(DayStat,A648-DATE(PlanYear,1,1)+1)&amp;"","")&lt;&gt;"",0,1))</f>
        <v/>
      </c>
      <c r="L648" s="28">
        <f>IF(K648="","",K648*IFERROR(VLOOKUP(C648,CodeTable,4,0),0))</f>
        <v/>
      </c>
    </row>
    <row r="649">
      <c r="A649" s="22" t="n"/>
      <c r="B649" s="23" t="n"/>
      <c r="C649" s="24" t="n"/>
      <c r="D649" s="25" t="n"/>
      <c r="E649" s="26" t="n"/>
      <c r="F649" s="26" t="n"/>
      <c r="G649" s="27">
        <f>IF(C649="","",IFERROR(VLOOKUP(C649,CodeTable,3,0),1))</f>
        <v/>
      </c>
      <c r="H649" s="27">
        <f>IF(C649="","",IF(E649&lt;&gt;"",E649,IF(IFERROR(VLOOKUP(C649,CodeTable,5,0)&amp;"","")="","All",VLOOKUP(C649,CodeTable,5,0)&amp;"")))</f>
        <v/>
      </c>
      <c r="I649" s="28">
        <f>IF(OR(A649="",C649=""),"",A649&amp;"|"&amp;B649&amp;"|"&amp;(COUNTIFS(FlDate,A649,FlShift,B649,FlCode,"&lt;&gt;",FlOrder,"&lt;"&amp;J649)+COUNTIFS(A$6:A649,A649,B$6:B649,B649,C$6:C649,"&lt;&gt;",J$6:J649,J649)))</f>
        <v/>
      </c>
      <c r="J649" s="28">
        <f>IF(C649="","",IF(D649="","zz","t"&amp;D649))</f>
        <v/>
      </c>
      <c r="K649" s="28">
        <f>IF(OR(A649="",C649=""),"",IF(IFERROR(INDEX(DayStat,A649-DATE(PlanYear,1,1)+1)&amp;"","")&lt;&gt;"",0,1))</f>
        <v/>
      </c>
      <c r="L649" s="28">
        <f>IF(K649="","",K649*IFERROR(VLOOKUP(C649,CodeTable,4,0),0))</f>
        <v/>
      </c>
    </row>
    <row r="650">
      <c r="A650" s="22" t="n"/>
      <c r="B650" s="23" t="n"/>
      <c r="C650" s="24" t="n"/>
      <c r="D650" s="25" t="n"/>
      <c r="E650" s="26" t="n"/>
      <c r="F650" s="26" t="n"/>
      <c r="G650" s="27">
        <f>IF(C650="","",IFERROR(VLOOKUP(C650,CodeTable,3,0),1))</f>
        <v/>
      </c>
      <c r="H650" s="27">
        <f>IF(C650="","",IF(E650&lt;&gt;"",E650,IF(IFERROR(VLOOKUP(C650,CodeTable,5,0)&amp;"","")="","All",VLOOKUP(C650,CodeTable,5,0)&amp;"")))</f>
        <v/>
      </c>
      <c r="I650" s="28">
        <f>IF(OR(A650="",C650=""),"",A650&amp;"|"&amp;B650&amp;"|"&amp;(COUNTIFS(FlDate,A650,FlShift,B650,FlCode,"&lt;&gt;",FlOrder,"&lt;"&amp;J650)+COUNTIFS(A$6:A650,A650,B$6:B650,B650,C$6:C650,"&lt;&gt;",J$6:J650,J650)))</f>
        <v/>
      </c>
      <c r="J650" s="28">
        <f>IF(C650="","",IF(D650="","zz","t"&amp;D650))</f>
        <v/>
      </c>
      <c r="K650" s="28">
        <f>IF(OR(A650="",C650=""),"",IF(IFERROR(INDEX(DayStat,A650-DATE(PlanYear,1,1)+1)&amp;"","")&lt;&gt;"",0,1))</f>
        <v/>
      </c>
      <c r="L650" s="28">
        <f>IF(K650="","",K650*IFERROR(VLOOKUP(C650,CodeTable,4,0),0))</f>
        <v/>
      </c>
    </row>
    <row r="651">
      <c r="A651" s="22" t="n"/>
      <c r="B651" s="23" t="n"/>
      <c r="C651" s="24" t="n"/>
      <c r="D651" s="25" t="n"/>
      <c r="E651" s="26" t="n"/>
      <c r="F651" s="26" t="n"/>
      <c r="G651" s="27">
        <f>IF(C651="","",IFERROR(VLOOKUP(C651,CodeTable,3,0),1))</f>
        <v/>
      </c>
      <c r="H651" s="27">
        <f>IF(C651="","",IF(E651&lt;&gt;"",E651,IF(IFERROR(VLOOKUP(C651,CodeTable,5,0)&amp;"","")="","All",VLOOKUP(C651,CodeTable,5,0)&amp;"")))</f>
        <v/>
      </c>
      <c r="I651" s="28">
        <f>IF(OR(A651="",C651=""),"",A651&amp;"|"&amp;B651&amp;"|"&amp;(COUNTIFS(FlDate,A651,FlShift,B651,FlCode,"&lt;&gt;",FlOrder,"&lt;"&amp;J651)+COUNTIFS(A$6:A651,A651,B$6:B651,B651,C$6:C651,"&lt;&gt;",J$6:J651,J651)))</f>
        <v/>
      </c>
      <c r="J651" s="28">
        <f>IF(C651="","",IF(D651="","zz","t"&amp;D651))</f>
        <v/>
      </c>
      <c r="K651" s="28">
        <f>IF(OR(A651="",C651=""),"",IF(IFERROR(INDEX(DayStat,A651-DATE(PlanYear,1,1)+1)&amp;"","")&lt;&gt;"",0,1))</f>
        <v/>
      </c>
      <c r="L651" s="28">
        <f>IF(K651="","",K651*IFERROR(VLOOKUP(C651,CodeTable,4,0),0))</f>
        <v/>
      </c>
    </row>
    <row r="652">
      <c r="A652" s="22" t="n"/>
      <c r="B652" s="23" t="n"/>
      <c r="C652" s="24" t="n"/>
      <c r="D652" s="25" t="n"/>
      <c r="E652" s="26" t="n"/>
      <c r="F652" s="26" t="n"/>
      <c r="G652" s="27">
        <f>IF(C652="","",IFERROR(VLOOKUP(C652,CodeTable,3,0),1))</f>
        <v/>
      </c>
      <c r="H652" s="27">
        <f>IF(C652="","",IF(E652&lt;&gt;"",E652,IF(IFERROR(VLOOKUP(C652,CodeTable,5,0)&amp;"","")="","All",VLOOKUP(C652,CodeTable,5,0)&amp;"")))</f>
        <v/>
      </c>
      <c r="I652" s="28">
        <f>IF(OR(A652="",C652=""),"",A652&amp;"|"&amp;B652&amp;"|"&amp;(COUNTIFS(FlDate,A652,FlShift,B652,FlCode,"&lt;&gt;",FlOrder,"&lt;"&amp;J652)+COUNTIFS(A$6:A652,A652,B$6:B652,B652,C$6:C652,"&lt;&gt;",J$6:J652,J652)))</f>
        <v/>
      </c>
      <c r="J652" s="28">
        <f>IF(C652="","",IF(D652="","zz","t"&amp;D652))</f>
        <v/>
      </c>
      <c r="K652" s="28">
        <f>IF(OR(A652="",C652=""),"",IF(IFERROR(INDEX(DayStat,A652-DATE(PlanYear,1,1)+1)&amp;"","")&lt;&gt;"",0,1))</f>
        <v/>
      </c>
      <c r="L652" s="28">
        <f>IF(K652="","",K652*IFERROR(VLOOKUP(C652,CodeTable,4,0),0))</f>
        <v/>
      </c>
    </row>
    <row r="653">
      <c r="A653" s="22" t="n"/>
      <c r="B653" s="23" t="n"/>
      <c r="C653" s="24" t="n"/>
      <c r="D653" s="25" t="n"/>
      <c r="E653" s="26" t="n"/>
      <c r="F653" s="26" t="n"/>
      <c r="G653" s="27">
        <f>IF(C653="","",IFERROR(VLOOKUP(C653,CodeTable,3,0),1))</f>
        <v/>
      </c>
      <c r="H653" s="27">
        <f>IF(C653="","",IF(E653&lt;&gt;"",E653,IF(IFERROR(VLOOKUP(C653,CodeTable,5,0)&amp;"","")="","All",VLOOKUP(C653,CodeTable,5,0)&amp;"")))</f>
        <v/>
      </c>
      <c r="I653" s="28">
        <f>IF(OR(A653="",C653=""),"",A653&amp;"|"&amp;B653&amp;"|"&amp;(COUNTIFS(FlDate,A653,FlShift,B653,FlCode,"&lt;&gt;",FlOrder,"&lt;"&amp;J653)+COUNTIFS(A$6:A653,A653,B$6:B653,B653,C$6:C653,"&lt;&gt;",J$6:J653,J653)))</f>
        <v/>
      </c>
      <c r="J653" s="28">
        <f>IF(C653="","",IF(D653="","zz","t"&amp;D653))</f>
        <v/>
      </c>
      <c r="K653" s="28">
        <f>IF(OR(A653="",C653=""),"",IF(IFERROR(INDEX(DayStat,A653-DATE(PlanYear,1,1)+1)&amp;"","")&lt;&gt;"",0,1))</f>
        <v/>
      </c>
      <c r="L653" s="28">
        <f>IF(K653="","",K653*IFERROR(VLOOKUP(C653,CodeTable,4,0),0))</f>
        <v/>
      </c>
    </row>
    <row r="654">
      <c r="A654" s="22" t="n"/>
      <c r="B654" s="23" t="n"/>
      <c r="C654" s="24" t="n"/>
      <c r="D654" s="25" t="n"/>
      <c r="E654" s="26" t="n"/>
      <c r="F654" s="26" t="n"/>
      <c r="G654" s="27">
        <f>IF(C654="","",IFERROR(VLOOKUP(C654,CodeTable,3,0),1))</f>
        <v/>
      </c>
      <c r="H654" s="27">
        <f>IF(C654="","",IF(E654&lt;&gt;"",E654,IF(IFERROR(VLOOKUP(C654,CodeTable,5,0)&amp;"","")="","All",VLOOKUP(C654,CodeTable,5,0)&amp;"")))</f>
        <v/>
      </c>
      <c r="I654" s="28">
        <f>IF(OR(A654="",C654=""),"",A654&amp;"|"&amp;B654&amp;"|"&amp;(COUNTIFS(FlDate,A654,FlShift,B654,FlCode,"&lt;&gt;",FlOrder,"&lt;"&amp;J654)+COUNTIFS(A$6:A654,A654,B$6:B654,B654,C$6:C654,"&lt;&gt;",J$6:J654,J654)))</f>
        <v/>
      </c>
      <c r="J654" s="28">
        <f>IF(C654="","",IF(D654="","zz","t"&amp;D654))</f>
        <v/>
      </c>
      <c r="K654" s="28">
        <f>IF(OR(A654="",C654=""),"",IF(IFERROR(INDEX(DayStat,A654-DATE(PlanYear,1,1)+1)&amp;"","")&lt;&gt;"",0,1))</f>
        <v/>
      </c>
      <c r="L654" s="28">
        <f>IF(K654="","",K654*IFERROR(VLOOKUP(C654,CodeTable,4,0),0))</f>
        <v/>
      </c>
    </row>
    <row r="655">
      <c r="A655" s="22" t="n"/>
      <c r="B655" s="23" t="n"/>
      <c r="C655" s="24" t="n"/>
      <c r="D655" s="25" t="n"/>
      <c r="E655" s="26" t="n"/>
      <c r="F655" s="26" t="n"/>
      <c r="G655" s="27">
        <f>IF(C655="","",IFERROR(VLOOKUP(C655,CodeTable,3,0),1))</f>
        <v/>
      </c>
      <c r="H655" s="27">
        <f>IF(C655="","",IF(E655&lt;&gt;"",E655,IF(IFERROR(VLOOKUP(C655,CodeTable,5,0)&amp;"","")="","All",VLOOKUP(C655,CodeTable,5,0)&amp;"")))</f>
        <v/>
      </c>
      <c r="I655" s="28">
        <f>IF(OR(A655="",C655=""),"",A655&amp;"|"&amp;B655&amp;"|"&amp;(COUNTIFS(FlDate,A655,FlShift,B655,FlCode,"&lt;&gt;",FlOrder,"&lt;"&amp;J655)+COUNTIFS(A$6:A655,A655,B$6:B655,B655,C$6:C655,"&lt;&gt;",J$6:J655,J655)))</f>
        <v/>
      </c>
      <c r="J655" s="28">
        <f>IF(C655="","",IF(D655="","zz","t"&amp;D655))</f>
        <v/>
      </c>
      <c r="K655" s="28">
        <f>IF(OR(A655="",C655=""),"",IF(IFERROR(INDEX(DayStat,A655-DATE(PlanYear,1,1)+1)&amp;"","")&lt;&gt;"",0,1))</f>
        <v/>
      </c>
      <c r="L655" s="28">
        <f>IF(K655="","",K655*IFERROR(VLOOKUP(C655,CodeTable,4,0),0))</f>
        <v/>
      </c>
    </row>
    <row r="656">
      <c r="A656" s="22" t="n"/>
      <c r="B656" s="23" t="n"/>
      <c r="C656" s="24" t="n"/>
      <c r="D656" s="25" t="n"/>
      <c r="E656" s="26" t="n"/>
      <c r="F656" s="26" t="n"/>
      <c r="G656" s="27">
        <f>IF(C656="","",IFERROR(VLOOKUP(C656,CodeTable,3,0),1))</f>
        <v/>
      </c>
      <c r="H656" s="27">
        <f>IF(C656="","",IF(E656&lt;&gt;"",E656,IF(IFERROR(VLOOKUP(C656,CodeTable,5,0)&amp;"","")="","All",VLOOKUP(C656,CodeTable,5,0)&amp;"")))</f>
        <v/>
      </c>
      <c r="I656" s="28">
        <f>IF(OR(A656="",C656=""),"",A656&amp;"|"&amp;B656&amp;"|"&amp;(COUNTIFS(FlDate,A656,FlShift,B656,FlCode,"&lt;&gt;",FlOrder,"&lt;"&amp;J656)+COUNTIFS(A$6:A656,A656,B$6:B656,B656,C$6:C656,"&lt;&gt;",J$6:J656,J656)))</f>
        <v/>
      </c>
      <c r="J656" s="28">
        <f>IF(C656="","",IF(D656="","zz","t"&amp;D656))</f>
        <v/>
      </c>
      <c r="K656" s="28">
        <f>IF(OR(A656="",C656=""),"",IF(IFERROR(INDEX(DayStat,A656-DATE(PlanYear,1,1)+1)&amp;"","")&lt;&gt;"",0,1))</f>
        <v/>
      </c>
      <c r="L656" s="28">
        <f>IF(K656="","",K656*IFERROR(VLOOKUP(C656,CodeTable,4,0),0))</f>
        <v/>
      </c>
    </row>
    <row r="657">
      <c r="A657" s="22" t="n"/>
      <c r="B657" s="23" t="n"/>
      <c r="C657" s="24" t="n"/>
      <c r="D657" s="25" t="n"/>
      <c r="E657" s="26" t="n"/>
      <c r="F657" s="26" t="n"/>
      <c r="G657" s="27">
        <f>IF(C657="","",IFERROR(VLOOKUP(C657,CodeTable,3,0),1))</f>
        <v/>
      </c>
      <c r="H657" s="27">
        <f>IF(C657="","",IF(E657&lt;&gt;"",E657,IF(IFERROR(VLOOKUP(C657,CodeTable,5,0)&amp;"","")="","All",VLOOKUP(C657,CodeTable,5,0)&amp;"")))</f>
        <v/>
      </c>
      <c r="I657" s="28">
        <f>IF(OR(A657="",C657=""),"",A657&amp;"|"&amp;B657&amp;"|"&amp;(COUNTIFS(FlDate,A657,FlShift,B657,FlCode,"&lt;&gt;",FlOrder,"&lt;"&amp;J657)+COUNTIFS(A$6:A657,A657,B$6:B657,B657,C$6:C657,"&lt;&gt;",J$6:J657,J657)))</f>
        <v/>
      </c>
      <c r="J657" s="28">
        <f>IF(C657="","",IF(D657="","zz","t"&amp;D657))</f>
        <v/>
      </c>
      <c r="K657" s="28">
        <f>IF(OR(A657="",C657=""),"",IF(IFERROR(INDEX(DayStat,A657-DATE(PlanYear,1,1)+1)&amp;"","")&lt;&gt;"",0,1))</f>
        <v/>
      </c>
      <c r="L657" s="28">
        <f>IF(K657="","",K657*IFERROR(VLOOKUP(C657,CodeTable,4,0),0))</f>
        <v/>
      </c>
    </row>
    <row r="658">
      <c r="A658" s="22" t="n"/>
      <c r="B658" s="23" t="n"/>
      <c r="C658" s="24" t="n"/>
      <c r="D658" s="25" t="n"/>
      <c r="E658" s="26" t="n"/>
      <c r="F658" s="26" t="n"/>
      <c r="G658" s="27">
        <f>IF(C658="","",IFERROR(VLOOKUP(C658,CodeTable,3,0),1))</f>
        <v/>
      </c>
      <c r="H658" s="27">
        <f>IF(C658="","",IF(E658&lt;&gt;"",E658,IF(IFERROR(VLOOKUP(C658,CodeTable,5,0)&amp;"","")="","All",VLOOKUP(C658,CodeTable,5,0)&amp;"")))</f>
        <v/>
      </c>
      <c r="I658" s="28">
        <f>IF(OR(A658="",C658=""),"",A658&amp;"|"&amp;B658&amp;"|"&amp;(COUNTIFS(FlDate,A658,FlShift,B658,FlCode,"&lt;&gt;",FlOrder,"&lt;"&amp;J658)+COUNTIFS(A$6:A658,A658,B$6:B658,B658,C$6:C658,"&lt;&gt;",J$6:J658,J658)))</f>
        <v/>
      </c>
      <c r="J658" s="28">
        <f>IF(C658="","",IF(D658="","zz","t"&amp;D658))</f>
        <v/>
      </c>
      <c r="K658" s="28">
        <f>IF(OR(A658="",C658=""),"",IF(IFERROR(INDEX(DayStat,A658-DATE(PlanYear,1,1)+1)&amp;"","")&lt;&gt;"",0,1))</f>
        <v/>
      </c>
      <c r="L658" s="28">
        <f>IF(K658="","",K658*IFERROR(VLOOKUP(C658,CodeTable,4,0),0))</f>
        <v/>
      </c>
    </row>
    <row r="659">
      <c r="A659" s="22" t="n"/>
      <c r="B659" s="23" t="n"/>
      <c r="C659" s="24" t="n"/>
      <c r="D659" s="25" t="n"/>
      <c r="E659" s="26" t="n"/>
      <c r="F659" s="26" t="n"/>
      <c r="G659" s="27">
        <f>IF(C659="","",IFERROR(VLOOKUP(C659,CodeTable,3,0),1))</f>
        <v/>
      </c>
      <c r="H659" s="27">
        <f>IF(C659="","",IF(E659&lt;&gt;"",E659,IF(IFERROR(VLOOKUP(C659,CodeTable,5,0)&amp;"","")="","All",VLOOKUP(C659,CodeTable,5,0)&amp;"")))</f>
        <v/>
      </c>
      <c r="I659" s="28">
        <f>IF(OR(A659="",C659=""),"",A659&amp;"|"&amp;B659&amp;"|"&amp;(COUNTIFS(FlDate,A659,FlShift,B659,FlCode,"&lt;&gt;",FlOrder,"&lt;"&amp;J659)+COUNTIFS(A$6:A659,A659,B$6:B659,B659,C$6:C659,"&lt;&gt;",J$6:J659,J659)))</f>
        <v/>
      </c>
      <c r="J659" s="28">
        <f>IF(C659="","",IF(D659="","zz","t"&amp;D659))</f>
        <v/>
      </c>
      <c r="K659" s="28">
        <f>IF(OR(A659="",C659=""),"",IF(IFERROR(INDEX(DayStat,A659-DATE(PlanYear,1,1)+1)&amp;"","")&lt;&gt;"",0,1))</f>
        <v/>
      </c>
      <c r="L659" s="28">
        <f>IF(K659="","",K659*IFERROR(VLOOKUP(C659,CodeTable,4,0),0))</f>
        <v/>
      </c>
    </row>
    <row r="660">
      <c r="A660" s="22" t="n"/>
      <c r="B660" s="23" t="n"/>
      <c r="C660" s="24" t="n"/>
      <c r="D660" s="25" t="n"/>
      <c r="E660" s="26" t="n"/>
      <c r="F660" s="26" t="n"/>
      <c r="G660" s="27">
        <f>IF(C660="","",IFERROR(VLOOKUP(C660,CodeTable,3,0),1))</f>
        <v/>
      </c>
      <c r="H660" s="27">
        <f>IF(C660="","",IF(E660&lt;&gt;"",E660,IF(IFERROR(VLOOKUP(C660,CodeTable,5,0)&amp;"","")="","All",VLOOKUP(C660,CodeTable,5,0)&amp;"")))</f>
        <v/>
      </c>
      <c r="I660" s="28">
        <f>IF(OR(A660="",C660=""),"",A660&amp;"|"&amp;B660&amp;"|"&amp;(COUNTIFS(FlDate,A660,FlShift,B660,FlCode,"&lt;&gt;",FlOrder,"&lt;"&amp;J660)+COUNTIFS(A$6:A660,A660,B$6:B660,B660,C$6:C660,"&lt;&gt;",J$6:J660,J660)))</f>
        <v/>
      </c>
      <c r="J660" s="28">
        <f>IF(C660="","",IF(D660="","zz","t"&amp;D660))</f>
        <v/>
      </c>
      <c r="K660" s="28">
        <f>IF(OR(A660="",C660=""),"",IF(IFERROR(INDEX(DayStat,A660-DATE(PlanYear,1,1)+1)&amp;"","")&lt;&gt;"",0,1))</f>
        <v/>
      </c>
      <c r="L660" s="28">
        <f>IF(K660="","",K660*IFERROR(VLOOKUP(C660,CodeTable,4,0),0))</f>
        <v/>
      </c>
    </row>
    <row r="661">
      <c r="A661" s="22" t="n"/>
      <c r="B661" s="23" t="n"/>
      <c r="C661" s="24" t="n"/>
      <c r="D661" s="25" t="n"/>
      <c r="E661" s="26" t="n"/>
      <c r="F661" s="26" t="n"/>
      <c r="G661" s="27">
        <f>IF(C661="","",IFERROR(VLOOKUP(C661,CodeTable,3,0),1))</f>
        <v/>
      </c>
      <c r="H661" s="27">
        <f>IF(C661="","",IF(E661&lt;&gt;"",E661,IF(IFERROR(VLOOKUP(C661,CodeTable,5,0)&amp;"","")="","All",VLOOKUP(C661,CodeTable,5,0)&amp;"")))</f>
        <v/>
      </c>
      <c r="I661" s="28">
        <f>IF(OR(A661="",C661=""),"",A661&amp;"|"&amp;B661&amp;"|"&amp;(COUNTIFS(FlDate,A661,FlShift,B661,FlCode,"&lt;&gt;",FlOrder,"&lt;"&amp;J661)+COUNTIFS(A$6:A661,A661,B$6:B661,B661,C$6:C661,"&lt;&gt;",J$6:J661,J661)))</f>
        <v/>
      </c>
      <c r="J661" s="28">
        <f>IF(C661="","",IF(D661="","zz","t"&amp;D661))</f>
        <v/>
      </c>
      <c r="K661" s="28">
        <f>IF(OR(A661="",C661=""),"",IF(IFERROR(INDEX(DayStat,A661-DATE(PlanYear,1,1)+1)&amp;"","")&lt;&gt;"",0,1))</f>
        <v/>
      </c>
      <c r="L661" s="28">
        <f>IF(K661="","",K661*IFERROR(VLOOKUP(C661,CodeTable,4,0),0))</f>
        <v/>
      </c>
    </row>
    <row r="662">
      <c r="A662" s="22" t="n"/>
      <c r="B662" s="23" t="n"/>
      <c r="C662" s="24" t="n"/>
      <c r="D662" s="25" t="n"/>
      <c r="E662" s="26" t="n"/>
      <c r="F662" s="26" t="n"/>
      <c r="G662" s="27">
        <f>IF(C662="","",IFERROR(VLOOKUP(C662,CodeTable,3,0),1))</f>
        <v/>
      </c>
      <c r="H662" s="27">
        <f>IF(C662="","",IF(E662&lt;&gt;"",E662,IF(IFERROR(VLOOKUP(C662,CodeTable,5,0)&amp;"","")="","All",VLOOKUP(C662,CodeTable,5,0)&amp;"")))</f>
        <v/>
      </c>
      <c r="I662" s="28">
        <f>IF(OR(A662="",C662=""),"",A662&amp;"|"&amp;B662&amp;"|"&amp;(COUNTIFS(FlDate,A662,FlShift,B662,FlCode,"&lt;&gt;",FlOrder,"&lt;"&amp;J662)+COUNTIFS(A$6:A662,A662,B$6:B662,B662,C$6:C662,"&lt;&gt;",J$6:J662,J662)))</f>
        <v/>
      </c>
      <c r="J662" s="28">
        <f>IF(C662="","",IF(D662="","zz","t"&amp;D662))</f>
        <v/>
      </c>
      <c r="K662" s="28">
        <f>IF(OR(A662="",C662=""),"",IF(IFERROR(INDEX(DayStat,A662-DATE(PlanYear,1,1)+1)&amp;"","")&lt;&gt;"",0,1))</f>
        <v/>
      </c>
      <c r="L662" s="28">
        <f>IF(K662="","",K662*IFERROR(VLOOKUP(C662,CodeTable,4,0),0))</f>
        <v/>
      </c>
    </row>
    <row r="663">
      <c r="A663" s="22" t="n"/>
      <c r="B663" s="23" t="n"/>
      <c r="C663" s="24" t="n"/>
      <c r="D663" s="25" t="n"/>
      <c r="E663" s="26" t="n"/>
      <c r="F663" s="26" t="n"/>
      <c r="G663" s="27">
        <f>IF(C663="","",IFERROR(VLOOKUP(C663,CodeTable,3,0),1))</f>
        <v/>
      </c>
      <c r="H663" s="27">
        <f>IF(C663="","",IF(E663&lt;&gt;"",E663,IF(IFERROR(VLOOKUP(C663,CodeTable,5,0)&amp;"","")="","All",VLOOKUP(C663,CodeTable,5,0)&amp;"")))</f>
        <v/>
      </c>
      <c r="I663" s="28">
        <f>IF(OR(A663="",C663=""),"",A663&amp;"|"&amp;B663&amp;"|"&amp;(COUNTIFS(FlDate,A663,FlShift,B663,FlCode,"&lt;&gt;",FlOrder,"&lt;"&amp;J663)+COUNTIFS(A$6:A663,A663,B$6:B663,B663,C$6:C663,"&lt;&gt;",J$6:J663,J663)))</f>
        <v/>
      </c>
      <c r="J663" s="28">
        <f>IF(C663="","",IF(D663="","zz","t"&amp;D663))</f>
        <v/>
      </c>
      <c r="K663" s="28">
        <f>IF(OR(A663="",C663=""),"",IF(IFERROR(INDEX(DayStat,A663-DATE(PlanYear,1,1)+1)&amp;"","")&lt;&gt;"",0,1))</f>
        <v/>
      </c>
      <c r="L663" s="28">
        <f>IF(K663="","",K663*IFERROR(VLOOKUP(C663,CodeTable,4,0),0))</f>
        <v/>
      </c>
    </row>
    <row r="664">
      <c r="A664" s="22" t="n"/>
      <c r="B664" s="23" t="n"/>
      <c r="C664" s="24" t="n"/>
      <c r="D664" s="25" t="n"/>
      <c r="E664" s="26" t="n"/>
      <c r="F664" s="26" t="n"/>
      <c r="G664" s="27">
        <f>IF(C664="","",IFERROR(VLOOKUP(C664,CodeTable,3,0),1))</f>
        <v/>
      </c>
      <c r="H664" s="27">
        <f>IF(C664="","",IF(E664&lt;&gt;"",E664,IF(IFERROR(VLOOKUP(C664,CodeTable,5,0)&amp;"","")="","All",VLOOKUP(C664,CodeTable,5,0)&amp;"")))</f>
        <v/>
      </c>
      <c r="I664" s="28">
        <f>IF(OR(A664="",C664=""),"",A664&amp;"|"&amp;B664&amp;"|"&amp;(COUNTIFS(FlDate,A664,FlShift,B664,FlCode,"&lt;&gt;",FlOrder,"&lt;"&amp;J664)+COUNTIFS(A$6:A664,A664,B$6:B664,B664,C$6:C664,"&lt;&gt;",J$6:J664,J664)))</f>
        <v/>
      </c>
      <c r="J664" s="28">
        <f>IF(C664="","",IF(D664="","zz","t"&amp;D664))</f>
        <v/>
      </c>
      <c r="K664" s="28">
        <f>IF(OR(A664="",C664=""),"",IF(IFERROR(INDEX(DayStat,A664-DATE(PlanYear,1,1)+1)&amp;"","")&lt;&gt;"",0,1))</f>
        <v/>
      </c>
      <c r="L664" s="28">
        <f>IF(K664="","",K664*IFERROR(VLOOKUP(C664,CodeTable,4,0),0))</f>
        <v/>
      </c>
    </row>
    <row r="665">
      <c r="A665" s="22" t="n"/>
      <c r="B665" s="23" t="n"/>
      <c r="C665" s="24" t="n"/>
      <c r="D665" s="25" t="n"/>
      <c r="E665" s="26" t="n"/>
      <c r="F665" s="26" t="n"/>
      <c r="G665" s="27">
        <f>IF(C665="","",IFERROR(VLOOKUP(C665,CodeTable,3,0),1))</f>
        <v/>
      </c>
      <c r="H665" s="27">
        <f>IF(C665="","",IF(E665&lt;&gt;"",E665,IF(IFERROR(VLOOKUP(C665,CodeTable,5,0)&amp;"","")="","All",VLOOKUP(C665,CodeTable,5,0)&amp;"")))</f>
        <v/>
      </c>
      <c r="I665" s="28">
        <f>IF(OR(A665="",C665=""),"",A665&amp;"|"&amp;B665&amp;"|"&amp;(COUNTIFS(FlDate,A665,FlShift,B665,FlCode,"&lt;&gt;",FlOrder,"&lt;"&amp;J665)+COUNTIFS(A$6:A665,A665,B$6:B665,B665,C$6:C665,"&lt;&gt;",J$6:J665,J665)))</f>
        <v/>
      </c>
      <c r="J665" s="28">
        <f>IF(C665="","",IF(D665="","zz","t"&amp;D665))</f>
        <v/>
      </c>
      <c r="K665" s="28">
        <f>IF(OR(A665="",C665=""),"",IF(IFERROR(INDEX(DayStat,A665-DATE(PlanYear,1,1)+1)&amp;"","")&lt;&gt;"",0,1))</f>
        <v/>
      </c>
      <c r="L665" s="28">
        <f>IF(K665="","",K665*IFERROR(VLOOKUP(C665,CodeTable,4,0),0))</f>
        <v/>
      </c>
    </row>
    <row r="666">
      <c r="A666" s="22" t="n"/>
      <c r="B666" s="23" t="n"/>
      <c r="C666" s="24" t="n"/>
      <c r="D666" s="25" t="n"/>
      <c r="E666" s="26" t="n"/>
      <c r="F666" s="26" t="n"/>
      <c r="G666" s="27">
        <f>IF(C666="","",IFERROR(VLOOKUP(C666,CodeTable,3,0),1))</f>
        <v/>
      </c>
      <c r="H666" s="27">
        <f>IF(C666="","",IF(E666&lt;&gt;"",E666,IF(IFERROR(VLOOKUP(C666,CodeTable,5,0)&amp;"","")="","All",VLOOKUP(C666,CodeTable,5,0)&amp;"")))</f>
        <v/>
      </c>
      <c r="I666" s="28">
        <f>IF(OR(A666="",C666=""),"",A666&amp;"|"&amp;B666&amp;"|"&amp;(COUNTIFS(FlDate,A666,FlShift,B666,FlCode,"&lt;&gt;",FlOrder,"&lt;"&amp;J666)+COUNTIFS(A$6:A666,A666,B$6:B666,B666,C$6:C666,"&lt;&gt;",J$6:J666,J666)))</f>
        <v/>
      </c>
      <c r="J666" s="28">
        <f>IF(C666="","",IF(D666="","zz","t"&amp;D666))</f>
        <v/>
      </c>
      <c r="K666" s="28">
        <f>IF(OR(A666="",C666=""),"",IF(IFERROR(INDEX(DayStat,A666-DATE(PlanYear,1,1)+1)&amp;"","")&lt;&gt;"",0,1))</f>
        <v/>
      </c>
      <c r="L666" s="28">
        <f>IF(K666="","",K666*IFERROR(VLOOKUP(C666,CodeTable,4,0),0))</f>
        <v/>
      </c>
    </row>
    <row r="667">
      <c r="A667" s="22" t="n"/>
      <c r="B667" s="23" t="n"/>
      <c r="C667" s="24" t="n"/>
      <c r="D667" s="25" t="n"/>
      <c r="E667" s="26" t="n"/>
      <c r="F667" s="26" t="n"/>
      <c r="G667" s="27">
        <f>IF(C667="","",IFERROR(VLOOKUP(C667,CodeTable,3,0),1))</f>
        <v/>
      </c>
      <c r="H667" s="27">
        <f>IF(C667="","",IF(E667&lt;&gt;"",E667,IF(IFERROR(VLOOKUP(C667,CodeTable,5,0)&amp;"","")="","All",VLOOKUP(C667,CodeTable,5,0)&amp;"")))</f>
        <v/>
      </c>
      <c r="I667" s="28">
        <f>IF(OR(A667="",C667=""),"",A667&amp;"|"&amp;B667&amp;"|"&amp;(COUNTIFS(FlDate,A667,FlShift,B667,FlCode,"&lt;&gt;",FlOrder,"&lt;"&amp;J667)+COUNTIFS(A$6:A667,A667,B$6:B667,B667,C$6:C667,"&lt;&gt;",J$6:J667,J667)))</f>
        <v/>
      </c>
      <c r="J667" s="28">
        <f>IF(C667="","",IF(D667="","zz","t"&amp;D667))</f>
        <v/>
      </c>
      <c r="K667" s="28">
        <f>IF(OR(A667="",C667=""),"",IF(IFERROR(INDEX(DayStat,A667-DATE(PlanYear,1,1)+1)&amp;"","")&lt;&gt;"",0,1))</f>
        <v/>
      </c>
      <c r="L667" s="28">
        <f>IF(K667="","",K667*IFERROR(VLOOKUP(C667,CodeTable,4,0),0))</f>
        <v/>
      </c>
    </row>
    <row r="668">
      <c r="A668" s="22" t="n"/>
      <c r="B668" s="23" t="n"/>
      <c r="C668" s="24" t="n"/>
      <c r="D668" s="25" t="n"/>
      <c r="E668" s="26" t="n"/>
      <c r="F668" s="26" t="n"/>
      <c r="G668" s="27">
        <f>IF(C668="","",IFERROR(VLOOKUP(C668,CodeTable,3,0),1))</f>
        <v/>
      </c>
      <c r="H668" s="27">
        <f>IF(C668="","",IF(E668&lt;&gt;"",E668,IF(IFERROR(VLOOKUP(C668,CodeTable,5,0)&amp;"","")="","All",VLOOKUP(C668,CodeTable,5,0)&amp;"")))</f>
        <v/>
      </c>
      <c r="I668" s="28">
        <f>IF(OR(A668="",C668=""),"",A668&amp;"|"&amp;B668&amp;"|"&amp;(COUNTIFS(FlDate,A668,FlShift,B668,FlCode,"&lt;&gt;",FlOrder,"&lt;"&amp;J668)+COUNTIFS(A$6:A668,A668,B$6:B668,B668,C$6:C668,"&lt;&gt;",J$6:J668,J668)))</f>
        <v/>
      </c>
      <c r="J668" s="28">
        <f>IF(C668="","",IF(D668="","zz","t"&amp;D668))</f>
        <v/>
      </c>
      <c r="K668" s="28">
        <f>IF(OR(A668="",C668=""),"",IF(IFERROR(INDEX(DayStat,A668-DATE(PlanYear,1,1)+1)&amp;"","")&lt;&gt;"",0,1))</f>
        <v/>
      </c>
      <c r="L668" s="28">
        <f>IF(K668="","",K668*IFERROR(VLOOKUP(C668,CodeTable,4,0),0))</f>
        <v/>
      </c>
    </row>
    <row r="669">
      <c r="A669" s="22" t="n"/>
      <c r="B669" s="23" t="n"/>
      <c r="C669" s="24" t="n"/>
      <c r="D669" s="25" t="n"/>
      <c r="E669" s="26" t="n"/>
      <c r="F669" s="26" t="n"/>
      <c r="G669" s="27">
        <f>IF(C669="","",IFERROR(VLOOKUP(C669,CodeTable,3,0),1))</f>
        <v/>
      </c>
      <c r="H669" s="27">
        <f>IF(C669="","",IF(E669&lt;&gt;"",E669,IF(IFERROR(VLOOKUP(C669,CodeTable,5,0)&amp;"","")="","All",VLOOKUP(C669,CodeTable,5,0)&amp;"")))</f>
        <v/>
      </c>
      <c r="I669" s="28">
        <f>IF(OR(A669="",C669=""),"",A669&amp;"|"&amp;B669&amp;"|"&amp;(COUNTIFS(FlDate,A669,FlShift,B669,FlCode,"&lt;&gt;",FlOrder,"&lt;"&amp;J669)+COUNTIFS(A$6:A669,A669,B$6:B669,B669,C$6:C669,"&lt;&gt;",J$6:J669,J669)))</f>
        <v/>
      </c>
      <c r="J669" s="28">
        <f>IF(C669="","",IF(D669="","zz","t"&amp;D669))</f>
        <v/>
      </c>
      <c r="K669" s="28">
        <f>IF(OR(A669="",C669=""),"",IF(IFERROR(INDEX(DayStat,A669-DATE(PlanYear,1,1)+1)&amp;"","")&lt;&gt;"",0,1))</f>
        <v/>
      </c>
      <c r="L669" s="28">
        <f>IF(K669="","",K669*IFERROR(VLOOKUP(C669,CodeTable,4,0),0))</f>
        <v/>
      </c>
    </row>
    <row r="670">
      <c r="A670" s="22" t="n"/>
      <c r="B670" s="23" t="n"/>
      <c r="C670" s="24" t="n"/>
      <c r="D670" s="25" t="n"/>
      <c r="E670" s="26" t="n"/>
      <c r="F670" s="26" t="n"/>
      <c r="G670" s="27">
        <f>IF(C670="","",IFERROR(VLOOKUP(C670,CodeTable,3,0),1))</f>
        <v/>
      </c>
      <c r="H670" s="27">
        <f>IF(C670="","",IF(E670&lt;&gt;"",E670,IF(IFERROR(VLOOKUP(C670,CodeTable,5,0)&amp;"","")="","All",VLOOKUP(C670,CodeTable,5,0)&amp;"")))</f>
        <v/>
      </c>
      <c r="I670" s="28">
        <f>IF(OR(A670="",C670=""),"",A670&amp;"|"&amp;B670&amp;"|"&amp;(COUNTIFS(FlDate,A670,FlShift,B670,FlCode,"&lt;&gt;",FlOrder,"&lt;"&amp;J670)+COUNTIFS(A$6:A670,A670,B$6:B670,B670,C$6:C670,"&lt;&gt;",J$6:J670,J670)))</f>
        <v/>
      </c>
      <c r="J670" s="28">
        <f>IF(C670="","",IF(D670="","zz","t"&amp;D670))</f>
        <v/>
      </c>
      <c r="K670" s="28">
        <f>IF(OR(A670="",C670=""),"",IF(IFERROR(INDEX(DayStat,A670-DATE(PlanYear,1,1)+1)&amp;"","")&lt;&gt;"",0,1))</f>
        <v/>
      </c>
      <c r="L670" s="28">
        <f>IF(K670="","",K670*IFERROR(VLOOKUP(C670,CodeTable,4,0),0))</f>
        <v/>
      </c>
    </row>
    <row r="671">
      <c r="A671" s="22" t="n"/>
      <c r="B671" s="23" t="n"/>
      <c r="C671" s="24" t="n"/>
      <c r="D671" s="25" t="n"/>
      <c r="E671" s="26" t="n"/>
      <c r="F671" s="26" t="n"/>
      <c r="G671" s="27">
        <f>IF(C671="","",IFERROR(VLOOKUP(C671,CodeTable,3,0),1))</f>
        <v/>
      </c>
      <c r="H671" s="27">
        <f>IF(C671="","",IF(E671&lt;&gt;"",E671,IF(IFERROR(VLOOKUP(C671,CodeTable,5,0)&amp;"","")="","All",VLOOKUP(C671,CodeTable,5,0)&amp;"")))</f>
        <v/>
      </c>
      <c r="I671" s="28">
        <f>IF(OR(A671="",C671=""),"",A671&amp;"|"&amp;B671&amp;"|"&amp;(COUNTIFS(FlDate,A671,FlShift,B671,FlCode,"&lt;&gt;",FlOrder,"&lt;"&amp;J671)+COUNTIFS(A$6:A671,A671,B$6:B671,B671,C$6:C671,"&lt;&gt;",J$6:J671,J671)))</f>
        <v/>
      </c>
      <c r="J671" s="28">
        <f>IF(C671="","",IF(D671="","zz","t"&amp;D671))</f>
        <v/>
      </c>
      <c r="K671" s="28">
        <f>IF(OR(A671="",C671=""),"",IF(IFERROR(INDEX(DayStat,A671-DATE(PlanYear,1,1)+1)&amp;"","")&lt;&gt;"",0,1))</f>
        <v/>
      </c>
      <c r="L671" s="28">
        <f>IF(K671="","",K671*IFERROR(VLOOKUP(C671,CodeTable,4,0),0))</f>
        <v/>
      </c>
    </row>
    <row r="672">
      <c r="A672" s="22" t="n"/>
      <c r="B672" s="23" t="n"/>
      <c r="C672" s="24" t="n"/>
      <c r="D672" s="25" t="n"/>
      <c r="E672" s="26" t="n"/>
      <c r="F672" s="26" t="n"/>
      <c r="G672" s="27">
        <f>IF(C672="","",IFERROR(VLOOKUP(C672,CodeTable,3,0),1))</f>
        <v/>
      </c>
      <c r="H672" s="27">
        <f>IF(C672="","",IF(E672&lt;&gt;"",E672,IF(IFERROR(VLOOKUP(C672,CodeTable,5,0)&amp;"","")="","All",VLOOKUP(C672,CodeTable,5,0)&amp;"")))</f>
        <v/>
      </c>
      <c r="I672" s="28">
        <f>IF(OR(A672="",C672=""),"",A672&amp;"|"&amp;B672&amp;"|"&amp;(COUNTIFS(FlDate,A672,FlShift,B672,FlCode,"&lt;&gt;",FlOrder,"&lt;"&amp;J672)+COUNTIFS(A$6:A672,A672,B$6:B672,B672,C$6:C672,"&lt;&gt;",J$6:J672,J672)))</f>
        <v/>
      </c>
      <c r="J672" s="28">
        <f>IF(C672="","",IF(D672="","zz","t"&amp;D672))</f>
        <v/>
      </c>
      <c r="K672" s="28">
        <f>IF(OR(A672="",C672=""),"",IF(IFERROR(INDEX(DayStat,A672-DATE(PlanYear,1,1)+1)&amp;"","")&lt;&gt;"",0,1))</f>
        <v/>
      </c>
      <c r="L672" s="28">
        <f>IF(K672="","",K672*IFERROR(VLOOKUP(C672,CodeTable,4,0),0))</f>
        <v/>
      </c>
    </row>
    <row r="673">
      <c r="A673" s="22" t="n"/>
      <c r="B673" s="23" t="n"/>
      <c r="C673" s="24" t="n"/>
      <c r="D673" s="25" t="n"/>
      <c r="E673" s="26" t="n"/>
      <c r="F673" s="26" t="n"/>
      <c r="G673" s="27">
        <f>IF(C673="","",IFERROR(VLOOKUP(C673,CodeTable,3,0),1))</f>
        <v/>
      </c>
      <c r="H673" s="27">
        <f>IF(C673="","",IF(E673&lt;&gt;"",E673,IF(IFERROR(VLOOKUP(C673,CodeTable,5,0)&amp;"","")="","All",VLOOKUP(C673,CodeTable,5,0)&amp;"")))</f>
        <v/>
      </c>
      <c r="I673" s="28">
        <f>IF(OR(A673="",C673=""),"",A673&amp;"|"&amp;B673&amp;"|"&amp;(COUNTIFS(FlDate,A673,FlShift,B673,FlCode,"&lt;&gt;",FlOrder,"&lt;"&amp;J673)+COUNTIFS(A$6:A673,A673,B$6:B673,B673,C$6:C673,"&lt;&gt;",J$6:J673,J673)))</f>
        <v/>
      </c>
      <c r="J673" s="28">
        <f>IF(C673="","",IF(D673="","zz","t"&amp;D673))</f>
        <v/>
      </c>
      <c r="K673" s="28">
        <f>IF(OR(A673="",C673=""),"",IF(IFERROR(INDEX(DayStat,A673-DATE(PlanYear,1,1)+1)&amp;"","")&lt;&gt;"",0,1))</f>
        <v/>
      </c>
      <c r="L673" s="28">
        <f>IF(K673="","",K673*IFERROR(VLOOKUP(C673,CodeTable,4,0),0))</f>
        <v/>
      </c>
    </row>
    <row r="674">
      <c r="A674" s="22" t="n"/>
      <c r="B674" s="23" t="n"/>
      <c r="C674" s="24" t="n"/>
      <c r="D674" s="25" t="n"/>
      <c r="E674" s="26" t="n"/>
      <c r="F674" s="26" t="n"/>
      <c r="G674" s="27">
        <f>IF(C674="","",IFERROR(VLOOKUP(C674,CodeTable,3,0),1))</f>
        <v/>
      </c>
      <c r="H674" s="27">
        <f>IF(C674="","",IF(E674&lt;&gt;"",E674,IF(IFERROR(VLOOKUP(C674,CodeTable,5,0)&amp;"","")="","All",VLOOKUP(C674,CodeTable,5,0)&amp;"")))</f>
        <v/>
      </c>
      <c r="I674" s="28">
        <f>IF(OR(A674="",C674=""),"",A674&amp;"|"&amp;B674&amp;"|"&amp;(COUNTIFS(FlDate,A674,FlShift,B674,FlCode,"&lt;&gt;",FlOrder,"&lt;"&amp;J674)+COUNTIFS(A$6:A674,A674,B$6:B674,B674,C$6:C674,"&lt;&gt;",J$6:J674,J674)))</f>
        <v/>
      </c>
      <c r="J674" s="28">
        <f>IF(C674="","",IF(D674="","zz","t"&amp;D674))</f>
        <v/>
      </c>
      <c r="K674" s="28">
        <f>IF(OR(A674="",C674=""),"",IF(IFERROR(INDEX(DayStat,A674-DATE(PlanYear,1,1)+1)&amp;"","")&lt;&gt;"",0,1))</f>
        <v/>
      </c>
      <c r="L674" s="28">
        <f>IF(K674="","",K674*IFERROR(VLOOKUP(C674,CodeTable,4,0),0))</f>
        <v/>
      </c>
    </row>
    <row r="675">
      <c r="A675" s="22" t="n"/>
      <c r="B675" s="23" t="n"/>
      <c r="C675" s="24" t="n"/>
      <c r="D675" s="25" t="n"/>
      <c r="E675" s="26" t="n"/>
      <c r="F675" s="26" t="n"/>
      <c r="G675" s="27">
        <f>IF(C675="","",IFERROR(VLOOKUP(C675,CodeTable,3,0),1))</f>
        <v/>
      </c>
      <c r="H675" s="27">
        <f>IF(C675="","",IF(E675&lt;&gt;"",E675,IF(IFERROR(VLOOKUP(C675,CodeTable,5,0)&amp;"","")="","All",VLOOKUP(C675,CodeTable,5,0)&amp;"")))</f>
        <v/>
      </c>
      <c r="I675" s="28">
        <f>IF(OR(A675="",C675=""),"",A675&amp;"|"&amp;B675&amp;"|"&amp;(COUNTIFS(FlDate,A675,FlShift,B675,FlCode,"&lt;&gt;",FlOrder,"&lt;"&amp;J675)+COUNTIFS(A$6:A675,A675,B$6:B675,B675,C$6:C675,"&lt;&gt;",J$6:J675,J675)))</f>
        <v/>
      </c>
      <c r="J675" s="28">
        <f>IF(C675="","",IF(D675="","zz","t"&amp;D675))</f>
        <v/>
      </c>
      <c r="K675" s="28">
        <f>IF(OR(A675="",C675=""),"",IF(IFERROR(INDEX(DayStat,A675-DATE(PlanYear,1,1)+1)&amp;"","")&lt;&gt;"",0,1))</f>
        <v/>
      </c>
      <c r="L675" s="28">
        <f>IF(K675="","",K675*IFERROR(VLOOKUP(C675,CodeTable,4,0),0))</f>
        <v/>
      </c>
    </row>
    <row r="676">
      <c r="A676" s="22" t="n"/>
      <c r="B676" s="23" t="n"/>
      <c r="C676" s="24" t="n"/>
      <c r="D676" s="25" t="n"/>
      <c r="E676" s="26" t="n"/>
      <c r="F676" s="26" t="n"/>
      <c r="G676" s="27">
        <f>IF(C676="","",IFERROR(VLOOKUP(C676,CodeTable,3,0),1))</f>
        <v/>
      </c>
      <c r="H676" s="27">
        <f>IF(C676="","",IF(E676&lt;&gt;"",E676,IF(IFERROR(VLOOKUP(C676,CodeTable,5,0)&amp;"","")="","All",VLOOKUP(C676,CodeTable,5,0)&amp;"")))</f>
        <v/>
      </c>
      <c r="I676" s="28">
        <f>IF(OR(A676="",C676=""),"",A676&amp;"|"&amp;B676&amp;"|"&amp;(COUNTIFS(FlDate,A676,FlShift,B676,FlCode,"&lt;&gt;",FlOrder,"&lt;"&amp;J676)+COUNTIFS(A$6:A676,A676,B$6:B676,B676,C$6:C676,"&lt;&gt;",J$6:J676,J676)))</f>
        <v/>
      </c>
      <c r="J676" s="28">
        <f>IF(C676="","",IF(D676="","zz","t"&amp;D676))</f>
        <v/>
      </c>
      <c r="K676" s="28">
        <f>IF(OR(A676="",C676=""),"",IF(IFERROR(INDEX(DayStat,A676-DATE(PlanYear,1,1)+1)&amp;"","")&lt;&gt;"",0,1))</f>
        <v/>
      </c>
      <c r="L676" s="28">
        <f>IF(K676="","",K676*IFERROR(VLOOKUP(C676,CodeTable,4,0),0))</f>
        <v/>
      </c>
    </row>
    <row r="677">
      <c r="A677" s="22" t="n"/>
      <c r="B677" s="23" t="n"/>
      <c r="C677" s="24" t="n"/>
      <c r="D677" s="25" t="n"/>
      <c r="E677" s="26" t="n"/>
      <c r="F677" s="26" t="n"/>
      <c r="G677" s="27">
        <f>IF(C677="","",IFERROR(VLOOKUP(C677,CodeTable,3,0),1))</f>
        <v/>
      </c>
      <c r="H677" s="27">
        <f>IF(C677="","",IF(E677&lt;&gt;"",E677,IF(IFERROR(VLOOKUP(C677,CodeTable,5,0)&amp;"","")="","All",VLOOKUP(C677,CodeTable,5,0)&amp;"")))</f>
        <v/>
      </c>
      <c r="I677" s="28">
        <f>IF(OR(A677="",C677=""),"",A677&amp;"|"&amp;B677&amp;"|"&amp;(COUNTIFS(FlDate,A677,FlShift,B677,FlCode,"&lt;&gt;",FlOrder,"&lt;"&amp;J677)+COUNTIFS(A$6:A677,A677,B$6:B677,B677,C$6:C677,"&lt;&gt;",J$6:J677,J677)))</f>
        <v/>
      </c>
      <c r="J677" s="28">
        <f>IF(C677="","",IF(D677="","zz","t"&amp;D677))</f>
        <v/>
      </c>
      <c r="K677" s="28">
        <f>IF(OR(A677="",C677=""),"",IF(IFERROR(INDEX(DayStat,A677-DATE(PlanYear,1,1)+1)&amp;"","")&lt;&gt;"",0,1))</f>
        <v/>
      </c>
      <c r="L677" s="28">
        <f>IF(K677="","",K677*IFERROR(VLOOKUP(C677,CodeTable,4,0),0))</f>
        <v/>
      </c>
    </row>
    <row r="678">
      <c r="A678" s="22" t="n"/>
      <c r="B678" s="23" t="n"/>
      <c r="C678" s="24" t="n"/>
      <c r="D678" s="25" t="n"/>
      <c r="E678" s="26" t="n"/>
      <c r="F678" s="26" t="n"/>
      <c r="G678" s="27">
        <f>IF(C678="","",IFERROR(VLOOKUP(C678,CodeTable,3,0),1))</f>
        <v/>
      </c>
      <c r="H678" s="27">
        <f>IF(C678="","",IF(E678&lt;&gt;"",E678,IF(IFERROR(VLOOKUP(C678,CodeTable,5,0)&amp;"","")="","All",VLOOKUP(C678,CodeTable,5,0)&amp;"")))</f>
        <v/>
      </c>
      <c r="I678" s="28">
        <f>IF(OR(A678="",C678=""),"",A678&amp;"|"&amp;B678&amp;"|"&amp;(COUNTIFS(FlDate,A678,FlShift,B678,FlCode,"&lt;&gt;",FlOrder,"&lt;"&amp;J678)+COUNTIFS(A$6:A678,A678,B$6:B678,B678,C$6:C678,"&lt;&gt;",J$6:J678,J678)))</f>
        <v/>
      </c>
      <c r="J678" s="28">
        <f>IF(C678="","",IF(D678="","zz","t"&amp;D678))</f>
        <v/>
      </c>
      <c r="K678" s="28">
        <f>IF(OR(A678="",C678=""),"",IF(IFERROR(INDEX(DayStat,A678-DATE(PlanYear,1,1)+1)&amp;"","")&lt;&gt;"",0,1))</f>
        <v/>
      </c>
      <c r="L678" s="28">
        <f>IF(K678="","",K678*IFERROR(VLOOKUP(C678,CodeTable,4,0),0))</f>
        <v/>
      </c>
    </row>
    <row r="679">
      <c r="A679" s="22" t="n"/>
      <c r="B679" s="23" t="n"/>
      <c r="C679" s="24" t="n"/>
      <c r="D679" s="25" t="n"/>
      <c r="E679" s="26" t="n"/>
      <c r="F679" s="26" t="n"/>
      <c r="G679" s="27">
        <f>IF(C679="","",IFERROR(VLOOKUP(C679,CodeTable,3,0),1))</f>
        <v/>
      </c>
      <c r="H679" s="27">
        <f>IF(C679="","",IF(E679&lt;&gt;"",E679,IF(IFERROR(VLOOKUP(C679,CodeTable,5,0)&amp;"","")="","All",VLOOKUP(C679,CodeTable,5,0)&amp;"")))</f>
        <v/>
      </c>
      <c r="I679" s="28">
        <f>IF(OR(A679="",C679=""),"",A679&amp;"|"&amp;B679&amp;"|"&amp;(COUNTIFS(FlDate,A679,FlShift,B679,FlCode,"&lt;&gt;",FlOrder,"&lt;"&amp;J679)+COUNTIFS(A$6:A679,A679,B$6:B679,B679,C$6:C679,"&lt;&gt;",J$6:J679,J679)))</f>
        <v/>
      </c>
      <c r="J679" s="28">
        <f>IF(C679="","",IF(D679="","zz","t"&amp;D679))</f>
        <v/>
      </c>
      <c r="K679" s="28">
        <f>IF(OR(A679="",C679=""),"",IF(IFERROR(INDEX(DayStat,A679-DATE(PlanYear,1,1)+1)&amp;"","")&lt;&gt;"",0,1))</f>
        <v/>
      </c>
      <c r="L679" s="28">
        <f>IF(K679="","",K679*IFERROR(VLOOKUP(C679,CodeTable,4,0),0))</f>
        <v/>
      </c>
    </row>
    <row r="680">
      <c r="A680" s="22" t="n"/>
      <c r="B680" s="23" t="n"/>
      <c r="C680" s="24" t="n"/>
      <c r="D680" s="25" t="n"/>
      <c r="E680" s="26" t="n"/>
      <c r="F680" s="26" t="n"/>
      <c r="G680" s="27">
        <f>IF(C680="","",IFERROR(VLOOKUP(C680,CodeTable,3,0),1))</f>
        <v/>
      </c>
      <c r="H680" s="27">
        <f>IF(C680="","",IF(E680&lt;&gt;"",E680,IF(IFERROR(VLOOKUP(C680,CodeTable,5,0)&amp;"","")="","All",VLOOKUP(C680,CodeTable,5,0)&amp;"")))</f>
        <v/>
      </c>
      <c r="I680" s="28">
        <f>IF(OR(A680="",C680=""),"",A680&amp;"|"&amp;B680&amp;"|"&amp;(COUNTIFS(FlDate,A680,FlShift,B680,FlCode,"&lt;&gt;",FlOrder,"&lt;"&amp;J680)+COUNTIFS(A$6:A680,A680,B$6:B680,B680,C$6:C680,"&lt;&gt;",J$6:J680,J680)))</f>
        <v/>
      </c>
      <c r="J680" s="28">
        <f>IF(C680="","",IF(D680="","zz","t"&amp;D680))</f>
        <v/>
      </c>
      <c r="K680" s="28">
        <f>IF(OR(A680="",C680=""),"",IF(IFERROR(INDEX(DayStat,A680-DATE(PlanYear,1,1)+1)&amp;"","")&lt;&gt;"",0,1))</f>
        <v/>
      </c>
      <c r="L680" s="28">
        <f>IF(K680="","",K680*IFERROR(VLOOKUP(C680,CodeTable,4,0),0))</f>
        <v/>
      </c>
    </row>
    <row r="681">
      <c r="A681" s="22" t="n"/>
      <c r="B681" s="23" t="n"/>
      <c r="C681" s="24" t="n"/>
      <c r="D681" s="25" t="n"/>
      <c r="E681" s="26" t="n"/>
      <c r="F681" s="26" t="n"/>
      <c r="G681" s="27">
        <f>IF(C681="","",IFERROR(VLOOKUP(C681,CodeTable,3,0),1))</f>
        <v/>
      </c>
      <c r="H681" s="27">
        <f>IF(C681="","",IF(E681&lt;&gt;"",E681,IF(IFERROR(VLOOKUP(C681,CodeTable,5,0)&amp;"","")="","All",VLOOKUP(C681,CodeTable,5,0)&amp;"")))</f>
        <v/>
      </c>
      <c r="I681" s="28">
        <f>IF(OR(A681="",C681=""),"",A681&amp;"|"&amp;B681&amp;"|"&amp;(COUNTIFS(FlDate,A681,FlShift,B681,FlCode,"&lt;&gt;",FlOrder,"&lt;"&amp;J681)+COUNTIFS(A$6:A681,A681,B$6:B681,B681,C$6:C681,"&lt;&gt;",J$6:J681,J681)))</f>
        <v/>
      </c>
      <c r="J681" s="28">
        <f>IF(C681="","",IF(D681="","zz","t"&amp;D681))</f>
        <v/>
      </c>
      <c r="K681" s="28">
        <f>IF(OR(A681="",C681=""),"",IF(IFERROR(INDEX(DayStat,A681-DATE(PlanYear,1,1)+1)&amp;"","")&lt;&gt;"",0,1))</f>
        <v/>
      </c>
      <c r="L681" s="28">
        <f>IF(K681="","",K681*IFERROR(VLOOKUP(C681,CodeTable,4,0),0))</f>
        <v/>
      </c>
    </row>
    <row r="682">
      <c r="A682" s="22" t="n"/>
      <c r="B682" s="23" t="n"/>
      <c r="C682" s="24" t="n"/>
      <c r="D682" s="25" t="n"/>
      <c r="E682" s="26" t="n"/>
      <c r="F682" s="26" t="n"/>
      <c r="G682" s="27">
        <f>IF(C682="","",IFERROR(VLOOKUP(C682,CodeTable,3,0),1))</f>
        <v/>
      </c>
      <c r="H682" s="27">
        <f>IF(C682="","",IF(E682&lt;&gt;"",E682,IF(IFERROR(VLOOKUP(C682,CodeTable,5,0)&amp;"","")="","All",VLOOKUP(C682,CodeTable,5,0)&amp;"")))</f>
        <v/>
      </c>
      <c r="I682" s="28">
        <f>IF(OR(A682="",C682=""),"",A682&amp;"|"&amp;B682&amp;"|"&amp;(COUNTIFS(FlDate,A682,FlShift,B682,FlCode,"&lt;&gt;",FlOrder,"&lt;"&amp;J682)+COUNTIFS(A$6:A682,A682,B$6:B682,B682,C$6:C682,"&lt;&gt;",J$6:J682,J682)))</f>
        <v/>
      </c>
      <c r="J682" s="28">
        <f>IF(C682="","",IF(D682="","zz","t"&amp;D682))</f>
        <v/>
      </c>
      <c r="K682" s="28">
        <f>IF(OR(A682="",C682=""),"",IF(IFERROR(INDEX(DayStat,A682-DATE(PlanYear,1,1)+1)&amp;"","")&lt;&gt;"",0,1))</f>
        <v/>
      </c>
      <c r="L682" s="28">
        <f>IF(K682="","",K682*IFERROR(VLOOKUP(C682,CodeTable,4,0),0))</f>
        <v/>
      </c>
    </row>
    <row r="683">
      <c r="A683" s="22" t="n"/>
      <c r="B683" s="23" t="n"/>
      <c r="C683" s="24" t="n"/>
      <c r="D683" s="25" t="n"/>
      <c r="E683" s="26" t="n"/>
      <c r="F683" s="26" t="n"/>
      <c r="G683" s="27">
        <f>IF(C683="","",IFERROR(VLOOKUP(C683,CodeTable,3,0),1))</f>
        <v/>
      </c>
      <c r="H683" s="27">
        <f>IF(C683="","",IF(E683&lt;&gt;"",E683,IF(IFERROR(VLOOKUP(C683,CodeTable,5,0)&amp;"","")="","All",VLOOKUP(C683,CodeTable,5,0)&amp;"")))</f>
        <v/>
      </c>
      <c r="I683" s="28">
        <f>IF(OR(A683="",C683=""),"",A683&amp;"|"&amp;B683&amp;"|"&amp;(COUNTIFS(FlDate,A683,FlShift,B683,FlCode,"&lt;&gt;",FlOrder,"&lt;"&amp;J683)+COUNTIFS(A$6:A683,A683,B$6:B683,B683,C$6:C683,"&lt;&gt;",J$6:J683,J683)))</f>
        <v/>
      </c>
      <c r="J683" s="28">
        <f>IF(C683="","",IF(D683="","zz","t"&amp;D683))</f>
        <v/>
      </c>
      <c r="K683" s="28">
        <f>IF(OR(A683="",C683=""),"",IF(IFERROR(INDEX(DayStat,A683-DATE(PlanYear,1,1)+1)&amp;"","")&lt;&gt;"",0,1))</f>
        <v/>
      </c>
      <c r="L683" s="28">
        <f>IF(K683="","",K683*IFERROR(VLOOKUP(C683,CodeTable,4,0),0))</f>
        <v/>
      </c>
    </row>
    <row r="684">
      <c r="A684" s="22" t="n"/>
      <c r="B684" s="23" t="n"/>
      <c r="C684" s="24" t="n"/>
      <c r="D684" s="25" t="n"/>
      <c r="E684" s="26" t="n"/>
      <c r="F684" s="26" t="n"/>
      <c r="G684" s="27">
        <f>IF(C684="","",IFERROR(VLOOKUP(C684,CodeTable,3,0),1))</f>
        <v/>
      </c>
      <c r="H684" s="27">
        <f>IF(C684="","",IF(E684&lt;&gt;"",E684,IF(IFERROR(VLOOKUP(C684,CodeTable,5,0)&amp;"","")="","All",VLOOKUP(C684,CodeTable,5,0)&amp;"")))</f>
        <v/>
      </c>
      <c r="I684" s="28">
        <f>IF(OR(A684="",C684=""),"",A684&amp;"|"&amp;B684&amp;"|"&amp;(COUNTIFS(FlDate,A684,FlShift,B684,FlCode,"&lt;&gt;",FlOrder,"&lt;"&amp;J684)+COUNTIFS(A$6:A684,A684,B$6:B684,B684,C$6:C684,"&lt;&gt;",J$6:J684,J684)))</f>
        <v/>
      </c>
      <c r="J684" s="28">
        <f>IF(C684="","",IF(D684="","zz","t"&amp;D684))</f>
        <v/>
      </c>
      <c r="K684" s="28">
        <f>IF(OR(A684="",C684=""),"",IF(IFERROR(INDEX(DayStat,A684-DATE(PlanYear,1,1)+1)&amp;"","")&lt;&gt;"",0,1))</f>
        <v/>
      </c>
      <c r="L684" s="28">
        <f>IF(K684="","",K684*IFERROR(VLOOKUP(C684,CodeTable,4,0),0))</f>
        <v/>
      </c>
    </row>
    <row r="685">
      <c r="A685" s="22" t="n"/>
      <c r="B685" s="23" t="n"/>
      <c r="C685" s="24" t="n"/>
      <c r="D685" s="25" t="n"/>
      <c r="E685" s="26" t="n"/>
      <c r="F685" s="26" t="n"/>
      <c r="G685" s="27">
        <f>IF(C685="","",IFERROR(VLOOKUP(C685,CodeTable,3,0),1))</f>
        <v/>
      </c>
      <c r="H685" s="27">
        <f>IF(C685="","",IF(E685&lt;&gt;"",E685,IF(IFERROR(VLOOKUP(C685,CodeTable,5,0)&amp;"","")="","All",VLOOKUP(C685,CodeTable,5,0)&amp;"")))</f>
        <v/>
      </c>
      <c r="I685" s="28">
        <f>IF(OR(A685="",C685=""),"",A685&amp;"|"&amp;B685&amp;"|"&amp;(COUNTIFS(FlDate,A685,FlShift,B685,FlCode,"&lt;&gt;",FlOrder,"&lt;"&amp;J685)+COUNTIFS(A$6:A685,A685,B$6:B685,B685,C$6:C685,"&lt;&gt;",J$6:J685,J685)))</f>
        <v/>
      </c>
      <c r="J685" s="28">
        <f>IF(C685="","",IF(D685="","zz","t"&amp;D685))</f>
        <v/>
      </c>
      <c r="K685" s="28">
        <f>IF(OR(A685="",C685=""),"",IF(IFERROR(INDEX(DayStat,A685-DATE(PlanYear,1,1)+1)&amp;"","")&lt;&gt;"",0,1))</f>
        <v/>
      </c>
      <c r="L685" s="28">
        <f>IF(K685="","",K685*IFERROR(VLOOKUP(C685,CodeTable,4,0),0))</f>
        <v/>
      </c>
    </row>
    <row r="686">
      <c r="A686" s="22" t="n"/>
      <c r="B686" s="23" t="n"/>
      <c r="C686" s="24" t="n"/>
      <c r="D686" s="25" t="n"/>
      <c r="E686" s="26" t="n"/>
      <c r="F686" s="26" t="n"/>
      <c r="G686" s="27">
        <f>IF(C686="","",IFERROR(VLOOKUP(C686,CodeTable,3,0),1))</f>
        <v/>
      </c>
      <c r="H686" s="27">
        <f>IF(C686="","",IF(E686&lt;&gt;"",E686,IF(IFERROR(VLOOKUP(C686,CodeTable,5,0)&amp;"","")="","All",VLOOKUP(C686,CodeTable,5,0)&amp;"")))</f>
        <v/>
      </c>
      <c r="I686" s="28">
        <f>IF(OR(A686="",C686=""),"",A686&amp;"|"&amp;B686&amp;"|"&amp;(COUNTIFS(FlDate,A686,FlShift,B686,FlCode,"&lt;&gt;",FlOrder,"&lt;"&amp;J686)+COUNTIFS(A$6:A686,A686,B$6:B686,B686,C$6:C686,"&lt;&gt;",J$6:J686,J686)))</f>
        <v/>
      </c>
      <c r="J686" s="28">
        <f>IF(C686="","",IF(D686="","zz","t"&amp;D686))</f>
        <v/>
      </c>
      <c r="K686" s="28">
        <f>IF(OR(A686="",C686=""),"",IF(IFERROR(INDEX(DayStat,A686-DATE(PlanYear,1,1)+1)&amp;"","")&lt;&gt;"",0,1))</f>
        <v/>
      </c>
      <c r="L686" s="28">
        <f>IF(K686="","",K686*IFERROR(VLOOKUP(C686,CodeTable,4,0),0))</f>
        <v/>
      </c>
    </row>
    <row r="687">
      <c r="A687" s="22" t="n"/>
      <c r="B687" s="23" t="n"/>
      <c r="C687" s="24" t="n"/>
      <c r="D687" s="25" t="n"/>
      <c r="E687" s="26" t="n"/>
      <c r="F687" s="26" t="n"/>
      <c r="G687" s="27">
        <f>IF(C687="","",IFERROR(VLOOKUP(C687,CodeTable,3,0),1))</f>
        <v/>
      </c>
      <c r="H687" s="27">
        <f>IF(C687="","",IF(E687&lt;&gt;"",E687,IF(IFERROR(VLOOKUP(C687,CodeTable,5,0)&amp;"","")="","All",VLOOKUP(C687,CodeTable,5,0)&amp;"")))</f>
        <v/>
      </c>
      <c r="I687" s="28">
        <f>IF(OR(A687="",C687=""),"",A687&amp;"|"&amp;B687&amp;"|"&amp;(COUNTIFS(FlDate,A687,FlShift,B687,FlCode,"&lt;&gt;",FlOrder,"&lt;"&amp;J687)+COUNTIFS(A$6:A687,A687,B$6:B687,B687,C$6:C687,"&lt;&gt;",J$6:J687,J687)))</f>
        <v/>
      </c>
      <c r="J687" s="28">
        <f>IF(C687="","",IF(D687="","zz","t"&amp;D687))</f>
        <v/>
      </c>
      <c r="K687" s="28">
        <f>IF(OR(A687="",C687=""),"",IF(IFERROR(INDEX(DayStat,A687-DATE(PlanYear,1,1)+1)&amp;"","")&lt;&gt;"",0,1))</f>
        <v/>
      </c>
      <c r="L687" s="28">
        <f>IF(K687="","",K687*IFERROR(VLOOKUP(C687,CodeTable,4,0),0))</f>
        <v/>
      </c>
    </row>
    <row r="688">
      <c r="A688" s="22" t="n"/>
      <c r="B688" s="23" t="n"/>
      <c r="C688" s="24" t="n"/>
      <c r="D688" s="25" t="n"/>
      <c r="E688" s="26" t="n"/>
      <c r="F688" s="26" t="n"/>
      <c r="G688" s="27">
        <f>IF(C688="","",IFERROR(VLOOKUP(C688,CodeTable,3,0),1))</f>
        <v/>
      </c>
      <c r="H688" s="27">
        <f>IF(C688="","",IF(E688&lt;&gt;"",E688,IF(IFERROR(VLOOKUP(C688,CodeTable,5,0)&amp;"","")="","All",VLOOKUP(C688,CodeTable,5,0)&amp;"")))</f>
        <v/>
      </c>
      <c r="I688" s="28">
        <f>IF(OR(A688="",C688=""),"",A688&amp;"|"&amp;B688&amp;"|"&amp;(COUNTIFS(FlDate,A688,FlShift,B688,FlCode,"&lt;&gt;",FlOrder,"&lt;"&amp;J688)+COUNTIFS(A$6:A688,A688,B$6:B688,B688,C$6:C688,"&lt;&gt;",J$6:J688,J688)))</f>
        <v/>
      </c>
      <c r="J688" s="28">
        <f>IF(C688="","",IF(D688="","zz","t"&amp;D688))</f>
        <v/>
      </c>
      <c r="K688" s="28">
        <f>IF(OR(A688="",C688=""),"",IF(IFERROR(INDEX(DayStat,A688-DATE(PlanYear,1,1)+1)&amp;"","")&lt;&gt;"",0,1))</f>
        <v/>
      </c>
      <c r="L688" s="28">
        <f>IF(K688="","",K688*IFERROR(VLOOKUP(C688,CodeTable,4,0),0))</f>
        <v/>
      </c>
    </row>
    <row r="689">
      <c r="A689" s="22" t="n"/>
      <c r="B689" s="23" t="n"/>
      <c r="C689" s="24" t="n"/>
      <c r="D689" s="25" t="n"/>
      <c r="E689" s="26" t="n"/>
      <c r="F689" s="26" t="n"/>
      <c r="G689" s="27">
        <f>IF(C689="","",IFERROR(VLOOKUP(C689,CodeTable,3,0),1))</f>
        <v/>
      </c>
      <c r="H689" s="27">
        <f>IF(C689="","",IF(E689&lt;&gt;"",E689,IF(IFERROR(VLOOKUP(C689,CodeTable,5,0)&amp;"","")="","All",VLOOKUP(C689,CodeTable,5,0)&amp;"")))</f>
        <v/>
      </c>
      <c r="I689" s="28">
        <f>IF(OR(A689="",C689=""),"",A689&amp;"|"&amp;B689&amp;"|"&amp;(COUNTIFS(FlDate,A689,FlShift,B689,FlCode,"&lt;&gt;",FlOrder,"&lt;"&amp;J689)+COUNTIFS(A$6:A689,A689,B$6:B689,B689,C$6:C689,"&lt;&gt;",J$6:J689,J689)))</f>
        <v/>
      </c>
      <c r="J689" s="28">
        <f>IF(C689="","",IF(D689="","zz","t"&amp;D689))</f>
        <v/>
      </c>
      <c r="K689" s="28">
        <f>IF(OR(A689="",C689=""),"",IF(IFERROR(INDEX(DayStat,A689-DATE(PlanYear,1,1)+1)&amp;"","")&lt;&gt;"",0,1))</f>
        <v/>
      </c>
      <c r="L689" s="28">
        <f>IF(K689="","",K689*IFERROR(VLOOKUP(C689,CodeTable,4,0),0))</f>
        <v/>
      </c>
    </row>
    <row r="690">
      <c r="A690" s="22" t="n"/>
      <c r="B690" s="23" t="n"/>
      <c r="C690" s="24" t="n"/>
      <c r="D690" s="25" t="n"/>
      <c r="E690" s="26" t="n"/>
      <c r="F690" s="26" t="n"/>
      <c r="G690" s="27">
        <f>IF(C690="","",IFERROR(VLOOKUP(C690,CodeTable,3,0),1))</f>
        <v/>
      </c>
      <c r="H690" s="27">
        <f>IF(C690="","",IF(E690&lt;&gt;"",E690,IF(IFERROR(VLOOKUP(C690,CodeTable,5,0)&amp;"","")="","All",VLOOKUP(C690,CodeTable,5,0)&amp;"")))</f>
        <v/>
      </c>
      <c r="I690" s="28">
        <f>IF(OR(A690="",C690=""),"",A690&amp;"|"&amp;B690&amp;"|"&amp;(COUNTIFS(FlDate,A690,FlShift,B690,FlCode,"&lt;&gt;",FlOrder,"&lt;"&amp;J690)+COUNTIFS(A$6:A690,A690,B$6:B690,B690,C$6:C690,"&lt;&gt;",J$6:J690,J690)))</f>
        <v/>
      </c>
      <c r="J690" s="28">
        <f>IF(C690="","",IF(D690="","zz","t"&amp;D690))</f>
        <v/>
      </c>
      <c r="K690" s="28">
        <f>IF(OR(A690="",C690=""),"",IF(IFERROR(INDEX(DayStat,A690-DATE(PlanYear,1,1)+1)&amp;"","")&lt;&gt;"",0,1))</f>
        <v/>
      </c>
      <c r="L690" s="28">
        <f>IF(K690="","",K690*IFERROR(VLOOKUP(C690,CodeTable,4,0),0))</f>
        <v/>
      </c>
    </row>
    <row r="691">
      <c r="A691" s="22" t="n"/>
      <c r="B691" s="23" t="n"/>
      <c r="C691" s="24" t="n"/>
      <c r="D691" s="25" t="n"/>
      <c r="E691" s="26" t="n"/>
      <c r="F691" s="26" t="n"/>
      <c r="G691" s="27">
        <f>IF(C691="","",IFERROR(VLOOKUP(C691,CodeTable,3,0),1))</f>
        <v/>
      </c>
      <c r="H691" s="27">
        <f>IF(C691="","",IF(E691&lt;&gt;"",E691,IF(IFERROR(VLOOKUP(C691,CodeTable,5,0)&amp;"","")="","All",VLOOKUP(C691,CodeTable,5,0)&amp;"")))</f>
        <v/>
      </c>
      <c r="I691" s="28">
        <f>IF(OR(A691="",C691=""),"",A691&amp;"|"&amp;B691&amp;"|"&amp;(COUNTIFS(FlDate,A691,FlShift,B691,FlCode,"&lt;&gt;",FlOrder,"&lt;"&amp;J691)+COUNTIFS(A$6:A691,A691,B$6:B691,B691,C$6:C691,"&lt;&gt;",J$6:J691,J691)))</f>
        <v/>
      </c>
      <c r="J691" s="28">
        <f>IF(C691="","",IF(D691="","zz","t"&amp;D691))</f>
        <v/>
      </c>
      <c r="K691" s="28">
        <f>IF(OR(A691="",C691=""),"",IF(IFERROR(INDEX(DayStat,A691-DATE(PlanYear,1,1)+1)&amp;"","")&lt;&gt;"",0,1))</f>
        <v/>
      </c>
      <c r="L691" s="28">
        <f>IF(K691="","",K691*IFERROR(VLOOKUP(C691,CodeTable,4,0),0))</f>
        <v/>
      </c>
    </row>
    <row r="692">
      <c r="A692" s="22" t="n"/>
      <c r="B692" s="23" t="n"/>
      <c r="C692" s="24" t="n"/>
      <c r="D692" s="25" t="n"/>
      <c r="E692" s="26" t="n"/>
      <c r="F692" s="26" t="n"/>
      <c r="G692" s="27">
        <f>IF(C692="","",IFERROR(VLOOKUP(C692,CodeTable,3,0),1))</f>
        <v/>
      </c>
      <c r="H692" s="27">
        <f>IF(C692="","",IF(E692&lt;&gt;"",E692,IF(IFERROR(VLOOKUP(C692,CodeTable,5,0)&amp;"","")="","All",VLOOKUP(C692,CodeTable,5,0)&amp;"")))</f>
        <v/>
      </c>
      <c r="I692" s="28">
        <f>IF(OR(A692="",C692=""),"",A692&amp;"|"&amp;B692&amp;"|"&amp;(COUNTIFS(FlDate,A692,FlShift,B692,FlCode,"&lt;&gt;",FlOrder,"&lt;"&amp;J692)+COUNTIFS(A$6:A692,A692,B$6:B692,B692,C$6:C692,"&lt;&gt;",J$6:J692,J692)))</f>
        <v/>
      </c>
      <c r="J692" s="28">
        <f>IF(C692="","",IF(D692="","zz","t"&amp;D692))</f>
        <v/>
      </c>
      <c r="K692" s="28">
        <f>IF(OR(A692="",C692=""),"",IF(IFERROR(INDEX(DayStat,A692-DATE(PlanYear,1,1)+1)&amp;"","")&lt;&gt;"",0,1))</f>
        <v/>
      </c>
      <c r="L692" s="28">
        <f>IF(K692="","",K692*IFERROR(VLOOKUP(C692,CodeTable,4,0),0))</f>
        <v/>
      </c>
    </row>
    <row r="693">
      <c r="A693" s="22" t="n"/>
      <c r="B693" s="23" t="n"/>
      <c r="C693" s="24" t="n"/>
      <c r="D693" s="25" t="n"/>
      <c r="E693" s="26" t="n"/>
      <c r="F693" s="26" t="n"/>
      <c r="G693" s="27">
        <f>IF(C693="","",IFERROR(VLOOKUP(C693,CodeTable,3,0),1))</f>
        <v/>
      </c>
      <c r="H693" s="27">
        <f>IF(C693="","",IF(E693&lt;&gt;"",E693,IF(IFERROR(VLOOKUP(C693,CodeTable,5,0)&amp;"","")="","All",VLOOKUP(C693,CodeTable,5,0)&amp;"")))</f>
        <v/>
      </c>
      <c r="I693" s="28">
        <f>IF(OR(A693="",C693=""),"",A693&amp;"|"&amp;B693&amp;"|"&amp;(COUNTIFS(FlDate,A693,FlShift,B693,FlCode,"&lt;&gt;",FlOrder,"&lt;"&amp;J693)+COUNTIFS(A$6:A693,A693,B$6:B693,B693,C$6:C693,"&lt;&gt;",J$6:J693,J693)))</f>
        <v/>
      </c>
      <c r="J693" s="28">
        <f>IF(C693="","",IF(D693="","zz","t"&amp;D693))</f>
        <v/>
      </c>
      <c r="K693" s="28">
        <f>IF(OR(A693="",C693=""),"",IF(IFERROR(INDEX(DayStat,A693-DATE(PlanYear,1,1)+1)&amp;"","")&lt;&gt;"",0,1))</f>
        <v/>
      </c>
      <c r="L693" s="28">
        <f>IF(K693="","",K693*IFERROR(VLOOKUP(C693,CodeTable,4,0),0))</f>
        <v/>
      </c>
    </row>
    <row r="694">
      <c r="A694" s="22" t="n"/>
      <c r="B694" s="23" t="n"/>
      <c r="C694" s="24" t="n"/>
      <c r="D694" s="25" t="n"/>
      <c r="E694" s="26" t="n"/>
      <c r="F694" s="26" t="n"/>
      <c r="G694" s="27">
        <f>IF(C694="","",IFERROR(VLOOKUP(C694,CodeTable,3,0),1))</f>
        <v/>
      </c>
      <c r="H694" s="27">
        <f>IF(C694="","",IF(E694&lt;&gt;"",E694,IF(IFERROR(VLOOKUP(C694,CodeTable,5,0)&amp;"","")="","All",VLOOKUP(C694,CodeTable,5,0)&amp;"")))</f>
        <v/>
      </c>
      <c r="I694" s="28">
        <f>IF(OR(A694="",C694=""),"",A694&amp;"|"&amp;B694&amp;"|"&amp;(COUNTIFS(FlDate,A694,FlShift,B694,FlCode,"&lt;&gt;",FlOrder,"&lt;"&amp;J694)+COUNTIFS(A$6:A694,A694,B$6:B694,B694,C$6:C694,"&lt;&gt;",J$6:J694,J694)))</f>
        <v/>
      </c>
      <c r="J694" s="28">
        <f>IF(C694="","",IF(D694="","zz","t"&amp;D694))</f>
        <v/>
      </c>
      <c r="K694" s="28">
        <f>IF(OR(A694="",C694=""),"",IF(IFERROR(INDEX(DayStat,A694-DATE(PlanYear,1,1)+1)&amp;"","")&lt;&gt;"",0,1))</f>
        <v/>
      </c>
      <c r="L694" s="28">
        <f>IF(K694="","",K694*IFERROR(VLOOKUP(C694,CodeTable,4,0),0))</f>
        <v/>
      </c>
    </row>
    <row r="695">
      <c r="A695" s="22" t="n"/>
      <c r="B695" s="23" t="n"/>
      <c r="C695" s="24" t="n"/>
      <c r="D695" s="25" t="n"/>
      <c r="E695" s="26" t="n"/>
      <c r="F695" s="26" t="n"/>
      <c r="G695" s="27">
        <f>IF(C695="","",IFERROR(VLOOKUP(C695,CodeTable,3,0),1))</f>
        <v/>
      </c>
      <c r="H695" s="27">
        <f>IF(C695="","",IF(E695&lt;&gt;"",E695,IF(IFERROR(VLOOKUP(C695,CodeTable,5,0)&amp;"","")="","All",VLOOKUP(C695,CodeTable,5,0)&amp;"")))</f>
        <v/>
      </c>
      <c r="I695" s="28">
        <f>IF(OR(A695="",C695=""),"",A695&amp;"|"&amp;B695&amp;"|"&amp;(COUNTIFS(FlDate,A695,FlShift,B695,FlCode,"&lt;&gt;",FlOrder,"&lt;"&amp;J695)+COUNTIFS(A$6:A695,A695,B$6:B695,B695,C$6:C695,"&lt;&gt;",J$6:J695,J695)))</f>
        <v/>
      </c>
      <c r="J695" s="28">
        <f>IF(C695="","",IF(D695="","zz","t"&amp;D695))</f>
        <v/>
      </c>
      <c r="K695" s="28">
        <f>IF(OR(A695="",C695=""),"",IF(IFERROR(INDEX(DayStat,A695-DATE(PlanYear,1,1)+1)&amp;"","")&lt;&gt;"",0,1))</f>
        <v/>
      </c>
      <c r="L695" s="28">
        <f>IF(K695="","",K695*IFERROR(VLOOKUP(C695,CodeTable,4,0),0))</f>
        <v/>
      </c>
    </row>
    <row r="696">
      <c r="A696" s="22" t="n"/>
      <c r="B696" s="23" t="n"/>
      <c r="C696" s="24" t="n"/>
      <c r="D696" s="25" t="n"/>
      <c r="E696" s="26" t="n"/>
      <c r="F696" s="26" t="n"/>
      <c r="G696" s="27">
        <f>IF(C696="","",IFERROR(VLOOKUP(C696,CodeTable,3,0),1))</f>
        <v/>
      </c>
      <c r="H696" s="27">
        <f>IF(C696="","",IF(E696&lt;&gt;"",E696,IF(IFERROR(VLOOKUP(C696,CodeTable,5,0)&amp;"","")="","All",VLOOKUP(C696,CodeTable,5,0)&amp;"")))</f>
        <v/>
      </c>
      <c r="I696" s="28">
        <f>IF(OR(A696="",C696=""),"",A696&amp;"|"&amp;B696&amp;"|"&amp;(COUNTIFS(FlDate,A696,FlShift,B696,FlCode,"&lt;&gt;",FlOrder,"&lt;"&amp;J696)+COUNTIFS(A$6:A696,A696,B$6:B696,B696,C$6:C696,"&lt;&gt;",J$6:J696,J696)))</f>
        <v/>
      </c>
      <c r="J696" s="28">
        <f>IF(C696="","",IF(D696="","zz","t"&amp;D696))</f>
        <v/>
      </c>
      <c r="K696" s="28">
        <f>IF(OR(A696="",C696=""),"",IF(IFERROR(INDEX(DayStat,A696-DATE(PlanYear,1,1)+1)&amp;"","")&lt;&gt;"",0,1))</f>
        <v/>
      </c>
      <c r="L696" s="28">
        <f>IF(K696="","",K696*IFERROR(VLOOKUP(C696,CodeTable,4,0),0))</f>
        <v/>
      </c>
    </row>
    <row r="697">
      <c r="A697" s="22" t="n"/>
      <c r="B697" s="23" t="n"/>
      <c r="C697" s="24" t="n"/>
      <c r="D697" s="25" t="n"/>
      <c r="E697" s="26" t="n"/>
      <c r="F697" s="26" t="n"/>
      <c r="G697" s="27">
        <f>IF(C697="","",IFERROR(VLOOKUP(C697,CodeTable,3,0),1))</f>
        <v/>
      </c>
      <c r="H697" s="27">
        <f>IF(C697="","",IF(E697&lt;&gt;"",E697,IF(IFERROR(VLOOKUP(C697,CodeTable,5,0)&amp;"","")="","All",VLOOKUP(C697,CodeTable,5,0)&amp;"")))</f>
        <v/>
      </c>
      <c r="I697" s="28">
        <f>IF(OR(A697="",C697=""),"",A697&amp;"|"&amp;B697&amp;"|"&amp;(COUNTIFS(FlDate,A697,FlShift,B697,FlCode,"&lt;&gt;",FlOrder,"&lt;"&amp;J697)+COUNTIFS(A$6:A697,A697,B$6:B697,B697,C$6:C697,"&lt;&gt;",J$6:J697,J697)))</f>
        <v/>
      </c>
      <c r="J697" s="28">
        <f>IF(C697="","",IF(D697="","zz","t"&amp;D697))</f>
        <v/>
      </c>
      <c r="K697" s="28">
        <f>IF(OR(A697="",C697=""),"",IF(IFERROR(INDEX(DayStat,A697-DATE(PlanYear,1,1)+1)&amp;"","")&lt;&gt;"",0,1))</f>
        <v/>
      </c>
      <c r="L697" s="28">
        <f>IF(K697="","",K697*IFERROR(VLOOKUP(C697,CodeTable,4,0),0))</f>
        <v/>
      </c>
    </row>
    <row r="698">
      <c r="A698" s="22" t="n"/>
      <c r="B698" s="23" t="n"/>
      <c r="C698" s="24" t="n"/>
      <c r="D698" s="25" t="n"/>
      <c r="E698" s="26" t="n"/>
      <c r="F698" s="26" t="n"/>
      <c r="G698" s="27">
        <f>IF(C698="","",IFERROR(VLOOKUP(C698,CodeTable,3,0),1))</f>
        <v/>
      </c>
      <c r="H698" s="27">
        <f>IF(C698="","",IF(E698&lt;&gt;"",E698,IF(IFERROR(VLOOKUP(C698,CodeTable,5,0)&amp;"","")="","All",VLOOKUP(C698,CodeTable,5,0)&amp;"")))</f>
        <v/>
      </c>
      <c r="I698" s="28">
        <f>IF(OR(A698="",C698=""),"",A698&amp;"|"&amp;B698&amp;"|"&amp;(COUNTIFS(FlDate,A698,FlShift,B698,FlCode,"&lt;&gt;",FlOrder,"&lt;"&amp;J698)+COUNTIFS(A$6:A698,A698,B$6:B698,B698,C$6:C698,"&lt;&gt;",J$6:J698,J698)))</f>
        <v/>
      </c>
      <c r="J698" s="28">
        <f>IF(C698="","",IF(D698="","zz","t"&amp;D698))</f>
        <v/>
      </c>
      <c r="K698" s="28">
        <f>IF(OR(A698="",C698=""),"",IF(IFERROR(INDEX(DayStat,A698-DATE(PlanYear,1,1)+1)&amp;"","")&lt;&gt;"",0,1))</f>
        <v/>
      </c>
      <c r="L698" s="28">
        <f>IF(K698="","",K698*IFERROR(VLOOKUP(C698,CodeTable,4,0),0))</f>
        <v/>
      </c>
    </row>
    <row r="699">
      <c r="A699" s="22" t="n"/>
      <c r="B699" s="23" t="n"/>
      <c r="C699" s="24" t="n"/>
      <c r="D699" s="25" t="n"/>
      <c r="E699" s="26" t="n"/>
      <c r="F699" s="26" t="n"/>
      <c r="G699" s="27">
        <f>IF(C699="","",IFERROR(VLOOKUP(C699,CodeTable,3,0),1))</f>
        <v/>
      </c>
      <c r="H699" s="27">
        <f>IF(C699="","",IF(E699&lt;&gt;"",E699,IF(IFERROR(VLOOKUP(C699,CodeTable,5,0)&amp;"","")="","All",VLOOKUP(C699,CodeTable,5,0)&amp;"")))</f>
        <v/>
      </c>
      <c r="I699" s="28">
        <f>IF(OR(A699="",C699=""),"",A699&amp;"|"&amp;B699&amp;"|"&amp;(COUNTIFS(FlDate,A699,FlShift,B699,FlCode,"&lt;&gt;",FlOrder,"&lt;"&amp;J699)+COUNTIFS(A$6:A699,A699,B$6:B699,B699,C$6:C699,"&lt;&gt;",J$6:J699,J699)))</f>
        <v/>
      </c>
      <c r="J699" s="28">
        <f>IF(C699="","",IF(D699="","zz","t"&amp;D699))</f>
        <v/>
      </c>
      <c r="K699" s="28">
        <f>IF(OR(A699="",C699=""),"",IF(IFERROR(INDEX(DayStat,A699-DATE(PlanYear,1,1)+1)&amp;"","")&lt;&gt;"",0,1))</f>
        <v/>
      </c>
      <c r="L699" s="28">
        <f>IF(K699="","",K699*IFERROR(VLOOKUP(C699,CodeTable,4,0),0))</f>
        <v/>
      </c>
    </row>
    <row r="700">
      <c r="A700" s="22" t="n"/>
      <c r="B700" s="23" t="n"/>
      <c r="C700" s="24" t="n"/>
      <c r="D700" s="25" t="n"/>
      <c r="E700" s="26" t="n"/>
      <c r="F700" s="26" t="n"/>
      <c r="G700" s="27">
        <f>IF(C700="","",IFERROR(VLOOKUP(C700,CodeTable,3,0),1))</f>
        <v/>
      </c>
      <c r="H700" s="27">
        <f>IF(C700="","",IF(E700&lt;&gt;"",E700,IF(IFERROR(VLOOKUP(C700,CodeTable,5,0)&amp;"","")="","All",VLOOKUP(C700,CodeTable,5,0)&amp;"")))</f>
        <v/>
      </c>
      <c r="I700" s="28">
        <f>IF(OR(A700="",C700=""),"",A700&amp;"|"&amp;B700&amp;"|"&amp;(COUNTIFS(FlDate,A700,FlShift,B700,FlCode,"&lt;&gt;",FlOrder,"&lt;"&amp;J700)+COUNTIFS(A$6:A700,A700,B$6:B700,B700,C$6:C700,"&lt;&gt;",J$6:J700,J700)))</f>
        <v/>
      </c>
      <c r="J700" s="28">
        <f>IF(C700="","",IF(D700="","zz","t"&amp;D700))</f>
        <v/>
      </c>
      <c r="K700" s="28">
        <f>IF(OR(A700="",C700=""),"",IF(IFERROR(INDEX(DayStat,A700-DATE(PlanYear,1,1)+1)&amp;"","")&lt;&gt;"",0,1))</f>
        <v/>
      </c>
      <c r="L700" s="28">
        <f>IF(K700="","",K700*IFERROR(VLOOKUP(C700,CodeTable,4,0),0))</f>
        <v/>
      </c>
    </row>
    <row r="701">
      <c r="A701" s="22" t="n"/>
      <c r="B701" s="23" t="n"/>
      <c r="C701" s="24" t="n"/>
      <c r="D701" s="25" t="n"/>
      <c r="E701" s="26" t="n"/>
      <c r="F701" s="26" t="n"/>
      <c r="G701" s="27">
        <f>IF(C701="","",IFERROR(VLOOKUP(C701,CodeTable,3,0),1))</f>
        <v/>
      </c>
      <c r="H701" s="27">
        <f>IF(C701="","",IF(E701&lt;&gt;"",E701,IF(IFERROR(VLOOKUP(C701,CodeTable,5,0)&amp;"","")="","All",VLOOKUP(C701,CodeTable,5,0)&amp;"")))</f>
        <v/>
      </c>
      <c r="I701" s="28">
        <f>IF(OR(A701="",C701=""),"",A701&amp;"|"&amp;B701&amp;"|"&amp;(COUNTIFS(FlDate,A701,FlShift,B701,FlCode,"&lt;&gt;",FlOrder,"&lt;"&amp;J701)+COUNTIFS(A$6:A701,A701,B$6:B701,B701,C$6:C701,"&lt;&gt;",J$6:J701,J701)))</f>
        <v/>
      </c>
      <c r="J701" s="28">
        <f>IF(C701="","",IF(D701="","zz","t"&amp;D701))</f>
        <v/>
      </c>
      <c r="K701" s="28">
        <f>IF(OR(A701="",C701=""),"",IF(IFERROR(INDEX(DayStat,A701-DATE(PlanYear,1,1)+1)&amp;"","")&lt;&gt;"",0,1))</f>
        <v/>
      </c>
      <c r="L701" s="28">
        <f>IF(K701="","",K701*IFERROR(VLOOKUP(C701,CodeTable,4,0),0))</f>
        <v/>
      </c>
    </row>
    <row r="702">
      <c r="A702" s="22" t="n"/>
      <c r="B702" s="23" t="n"/>
      <c r="C702" s="24" t="n"/>
      <c r="D702" s="25" t="n"/>
      <c r="E702" s="26" t="n"/>
      <c r="F702" s="26" t="n"/>
      <c r="G702" s="27">
        <f>IF(C702="","",IFERROR(VLOOKUP(C702,CodeTable,3,0),1))</f>
        <v/>
      </c>
      <c r="H702" s="27">
        <f>IF(C702="","",IF(E702&lt;&gt;"",E702,IF(IFERROR(VLOOKUP(C702,CodeTable,5,0)&amp;"","")="","All",VLOOKUP(C702,CodeTable,5,0)&amp;"")))</f>
        <v/>
      </c>
      <c r="I702" s="28">
        <f>IF(OR(A702="",C702=""),"",A702&amp;"|"&amp;B702&amp;"|"&amp;(COUNTIFS(FlDate,A702,FlShift,B702,FlCode,"&lt;&gt;",FlOrder,"&lt;"&amp;J702)+COUNTIFS(A$6:A702,A702,B$6:B702,B702,C$6:C702,"&lt;&gt;",J$6:J702,J702)))</f>
        <v/>
      </c>
      <c r="J702" s="28">
        <f>IF(C702="","",IF(D702="","zz","t"&amp;D702))</f>
        <v/>
      </c>
      <c r="K702" s="28">
        <f>IF(OR(A702="",C702=""),"",IF(IFERROR(INDEX(DayStat,A702-DATE(PlanYear,1,1)+1)&amp;"","")&lt;&gt;"",0,1))</f>
        <v/>
      </c>
      <c r="L702" s="28">
        <f>IF(K702="","",K702*IFERROR(VLOOKUP(C702,CodeTable,4,0),0))</f>
        <v/>
      </c>
    </row>
    <row r="703">
      <c r="A703" s="22" t="n"/>
      <c r="B703" s="23" t="n"/>
      <c r="C703" s="24" t="n"/>
      <c r="D703" s="25" t="n"/>
      <c r="E703" s="26" t="n"/>
      <c r="F703" s="26" t="n"/>
      <c r="G703" s="27">
        <f>IF(C703="","",IFERROR(VLOOKUP(C703,CodeTable,3,0),1))</f>
        <v/>
      </c>
      <c r="H703" s="27">
        <f>IF(C703="","",IF(E703&lt;&gt;"",E703,IF(IFERROR(VLOOKUP(C703,CodeTable,5,0)&amp;"","")="","All",VLOOKUP(C703,CodeTable,5,0)&amp;"")))</f>
        <v/>
      </c>
      <c r="I703" s="28">
        <f>IF(OR(A703="",C703=""),"",A703&amp;"|"&amp;B703&amp;"|"&amp;(COUNTIFS(FlDate,A703,FlShift,B703,FlCode,"&lt;&gt;",FlOrder,"&lt;"&amp;J703)+COUNTIFS(A$6:A703,A703,B$6:B703,B703,C$6:C703,"&lt;&gt;",J$6:J703,J703)))</f>
        <v/>
      </c>
      <c r="J703" s="28">
        <f>IF(C703="","",IF(D703="","zz","t"&amp;D703))</f>
        <v/>
      </c>
      <c r="K703" s="28">
        <f>IF(OR(A703="",C703=""),"",IF(IFERROR(INDEX(DayStat,A703-DATE(PlanYear,1,1)+1)&amp;"","")&lt;&gt;"",0,1))</f>
        <v/>
      </c>
      <c r="L703" s="28">
        <f>IF(K703="","",K703*IFERROR(VLOOKUP(C703,CodeTable,4,0),0))</f>
        <v/>
      </c>
    </row>
    <row r="704">
      <c r="A704" s="22" t="n"/>
      <c r="B704" s="23" t="n"/>
      <c r="C704" s="24" t="n"/>
      <c r="D704" s="25" t="n"/>
      <c r="E704" s="26" t="n"/>
      <c r="F704" s="26" t="n"/>
      <c r="G704" s="27">
        <f>IF(C704="","",IFERROR(VLOOKUP(C704,CodeTable,3,0),1))</f>
        <v/>
      </c>
      <c r="H704" s="27">
        <f>IF(C704="","",IF(E704&lt;&gt;"",E704,IF(IFERROR(VLOOKUP(C704,CodeTable,5,0)&amp;"","")="","All",VLOOKUP(C704,CodeTable,5,0)&amp;"")))</f>
        <v/>
      </c>
      <c r="I704" s="28">
        <f>IF(OR(A704="",C704=""),"",A704&amp;"|"&amp;B704&amp;"|"&amp;(COUNTIFS(FlDate,A704,FlShift,B704,FlCode,"&lt;&gt;",FlOrder,"&lt;"&amp;J704)+COUNTIFS(A$6:A704,A704,B$6:B704,B704,C$6:C704,"&lt;&gt;",J$6:J704,J704)))</f>
        <v/>
      </c>
      <c r="J704" s="28">
        <f>IF(C704="","",IF(D704="","zz","t"&amp;D704))</f>
        <v/>
      </c>
      <c r="K704" s="28">
        <f>IF(OR(A704="",C704=""),"",IF(IFERROR(INDEX(DayStat,A704-DATE(PlanYear,1,1)+1)&amp;"","")&lt;&gt;"",0,1))</f>
        <v/>
      </c>
      <c r="L704" s="28">
        <f>IF(K704="","",K704*IFERROR(VLOOKUP(C704,CodeTable,4,0),0))</f>
        <v/>
      </c>
    </row>
    <row r="705">
      <c r="A705" s="22" t="n"/>
      <c r="B705" s="23" t="n"/>
      <c r="C705" s="24" t="n"/>
      <c r="D705" s="25" t="n"/>
      <c r="E705" s="26" t="n"/>
      <c r="F705" s="26" t="n"/>
      <c r="G705" s="27">
        <f>IF(C705="","",IFERROR(VLOOKUP(C705,CodeTable,3,0),1))</f>
        <v/>
      </c>
      <c r="H705" s="27">
        <f>IF(C705="","",IF(E705&lt;&gt;"",E705,IF(IFERROR(VLOOKUP(C705,CodeTable,5,0)&amp;"","")="","All",VLOOKUP(C705,CodeTable,5,0)&amp;"")))</f>
        <v/>
      </c>
      <c r="I705" s="28">
        <f>IF(OR(A705="",C705=""),"",A705&amp;"|"&amp;B705&amp;"|"&amp;(COUNTIFS(FlDate,A705,FlShift,B705,FlCode,"&lt;&gt;",FlOrder,"&lt;"&amp;J705)+COUNTIFS(A$6:A705,A705,B$6:B705,B705,C$6:C705,"&lt;&gt;",J$6:J705,J705)))</f>
        <v/>
      </c>
      <c r="J705" s="28">
        <f>IF(C705="","",IF(D705="","zz","t"&amp;D705))</f>
        <v/>
      </c>
      <c r="K705" s="28">
        <f>IF(OR(A705="",C705=""),"",IF(IFERROR(INDEX(DayStat,A705-DATE(PlanYear,1,1)+1)&amp;"","")&lt;&gt;"",0,1))</f>
        <v/>
      </c>
      <c r="L705" s="28">
        <f>IF(K705="","",K705*IFERROR(VLOOKUP(C705,CodeTable,4,0),0))</f>
        <v/>
      </c>
    </row>
    <row r="706">
      <c r="A706" s="22" t="n"/>
      <c r="B706" s="23" t="n"/>
      <c r="C706" s="24" t="n"/>
      <c r="D706" s="25" t="n"/>
      <c r="E706" s="26" t="n"/>
      <c r="F706" s="26" t="n"/>
      <c r="G706" s="27">
        <f>IF(C706="","",IFERROR(VLOOKUP(C706,CodeTable,3,0),1))</f>
        <v/>
      </c>
      <c r="H706" s="27">
        <f>IF(C706="","",IF(E706&lt;&gt;"",E706,IF(IFERROR(VLOOKUP(C706,CodeTable,5,0)&amp;"","")="","All",VLOOKUP(C706,CodeTable,5,0)&amp;"")))</f>
        <v/>
      </c>
      <c r="I706" s="28">
        <f>IF(OR(A706="",C706=""),"",A706&amp;"|"&amp;B706&amp;"|"&amp;(COUNTIFS(FlDate,A706,FlShift,B706,FlCode,"&lt;&gt;",FlOrder,"&lt;"&amp;J706)+COUNTIFS(A$6:A706,A706,B$6:B706,B706,C$6:C706,"&lt;&gt;",J$6:J706,J706)))</f>
        <v/>
      </c>
      <c r="J706" s="28">
        <f>IF(C706="","",IF(D706="","zz","t"&amp;D706))</f>
        <v/>
      </c>
      <c r="K706" s="28">
        <f>IF(OR(A706="",C706=""),"",IF(IFERROR(INDEX(DayStat,A706-DATE(PlanYear,1,1)+1)&amp;"","")&lt;&gt;"",0,1))</f>
        <v/>
      </c>
      <c r="L706" s="28">
        <f>IF(K706="","",K706*IFERROR(VLOOKUP(C706,CodeTable,4,0),0))</f>
        <v/>
      </c>
    </row>
    <row r="707">
      <c r="A707" s="22" t="n"/>
      <c r="B707" s="23" t="n"/>
      <c r="C707" s="24" t="n"/>
      <c r="D707" s="25" t="n"/>
      <c r="E707" s="26" t="n"/>
      <c r="F707" s="26" t="n"/>
      <c r="G707" s="27">
        <f>IF(C707="","",IFERROR(VLOOKUP(C707,CodeTable,3,0),1))</f>
        <v/>
      </c>
      <c r="H707" s="27">
        <f>IF(C707="","",IF(E707&lt;&gt;"",E707,IF(IFERROR(VLOOKUP(C707,CodeTable,5,0)&amp;"","")="","All",VLOOKUP(C707,CodeTable,5,0)&amp;"")))</f>
        <v/>
      </c>
      <c r="I707" s="28">
        <f>IF(OR(A707="",C707=""),"",A707&amp;"|"&amp;B707&amp;"|"&amp;(COUNTIFS(FlDate,A707,FlShift,B707,FlCode,"&lt;&gt;",FlOrder,"&lt;"&amp;J707)+COUNTIFS(A$6:A707,A707,B$6:B707,B707,C$6:C707,"&lt;&gt;",J$6:J707,J707)))</f>
        <v/>
      </c>
      <c r="J707" s="28">
        <f>IF(C707="","",IF(D707="","zz","t"&amp;D707))</f>
        <v/>
      </c>
      <c r="K707" s="28">
        <f>IF(OR(A707="",C707=""),"",IF(IFERROR(INDEX(DayStat,A707-DATE(PlanYear,1,1)+1)&amp;"","")&lt;&gt;"",0,1))</f>
        <v/>
      </c>
      <c r="L707" s="28">
        <f>IF(K707="","",K707*IFERROR(VLOOKUP(C707,CodeTable,4,0),0))</f>
        <v/>
      </c>
    </row>
    <row r="708">
      <c r="A708" s="22" t="n"/>
      <c r="B708" s="23" t="n"/>
      <c r="C708" s="24" t="n"/>
      <c r="D708" s="25" t="n"/>
      <c r="E708" s="26" t="n"/>
      <c r="F708" s="26" t="n"/>
      <c r="G708" s="27">
        <f>IF(C708="","",IFERROR(VLOOKUP(C708,CodeTable,3,0),1))</f>
        <v/>
      </c>
      <c r="H708" s="27">
        <f>IF(C708="","",IF(E708&lt;&gt;"",E708,IF(IFERROR(VLOOKUP(C708,CodeTable,5,0)&amp;"","")="","All",VLOOKUP(C708,CodeTable,5,0)&amp;"")))</f>
        <v/>
      </c>
      <c r="I708" s="28">
        <f>IF(OR(A708="",C708=""),"",A708&amp;"|"&amp;B708&amp;"|"&amp;(COUNTIFS(FlDate,A708,FlShift,B708,FlCode,"&lt;&gt;",FlOrder,"&lt;"&amp;J708)+COUNTIFS(A$6:A708,A708,B$6:B708,B708,C$6:C708,"&lt;&gt;",J$6:J708,J708)))</f>
        <v/>
      </c>
      <c r="J708" s="28">
        <f>IF(C708="","",IF(D708="","zz","t"&amp;D708))</f>
        <v/>
      </c>
      <c r="K708" s="28">
        <f>IF(OR(A708="",C708=""),"",IF(IFERROR(INDEX(DayStat,A708-DATE(PlanYear,1,1)+1)&amp;"","")&lt;&gt;"",0,1))</f>
        <v/>
      </c>
      <c r="L708" s="28">
        <f>IF(K708="","",K708*IFERROR(VLOOKUP(C708,CodeTable,4,0),0))</f>
        <v/>
      </c>
    </row>
    <row r="709">
      <c r="A709" s="22" t="n"/>
      <c r="B709" s="23" t="n"/>
      <c r="C709" s="24" t="n"/>
      <c r="D709" s="25" t="n"/>
      <c r="E709" s="26" t="n"/>
      <c r="F709" s="26" t="n"/>
      <c r="G709" s="27">
        <f>IF(C709="","",IFERROR(VLOOKUP(C709,CodeTable,3,0),1))</f>
        <v/>
      </c>
      <c r="H709" s="27">
        <f>IF(C709="","",IF(E709&lt;&gt;"",E709,IF(IFERROR(VLOOKUP(C709,CodeTable,5,0)&amp;"","")="","All",VLOOKUP(C709,CodeTable,5,0)&amp;"")))</f>
        <v/>
      </c>
      <c r="I709" s="28">
        <f>IF(OR(A709="",C709=""),"",A709&amp;"|"&amp;B709&amp;"|"&amp;(COUNTIFS(FlDate,A709,FlShift,B709,FlCode,"&lt;&gt;",FlOrder,"&lt;"&amp;J709)+COUNTIFS(A$6:A709,A709,B$6:B709,B709,C$6:C709,"&lt;&gt;",J$6:J709,J709)))</f>
        <v/>
      </c>
      <c r="J709" s="28">
        <f>IF(C709="","",IF(D709="","zz","t"&amp;D709))</f>
        <v/>
      </c>
      <c r="K709" s="28">
        <f>IF(OR(A709="",C709=""),"",IF(IFERROR(INDEX(DayStat,A709-DATE(PlanYear,1,1)+1)&amp;"","")&lt;&gt;"",0,1))</f>
        <v/>
      </c>
      <c r="L709" s="28">
        <f>IF(K709="","",K709*IFERROR(VLOOKUP(C709,CodeTable,4,0),0))</f>
        <v/>
      </c>
    </row>
    <row r="710">
      <c r="A710" s="22" t="n"/>
      <c r="B710" s="23" t="n"/>
      <c r="C710" s="24" t="n"/>
      <c r="D710" s="25" t="n"/>
      <c r="E710" s="26" t="n"/>
      <c r="F710" s="26" t="n"/>
      <c r="G710" s="27">
        <f>IF(C710="","",IFERROR(VLOOKUP(C710,CodeTable,3,0),1))</f>
        <v/>
      </c>
      <c r="H710" s="27">
        <f>IF(C710="","",IF(E710&lt;&gt;"",E710,IF(IFERROR(VLOOKUP(C710,CodeTable,5,0)&amp;"","")="","All",VLOOKUP(C710,CodeTable,5,0)&amp;"")))</f>
        <v/>
      </c>
      <c r="I710" s="28">
        <f>IF(OR(A710="",C710=""),"",A710&amp;"|"&amp;B710&amp;"|"&amp;(COUNTIFS(FlDate,A710,FlShift,B710,FlCode,"&lt;&gt;",FlOrder,"&lt;"&amp;J710)+COUNTIFS(A$6:A710,A710,B$6:B710,B710,C$6:C710,"&lt;&gt;",J$6:J710,J710)))</f>
        <v/>
      </c>
      <c r="J710" s="28">
        <f>IF(C710="","",IF(D710="","zz","t"&amp;D710))</f>
        <v/>
      </c>
      <c r="K710" s="28">
        <f>IF(OR(A710="",C710=""),"",IF(IFERROR(INDEX(DayStat,A710-DATE(PlanYear,1,1)+1)&amp;"","")&lt;&gt;"",0,1))</f>
        <v/>
      </c>
      <c r="L710" s="28">
        <f>IF(K710="","",K710*IFERROR(VLOOKUP(C710,CodeTable,4,0),0))</f>
        <v/>
      </c>
    </row>
    <row r="711">
      <c r="A711" s="22" t="n"/>
      <c r="B711" s="23" t="n"/>
      <c r="C711" s="24" t="n"/>
      <c r="D711" s="25" t="n"/>
      <c r="E711" s="26" t="n"/>
      <c r="F711" s="26" t="n"/>
      <c r="G711" s="27">
        <f>IF(C711="","",IFERROR(VLOOKUP(C711,CodeTable,3,0),1))</f>
        <v/>
      </c>
      <c r="H711" s="27">
        <f>IF(C711="","",IF(E711&lt;&gt;"",E711,IF(IFERROR(VLOOKUP(C711,CodeTable,5,0)&amp;"","")="","All",VLOOKUP(C711,CodeTable,5,0)&amp;"")))</f>
        <v/>
      </c>
      <c r="I711" s="28">
        <f>IF(OR(A711="",C711=""),"",A711&amp;"|"&amp;B711&amp;"|"&amp;(COUNTIFS(FlDate,A711,FlShift,B711,FlCode,"&lt;&gt;",FlOrder,"&lt;"&amp;J711)+COUNTIFS(A$6:A711,A711,B$6:B711,B711,C$6:C711,"&lt;&gt;",J$6:J711,J711)))</f>
        <v/>
      </c>
      <c r="J711" s="28">
        <f>IF(C711="","",IF(D711="","zz","t"&amp;D711))</f>
        <v/>
      </c>
      <c r="K711" s="28">
        <f>IF(OR(A711="",C711=""),"",IF(IFERROR(INDEX(DayStat,A711-DATE(PlanYear,1,1)+1)&amp;"","")&lt;&gt;"",0,1))</f>
        <v/>
      </c>
      <c r="L711" s="28">
        <f>IF(K711="","",K711*IFERROR(VLOOKUP(C711,CodeTable,4,0),0))</f>
        <v/>
      </c>
    </row>
    <row r="712">
      <c r="A712" s="22" t="n"/>
      <c r="B712" s="23" t="n"/>
      <c r="C712" s="24" t="n"/>
      <c r="D712" s="25" t="n"/>
      <c r="E712" s="26" t="n"/>
      <c r="F712" s="26" t="n"/>
      <c r="G712" s="27">
        <f>IF(C712="","",IFERROR(VLOOKUP(C712,CodeTable,3,0),1))</f>
        <v/>
      </c>
      <c r="H712" s="27">
        <f>IF(C712="","",IF(E712&lt;&gt;"",E712,IF(IFERROR(VLOOKUP(C712,CodeTable,5,0)&amp;"","")="","All",VLOOKUP(C712,CodeTable,5,0)&amp;"")))</f>
        <v/>
      </c>
      <c r="I712" s="28">
        <f>IF(OR(A712="",C712=""),"",A712&amp;"|"&amp;B712&amp;"|"&amp;(COUNTIFS(FlDate,A712,FlShift,B712,FlCode,"&lt;&gt;",FlOrder,"&lt;"&amp;J712)+COUNTIFS(A$6:A712,A712,B$6:B712,B712,C$6:C712,"&lt;&gt;",J$6:J712,J712)))</f>
        <v/>
      </c>
      <c r="J712" s="28">
        <f>IF(C712="","",IF(D712="","zz","t"&amp;D712))</f>
        <v/>
      </c>
      <c r="K712" s="28">
        <f>IF(OR(A712="",C712=""),"",IF(IFERROR(INDEX(DayStat,A712-DATE(PlanYear,1,1)+1)&amp;"","")&lt;&gt;"",0,1))</f>
        <v/>
      </c>
      <c r="L712" s="28">
        <f>IF(K712="","",K712*IFERROR(VLOOKUP(C712,CodeTable,4,0),0))</f>
        <v/>
      </c>
    </row>
    <row r="713">
      <c r="A713" s="22" t="n"/>
      <c r="B713" s="23" t="n"/>
      <c r="C713" s="24" t="n"/>
      <c r="D713" s="25" t="n"/>
      <c r="E713" s="26" t="n"/>
      <c r="F713" s="26" t="n"/>
      <c r="G713" s="27">
        <f>IF(C713="","",IFERROR(VLOOKUP(C713,CodeTable,3,0),1))</f>
        <v/>
      </c>
      <c r="H713" s="27">
        <f>IF(C713="","",IF(E713&lt;&gt;"",E713,IF(IFERROR(VLOOKUP(C713,CodeTable,5,0)&amp;"","")="","All",VLOOKUP(C713,CodeTable,5,0)&amp;"")))</f>
        <v/>
      </c>
      <c r="I713" s="28">
        <f>IF(OR(A713="",C713=""),"",A713&amp;"|"&amp;B713&amp;"|"&amp;(COUNTIFS(FlDate,A713,FlShift,B713,FlCode,"&lt;&gt;",FlOrder,"&lt;"&amp;J713)+COUNTIFS(A$6:A713,A713,B$6:B713,B713,C$6:C713,"&lt;&gt;",J$6:J713,J713)))</f>
        <v/>
      </c>
      <c r="J713" s="28">
        <f>IF(C713="","",IF(D713="","zz","t"&amp;D713))</f>
        <v/>
      </c>
      <c r="K713" s="28">
        <f>IF(OR(A713="",C713=""),"",IF(IFERROR(INDEX(DayStat,A713-DATE(PlanYear,1,1)+1)&amp;"","")&lt;&gt;"",0,1))</f>
        <v/>
      </c>
      <c r="L713" s="28">
        <f>IF(K713="","",K713*IFERROR(VLOOKUP(C713,CodeTable,4,0),0))</f>
        <v/>
      </c>
    </row>
    <row r="714">
      <c r="A714" s="22" t="n"/>
      <c r="B714" s="23" t="n"/>
      <c r="C714" s="24" t="n"/>
      <c r="D714" s="25" t="n"/>
      <c r="E714" s="26" t="n"/>
      <c r="F714" s="26" t="n"/>
      <c r="G714" s="27">
        <f>IF(C714="","",IFERROR(VLOOKUP(C714,CodeTable,3,0),1))</f>
        <v/>
      </c>
      <c r="H714" s="27">
        <f>IF(C714="","",IF(E714&lt;&gt;"",E714,IF(IFERROR(VLOOKUP(C714,CodeTable,5,0)&amp;"","")="","All",VLOOKUP(C714,CodeTable,5,0)&amp;"")))</f>
        <v/>
      </c>
      <c r="I714" s="28">
        <f>IF(OR(A714="",C714=""),"",A714&amp;"|"&amp;B714&amp;"|"&amp;(COUNTIFS(FlDate,A714,FlShift,B714,FlCode,"&lt;&gt;",FlOrder,"&lt;"&amp;J714)+COUNTIFS(A$6:A714,A714,B$6:B714,B714,C$6:C714,"&lt;&gt;",J$6:J714,J714)))</f>
        <v/>
      </c>
      <c r="J714" s="28">
        <f>IF(C714="","",IF(D714="","zz","t"&amp;D714))</f>
        <v/>
      </c>
      <c r="K714" s="28">
        <f>IF(OR(A714="",C714=""),"",IF(IFERROR(INDEX(DayStat,A714-DATE(PlanYear,1,1)+1)&amp;"","")&lt;&gt;"",0,1))</f>
        <v/>
      </c>
      <c r="L714" s="28">
        <f>IF(K714="","",K714*IFERROR(VLOOKUP(C714,CodeTable,4,0),0))</f>
        <v/>
      </c>
    </row>
    <row r="715">
      <c r="A715" s="22" t="n"/>
      <c r="B715" s="23" t="n"/>
      <c r="C715" s="24" t="n"/>
      <c r="D715" s="25" t="n"/>
      <c r="E715" s="26" t="n"/>
      <c r="F715" s="26" t="n"/>
      <c r="G715" s="27">
        <f>IF(C715="","",IFERROR(VLOOKUP(C715,CodeTable,3,0),1))</f>
        <v/>
      </c>
      <c r="H715" s="27">
        <f>IF(C715="","",IF(E715&lt;&gt;"",E715,IF(IFERROR(VLOOKUP(C715,CodeTable,5,0)&amp;"","")="","All",VLOOKUP(C715,CodeTable,5,0)&amp;"")))</f>
        <v/>
      </c>
      <c r="I715" s="28">
        <f>IF(OR(A715="",C715=""),"",A715&amp;"|"&amp;B715&amp;"|"&amp;(COUNTIFS(FlDate,A715,FlShift,B715,FlCode,"&lt;&gt;",FlOrder,"&lt;"&amp;J715)+COUNTIFS(A$6:A715,A715,B$6:B715,B715,C$6:C715,"&lt;&gt;",J$6:J715,J715)))</f>
        <v/>
      </c>
      <c r="J715" s="28">
        <f>IF(C715="","",IF(D715="","zz","t"&amp;D715))</f>
        <v/>
      </c>
      <c r="K715" s="28">
        <f>IF(OR(A715="",C715=""),"",IF(IFERROR(INDEX(DayStat,A715-DATE(PlanYear,1,1)+1)&amp;"","")&lt;&gt;"",0,1))</f>
        <v/>
      </c>
      <c r="L715" s="28">
        <f>IF(K715="","",K715*IFERROR(VLOOKUP(C715,CodeTable,4,0),0))</f>
        <v/>
      </c>
    </row>
    <row r="716">
      <c r="A716" s="22" t="n"/>
      <c r="B716" s="23" t="n"/>
      <c r="C716" s="24" t="n"/>
      <c r="D716" s="25" t="n"/>
      <c r="E716" s="26" t="n"/>
      <c r="F716" s="26" t="n"/>
      <c r="G716" s="27">
        <f>IF(C716="","",IFERROR(VLOOKUP(C716,CodeTable,3,0),1))</f>
        <v/>
      </c>
      <c r="H716" s="27">
        <f>IF(C716="","",IF(E716&lt;&gt;"",E716,IF(IFERROR(VLOOKUP(C716,CodeTable,5,0)&amp;"","")="","All",VLOOKUP(C716,CodeTable,5,0)&amp;"")))</f>
        <v/>
      </c>
      <c r="I716" s="28">
        <f>IF(OR(A716="",C716=""),"",A716&amp;"|"&amp;B716&amp;"|"&amp;(COUNTIFS(FlDate,A716,FlShift,B716,FlCode,"&lt;&gt;",FlOrder,"&lt;"&amp;J716)+COUNTIFS(A$6:A716,A716,B$6:B716,B716,C$6:C716,"&lt;&gt;",J$6:J716,J716)))</f>
        <v/>
      </c>
      <c r="J716" s="28">
        <f>IF(C716="","",IF(D716="","zz","t"&amp;D716))</f>
        <v/>
      </c>
      <c r="K716" s="28">
        <f>IF(OR(A716="",C716=""),"",IF(IFERROR(INDEX(DayStat,A716-DATE(PlanYear,1,1)+1)&amp;"","")&lt;&gt;"",0,1))</f>
        <v/>
      </c>
      <c r="L716" s="28">
        <f>IF(K716="","",K716*IFERROR(VLOOKUP(C716,CodeTable,4,0),0))</f>
        <v/>
      </c>
    </row>
    <row r="717">
      <c r="A717" s="22" t="n"/>
      <c r="B717" s="23" t="n"/>
      <c r="C717" s="24" t="n"/>
      <c r="D717" s="25" t="n"/>
      <c r="E717" s="26" t="n"/>
      <c r="F717" s="26" t="n"/>
      <c r="G717" s="27">
        <f>IF(C717="","",IFERROR(VLOOKUP(C717,CodeTable,3,0),1))</f>
        <v/>
      </c>
      <c r="H717" s="27">
        <f>IF(C717="","",IF(E717&lt;&gt;"",E717,IF(IFERROR(VLOOKUP(C717,CodeTable,5,0)&amp;"","")="","All",VLOOKUP(C717,CodeTable,5,0)&amp;"")))</f>
        <v/>
      </c>
      <c r="I717" s="28">
        <f>IF(OR(A717="",C717=""),"",A717&amp;"|"&amp;B717&amp;"|"&amp;(COUNTIFS(FlDate,A717,FlShift,B717,FlCode,"&lt;&gt;",FlOrder,"&lt;"&amp;J717)+COUNTIFS(A$6:A717,A717,B$6:B717,B717,C$6:C717,"&lt;&gt;",J$6:J717,J717)))</f>
        <v/>
      </c>
      <c r="J717" s="28">
        <f>IF(C717="","",IF(D717="","zz","t"&amp;D717))</f>
        <v/>
      </c>
      <c r="K717" s="28">
        <f>IF(OR(A717="",C717=""),"",IF(IFERROR(INDEX(DayStat,A717-DATE(PlanYear,1,1)+1)&amp;"","")&lt;&gt;"",0,1))</f>
        <v/>
      </c>
      <c r="L717" s="28">
        <f>IF(K717="","",K717*IFERROR(VLOOKUP(C717,CodeTable,4,0),0))</f>
        <v/>
      </c>
    </row>
    <row r="718">
      <c r="A718" s="22" t="n"/>
      <c r="B718" s="23" t="n"/>
      <c r="C718" s="24" t="n"/>
      <c r="D718" s="25" t="n"/>
      <c r="E718" s="26" t="n"/>
      <c r="F718" s="26" t="n"/>
      <c r="G718" s="27">
        <f>IF(C718="","",IFERROR(VLOOKUP(C718,CodeTable,3,0),1))</f>
        <v/>
      </c>
      <c r="H718" s="27">
        <f>IF(C718="","",IF(E718&lt;&gt;"",E718,IF(IFERROR(VLOOKUP(C718,CodeTable,5,0)&amp;"","")="","All",VLOOKUP(C718,CodeTable,5,0)&amp;"")))</f>
        <v/>
      </c>
      <c r="I718" s="28">
        <f>IF(OR(A718="",C718=""),"",A718&amp;"|"&amp;B718&amp;"|"&amp;(COUNTIFS(FlDate,A718,FlShift,B718,FlCode,"&lt;&gt;",FlOrder,"&lt;"&amp;J718)+COUNTIFS(A$6:A718,A718,B$6:B718,B718,C$6:C718,"&lt;&gt;",J$6:J718,J718)))</f>
        <v/>
      </c>
      <c r="J718" s="28">
        <f>IF(C718="","",IF(D718="","zz","t"&amp;D718))</f>
        <v/>
      </c>
      <c r="K718" s="28">
        <f>IF(OR(A718="",C718=""),"",IF(IFERROR(INDEX(DayStat,A718-DATE(PlanYear,1,1)+1)&amp;"","")&lt;&gt;"",0,1))</f>
        <v/>
      </c>
      <c r="L718" s="28">
        <f>IF(K718="","",K718*IFERROR(VLOOKUP(C718,CodeTable,4,0),0))</f>
        <v/>
      </c>
    </row>
    <row r="719">
      <c r="A719" s="22" t="n"/>
      <c r="B719" s="23" t="n"/>
      <c r="C719" s="24" t="n"/>
      <c r="D719" s="25" t="n"/>
      <c r="E719" s="26" t="n"/>
      <c r="F719" s="26" t="n"/>
      <c r="G719" s="27">
        <f>IF(C719="","",IFERROR(VLOOKUP(C719,CodeTable,3,0),1))</f>
        <v/>
      </c>
      <c r="H719" s="27">
        <f>IF(C719="","",IF(E719&lt;&gt;"",E719,IF(IFERROR(VLOOKUP(C719,CodeTable,5,0)&amp;"","")="","All",VLOOKUP(C719,CodeTable,5,0)&amp;"")))</f>
        <v/>
      </c>
      <c r="I719" s="28">
        <f>IF(OR(A719="",C719=""),"",A719&amp;"|"&amp;B719&amp;"|"&amp;(COUNTIFS(FlDate,A719,FlShift,B719,FlCode,"&lt;&gt;",FlOrder,"&lt;"&amp;J719)+COUNTIFS(A$6:A719,A719,B$6:B719,B719,C$6:C719,"&lt;&gt;",J$6:J719,J719)))</f>
        <v/>
      </c>
      <c r="J719" s="28">
        <f>IF(C719="","",IF(D719="","zz","t"&amp;D719))</f>
        <v/>
      </c>
      <c r="K719" s="28">
        <f>IF(OR(A719="",C719=""),"",IF(IFERROR(INDEX(DayStat,A719-DATE(PlanYear,1,1)+1)&amp;"","")&lt;&gt;"",0,1))</f>
        <v/>
      </c>
      <c r="L719" s="28">
        <f>IF(K719="","",K719*IFERROR(VLOOKUP(C719,CodeTable,4,0),0))</f>
        <v/>
      </c>
    </row>
    <row r="720">
      <c r="A720" s="22" t="n"/>
      <c r="B720" s="23" t="n"/>
      <c r="C720" s="24" t="n"/>
      <c r="D720" s="25" t="n"/>
      <c r="E720" s="26" t="n"/>
      <c r="F720" s="26" t="n"/>
      <c r="G720" s="27">
        <f>IF(C720="","",IFERROR(VLOOKUP(C720,CodeTable,3,0),1))</f>
        <v/>
      </c>
      <c r="H720" s="27">
        <f>IF(C720="","",IF(E720&lt;&gt;"",E720,IF(IFERROR(VLOOKUP(C720,CodeTable,5,0)&amp;"","")="","All",VLOOKUP(C720,CodeTable,5,0)&amp;"")))</f>
        <v/>
      </c>
      <c r="I720" s="28">
        <f>IF(OR(A720="",C720=""),"",A720&amp;"|"&amp;B720&amp;"|"&amp;(COUNTIFS(FlDate,A720,FlShift,B720,FlCode,"&lt;&gt;",FlOrder,"&lt;"&amp;J720)+COUNTIFS(A$6:A720,A720,B$6:B720,B720,C$6:C720,"&lt;&gt;",J$6:J720,J720)))</f>
        <v/>
      </c>
      <c r="J720" s="28">
        <f>IF(C720="","",IF(D720="","zz","t"&amp;D720))</f>
        <v/>
      </c>
      <c r="K720" s="28">
        <f>IF(OR(A720="",C720=""),"",IF(IFERROR(INDEX(DayStat,A720-DATE(PlanYear,1,1)+1)&amp;"","")&lt;&gt;"",0,1))</f>
        <v/>
      </c>
      <c r="L720" s="28">
        <f>IF(K720="","",K720*IFERROR(VLOOKUP(C720,CodeTable,4,0),0))</f>
        <v/>
      </c>
    </row>
    <row r="721">
      <c r="A721" s="22" t="n"/>
      <c r="B721" s="23" t="n"/>
      <c r="C721" s="24" t="n"/>
      <c r="D721" s="25" t="n"/>
      <c r="E721" s="26" t="n"/>
      <c r="F721" s="26" t="n"/>
      <c r="G721" s="27">
        <f>IF(C721="","",IFERROR(VLOOKUP(C721,CodeTable,3,0),1))</f>
        <v/>
      </c>
      <c r="H721" s="27">
        <f>IF(C721="","",IF(E721&lt;&gt;"",E721,IF(IFERROR(VLOOKUP(C721,CodeTable,5,0)&amp;"","")="","All",VLOOKUP(C721,CodeTable,5,0)&amp;"")))</f>
        <v/>
      </c>
      <c r="I721" s="28">
        <f>IF(OR(A721="",C721=""),"",A721&amp;"|"&amp;B721&amp;"|"&amp;(COUNTIFS(FlDate,A721,FlShift,B721,FlCode,"&lt;&gt;",FlOrder,"&lt;"&amp;J721)+COUNTIFS(A$6:A721,A721,B$6:B721,B721,C$6:C721,"&lt;&gt;",J$6:J721,J721)))</f>
        <v/>
      </c>
      <c r="J721" s="28">
        <f>IF(C721="","",IF(D721="","zz","t"&amp;D721))</f>
        <v/>
      </c>
      <c r="K721" s="28">
        <f>IF(OR(A721="",C721=""),"",IF(IFERROR(INDEX(DayStat,A721-DATE(PlanYear,1,1)+1)&amp;"","")&lt;&gt;"",0,1))</f>
        <v/>
      </c>
      <c r="L721" s="28">
        <f>IF(K721="","",K721*IFERROR(VLOOKUP(C721,CodeTable,4,0),0))</f>
        <v/>
      </c>
    </row>
    <row r="722">
      <c r="A722" s="22" t="n"/>
      <c r="B722" s="23" t="n"/>
      <c r="C722" s="24" t="n"/>
      <c r="D722" s="25" t="n"/>
      <c r="E722" s="26" t="n"/>
      <c r="F722" s="26" t="n"/>
      <c r="G722" s="27">
        <f>IF(C722="","",IFERROR(VLOOKUP(C722,CodeTable,3,0),1))</f>
        <v/>
      </c>
      <c r="H722" s="27">
        <f>IF(C722="","",IF(E722&lt;&gt;"",E722,IF(IFERROR(VLOOKUP(C722,CodeTable,5,0)&amp;"","")="","All",VLOOKUP(C722,CodeTable,5,0)&amp;"")))</f>
        <v/>
      </c>
      <c r="I722" s="28">
        <f>IF(OR(A722="",C722=""),"",A722&amp;"|"&amp;B722&amp;"|"&amp;(COUNTIFS(FlDate,A722,FlShift,B722,FlCode,"&lt;&gt;",FlOrder,"&lt;"&amp;J722)+COUNTIFS(A$6:A722,A722,B$6:B722,B722,C$6:C722,"&lt;&gt;",J$6:J722,J722)))</f>
        <v/>
      </c>
      <c r="J722" s="28">
        <f>IF(C722="","",IF(D722="","zz","t"&amp;D722))</f>
        <v/>
      </c>
      <c r="K722" s="28">
        <f>IF(OR(A722="",C722=""),"",IF(IFERROR(INDEX(DayStat,A722-DATE(PlanYear,1,1)+1)&amp;"","")&lt;&gt;"",0,1))</f>
        <v/>
      </c>
      <c r="L722" s="28">
        <f>IF(K722="","",K722*IFERROR(VLOOKUP(C722,CodeTable,4,0),0))</f>
        <v/>
      </c>
    </row>
    <row r="723">
      <c r="A723" s="22" t="n"/>
      <c r="B723" s="23" t="n"/>
      <c r="C723" s="24" t="n"/>
      <c r="D723" s="25" t="n"/>
      <c r="E723" s="26" t="n"/>
      <c r="F723" s="26" t="n"/>
      <c r="G723" s="27">
        <f>IF(C723="","",IFERROR(VLOOKUP(C723,CodeTable,3,0),1))</f>
        <v/>
      </c>
      <c r="H723" s="27">
        <f>IF(C723="","",IF(E723&lt;&gt;"",E723,IF(IFERROR(VLOOKUP(C723,CodeTable,5,0)&amp;"","")="","All",VLOOKUP(C723,CodeTable,5,0)&amp;"")))</f>
        <v/>
      </c>
      <c r="I723" s="28">
        <f>IF(OR(A723="",C723=""),"",A723&amp;"|"&amp;B723&amp;"|"&amp;(COUNTIFS(FlDate,A723,FlShift,B723,FlCode,"&lt;&gt;",FlOrder,"&lt;"&amp;J723)+COUNTIFS(A$6:A723,A723,B$6:B723,B723,C$6:C723,"&lt;&gt;",J$6:J723,J723)))</f>
        <v/>
      </c>
      <c r="J723" s="28">
        <f>IF(C723="","",IF(D723="","zz","t"&amp;D723))</f>
        <v/>
      </c>
      <c r="K723" s="28">
        <f>IF(OR(A723="",C723=""),"",IF(IFERROR(INDEX(DayStat,A723-DATE(PlanYear,1,1)+1)&amp;"","")&lt;&gt;"",0,1))</f>
        <v/>
      </c>
      <c r="L723" s="28">
        <f>IF(K723="","",K723*IFERROR(VLOOKUP(C723,CodeTable,4,0),0))</f>
        <v/>
      </c>
    </row>
    <row r="724">
      <c r="A724" s="22" t="n"/>
      <c r="B724" s="23" t="n"/>
      <c r="C724" s="24" t="n"/>
      <c r="D724" s="25" t="n"/>
      <c r="E724" s="26" t="n"/>
      <c r="F724" s="26" t="n"/>
      <c r="G724" s="27">
        <f>IF(C724="","",IFERROR(VLOOKUP(C724,CodeTable,3,0),1))</f>
        <v/>
      </c>
      <c r="H724" s="27">
        <f>IF(C724="","",IF(E724&lt;&gt;"",E724,IF(IFERROR(VLOOKUP(C724,CodeTable,5,0)&amp;"","")="","All",VLOOKUP(C724,CodeTable,5,0)&amp;"")))</f>
        <v/>
      </c>
      <c r="I724" s="28">
        <f>IF(OR(A724="",C724=""),"",A724&amp;"|"&amp;B724&amp;"|"&amp;(COUNTIFS(FlDate,A724,FlShift,B724,FlCode,"&lt;&gt;",FlOrder,"&lt;"&amp;J724)+COUNTIFS(A$6:A724,A724,B$6:B724,B724,C$6:C724,"&lt;&gt;",J$6:J724,J724)))</f>
        <v/>
      </c>
      <c r="J724" s="28">
        <f>IF(C724="","",IF(D724="","zz","t"&amp;D724))</f>
        <v/>
      </c>
      <c r="K724" s="28">
        <f>IF(OR(A724="",C724=""),"",IF(IFERROR(INDEX(DayStat,A724-DATE(PlanYear,1,1)+1)&amp;"","")&lt;&gt;"",0,1))</f>
        <v/>
      </c>
      <c r="L724" s="28">
        <f>IF(K724="","",K724*IFERROR(VLOOKUP(C724,CodeTable,4,0),0))</f>
        <v/>
      </c>
    </row>
    <row r="725">
      <c r="A725" s="22" t="n"/>
      <c r="B725" s="23" t="n"/>
      <c r="C725" s="24" t="n"/>
      <c r="D725" s="25" t="n"/>
      <c r="E725" s="26" t="n"/>
      <c r="F725" s="26" t="n"/>
      <c r="G725" s="27">
        <f>IF(C725="","",IFERROR(VLOOKUP(C725,CodeTable,3,0),1))</f>
        <v/>
      </c>
      <c r="H725" s="27">
        <f>IF(C725="","",IF(E725&lt;&gt;"",E725,IF(IFERROR(VLOOKUP(C725,CodeTable,5,0)&amp;"","")="","All",VLOOKUP(C725,CodeTable,5,0)&amp;"")))</f>
        <v/>
      </c>
      <c r="I725" s="28">
        <f>IF(OR(A725="",C725=""),"",A725&amp;"|"&amp;B725&amp;"|"&amp;(COUNTIFS(FlDate,A725,FlShift,B725,FlCode,"&lt;&gt;",FlOrder,"&lt;"&amp;J725)+COUNTIFS(A$6:A725,A725,B$6:B725,B725,C$6:C725,"&lt;&gt;",J$6:J725,J725)))</f>
        <v/>
      </c>
      <c r="J725" s="28">
        <f>IF(C725="","",IF(D725="","zz","t"&amp;D725))</f>
        <v/>
      </c>
      <c r="K725" s="28">
        <f>IF(OR(A725="",C725=""),"",IF(IFERROR(INDEX(DayStat,A725-DATE(PlanYear,1,1)+1)&amp;"","")&lt;&gt;"",0,1))</f>
        <v/>
      </c>
      <c r="L725" s="28">
        <f>IF(K725="","",K725*IFERROR(VLOOKUP(C725,CodeTable,4,0),0))</f>
        <v/>
      </c>
    </row>
    <row r="726">
      <c r="A726" s="22" t="n"/>
      <c r="B726" s="23" t="n"/>
      <c r="C726" s="24" t="n"/>
      <c r="D726" s="25" t="n"/>
      <c r="E726" s="26" t="n"/>
      <c r="F726" s="26" t="n"/>
      <c r="G726" s="27">
        <f>IF(C726="","",IFERROR(VLOOKUP(C726,CodeTable,3,0),1))</f>
        <v/>
      </c>
      <c r="H726" s="27">
        <f>IF(C726="","",IF(E726&lt;&gt;"",E726,IF(IFERROR(VLOOKUP(C726,CodeTable,5,0)&amp;"","")="","All",VLOOKUP(C726,CodeTable,5,0)&amp;"")))</f>
        <v/>
      </c>
      <c r="I726" s="28">
        <f>IF(OR(A726="",C726=""),"",A726&amp;"|"&amp;B726&amp;"|"&amp;(COUNTIFS(FlDate,A726,FlShift,B726,FlCode,"&lt;&gt;",FlOrder,"&lt;"&amp;J726)+COUNTIFS(A$6:A726,A726,B$6:B726,B726,C$6:C726,"&lt;&gt;",J$6:J726,J726)))</f>
        <v/>
      </c>
      <c r="J726" s="28">
        <f>IF(C726="","",IF(D726="","zz","t"&amp;D726))</f>
        <v/>
      </c>
      <c r="K726" s="28">
        <f>IF(OR(A726="",C726=""),"",IF(IFERROR(INDEX(DayStat,A726-DATE(PlanYear,1,1)+1)&amp;"","")&lt;&gt;"",0,1))</f>
        <v/>
      </c>
      <c r="L726" s="28">
        <f>IF(K726="","",K726*IFERROR(VLOOKUP(C726,CodeTable,4,0),0))</f>
        <v/>
      </c>
    </row>
    <row r="727">
      <c r="A727" s="22" t="n"/>
      <c r="B727" s="23" t="n"/>
      <c r="C727" s="24" t="n"/>
      <c r="D727" s="25" t="n"/>
      <c r="E727" s="26" t="n"/>
      <c r="F727" s="26" t="n"/>
      <c r="G727" s="27">
        <f>IF(C727="","",IFERROR(VLOOKUP(C727,CodeTable,3,0),1))</f>
        <v/>
      </c>
      <c r="H727" s="27">
        <f>IF(C727="","",IF(E727&lt;&gt;"",E727,IF(IFERROR(VLOOKUP(C727,CodeTable,5,0)&amp;"","")="","All",VLOOKUP(C727,CodeTable,5,0)&amp;"")))</f>
        <v/>
      </c>
      <c r="I727" s="28">
        <f>IF(OR(A727="",C727=""),"",A727&amp;"|"&amp;B727&amp;"|"&amp;(COUNTIFS(FlDate,A727,FlShift,B727,FlCode,"&lt;&gt;",FlOrder,"&lt;"&amp;J727)+COUNTIFS(A$6:A727,A727,B$6:B727,B727,C$6:C727,"&lt;&gt;",J$6:J727,J727)))</f>
        <v/>
      </c>
      <c r="J727" s="28">
        <f>IF(C727="","",IF(D727="","zz","t"&amp;D727))</f>
        <v/>
      </c>
      <c r="K727" s="28">
        <f>IF(OR(A727="",C727=""),"",IF(IFERROR(INDEX(DayStat,A727-DATE(PlanYear,1,1)+1)&amp;"","")&lt;&gt;"",0,1))</f>
        <v/>
      </c>
      <c r="L727" s="28">
        <f>IF(K727="","",K727*IFERROR(VLOOKUP(C727,CodeTable,4,0),0))</f>
        <v/>
      </c>
    </row>
    <row r="728">
      <c r="A728" s="22" t="n"/>
      <c r="B728" s="23" t="n"/>
      <c r="C728" s="24" t="n"/>
      <c r="D728" s="25" t="n"/>
      <c r="E728" s="26" t="n"/>
      <c r="F728" s="26" t="n"/>
      <c r="G728" s="27">
        <f>IF(C728="","",IFERROR(VLOOKUP(C728,CodeTable,3,0),1))</f>
        <v/>
      </c>
      <c r="H728" s="27">
        <f>IF(C728="","",IF(E728&lt;&gt;"",E728,IF(IFERROR(VLOOKUP(C728,CodeTable,5,0)&amp;"","")="","All",VLOOKUP(C728,CodeTable,5,0)&amp;"")))</f>
        <v/>
      </c>
      <c r="I728" s="28">
        <f>IF(OR(A728="",C728=""),"",A728&amp;"|"&amp;B728&amp;"|"&amp;(COUNTIFS(FlDate,A728,FlShift,B728,FlCode,"&lt;&gt;",FlOrder,"&lt;"&amp;J728)+COUNTIFS(A$6:A728,A728,B$6:B728,B728,C$6:C728,"&lt;&gt;",J$6:J728,J728)))</f>
        <v/>
      </c>
      <c r="J728" s="28">
        <f>IF(C728="","",IF(D728="","zz","t"&amp;D728))</f>
        <v/>
      </c>
      <c r="K728" s="28">
        <f>IF(OR(A728="",C728=""),"",IF(IFERROR(INDEX(DayStat,A728-DATE(PlanYear,1,1)+1)&amp;"","")&lt;&gt;"",0,1))</f>
        <v/>
      </c>
      <c r="L728" s="28">
        <f>IF(K728="","",K728*IFERROR(VLOOKUP(C728,CodeTable,4,0),0))</f>
        <v/>
      </c>
    </row>
    <row r="729">
      <c r="A729" s="22" t="n"/>
      <c r="B729" s="23" t="n"/>
      <c r="C729" s="24" t="n"/>
      <c r="D729" s="25" t="n"/>
      <c r="E729" s="26" t="n"/>
      <c r="F729" s="26" t="n"/>
      <c r="G729" s="27">
        <f>IF(C729="","",IFERROR(VLOOKUP(C729,CodeTable,3,0),1))</f>
        <v/>
      </c>
      <c r="H729" s="27">
        <f>IF(C729="","",IF(E729&lt;&gt;"",E729,IF(IFERROR(VLOOKUP(C729,CodeTable,5,0)&amp;"","")="","All",VLOOKUP(C729,CodeTable,5,0)&amp;"")))</f>
        <v/>
      </c>
      <c r="I729" s="28">
        <f>IF(OR(A729="",C729=""),"",A729&amp;"|"&amp;B729&amp;"|"&amp;(COUNTIFS(FlDate,A729,FlShift,B729,FlCode,"&lt;&gt;",FlOrder,"&lt;"&amp;J729)+COUNTIFS(A$6:A729,A729,B$6:B729,B729,C$6:C729,"&lt;&gt;",J$6:J729,J729)))</f>
        <v/>
      </c>
      <c r="J729" s="28">
        <f>IF(C729="","",IF(D729="","zz","t"&amp;D729))</f>
        <v/>
      </c>
      <c r="K729" s="28">
        <f>IF(OR(A729="",C729=""),"",IF(IFERROR(INDEX(DayStat,A729-DATE(PlanYear,1,1)+1)&amp;"","")&lt;&gt;"",0,1))</f>
        <v/>
      </c>
      <c r="L729" s="28">
        <f>IF(K729="","",K729*IFERROR(VLOOKUP(C729,CodeTable,4,0),0))</f>
        <v/>
      </c>
    </row>
    <row r="730">
      <c r="A730" s="22" t="n"/>
      <c r="B730" s="23" t="n"/>
      <c r="C730" s="24" t="n"/>
      <c r="D730" s="25" t="n"/>
      <c r="E730" s="26" t="n"/>
      <c r="F730" s="26" t="n"/>
      <c r="G730" s="27">
        <f>IF(C730="","",IFERROR(VLOOKUP(C730,CodeTable,3,0),1))</f>
        <v/>
      </c>
      <c r="H730" s="27">
        <f>IF(C730="","",IF(E730&lt;&gt;"",E730,IF(IFERROR(VLOOKUP(C730,CodeTable,5,0)&amp;"","")="","All",VLOOKUP(C730,CodeTable,5,0)&amp;"")))</f>
        <v/>
      </c>
      <c r="I730" s="28">
        <f>IF(OR(A730="",C730=""),"",A730&amp;"|"&amp;B730&amp;"|"&amp;(COUNTIFS(FlDate,A730,FlShift,B730,FlCode,"&lt;&gt;",FlOrder,"&lt;"&amp;J730)+COUNTIFS(A$6:A730,A730,B$6:B730,B730,C$6:C730,"&lt;&gt;",J$6:J730,J730)))</f>
        <v/>
      </c>
      <c r="J730" s="28">
        <f>IF(C730="","",IF(D730="","zz","t"&amp;D730))</f>
        <v/>
      </c>
      <c r="K730" s="28">
        <f>IF(OR(A730="",C730=""),"",IF(IFERROR(INDEX(DayStat,A730-DATE(PlanYear,1,1)+1)&amp;"","")&lt;&gt;"",0,1))</f>
        <v/>
      </c>
      <c r="L730" s="28">
        <f>IF(K730="","",K730*IFERROR(VLOOKUP(C730,CodeTable,4,0),0))</f>
        <v/>
      </c>
    </row>
    <row r="731">
      <c r="A731" s="22" t="n"/>
      <c r="B731" s="23" t="n"/>
      <c r="C731" s="24" t="n"/>
      <c r="D731" s="25" t="n"/>
      <c r="E731" s="26" t="n"/>
      <c r="F731" s="26" t="n"/>
      <c r="G731" s="27">
        <f>IF(C731="","",IFERROR(VLOOKUP(C731,CodeTable,3,0),1))</f>
        <v/>
      </c>
      <c r="H731" s="27">
        <f>IF(C731="","",IF(E731&lt;&gt;"",E731,IF(IFERROR(VLOOKUP(C731,CodeTable,5,0)&amp;"","")="","All",VLOOKUP(C731,CodeTable,5,0)&amp;"")))</f>
        <v/>
      </c>
      <c r="I731" s="28">
        <f>IF(OR(A731="",C731=""),"",A731&amp;"|"&amp;B731&amp;"|"&amp;(COUNTIFS(FlDate,A731,FlShift,B731,FlCode,"&lt;&gt;",FlOrder,"&lt;"&amp;J731)+COUNTIFS(A$6:A731,A731,B$6:B731,B731,C$6:C731,"&lt;&gt;",J$6:J731,J731)))</f>
        <v/>
      </c>
      <c r="J731" s="28">
        <f>IF(C731="","",IF(D731="","zz","t"&amp;D731))</f>
        <v/>
      </c>
      <c r="K731" s="28">
        <f>IF(OR(A731="",C731=""),"",IF(IFERROR(INDEX(DayStat,A731-DATE(PlanYear,1,1)+1)&amp;"","")&lt;&gt;"",0,1))</f>
        <v/>
      </c>
      <c r="L731" s="28">
        <f>IF(K731="","",K731*IFERROR(VLOOKUP(C731,CodeTable,4,0),0))</f>
        <v/>
      </c>
    </row>
    <row r="732">
      <c r="A732" s="22" t="n"/>
      <c r="B732" s="23" t="n"/>
      <c r="C732" s="24" t="n"/>
      <c r="D732" s="25" t="n"/>
      <c r="E732" s="26" t="n"/>
      <c r="F732" s="26" t="n"/>
      <c r="G732" s="27">
        <f>IF(C732="","",IFERROR(VLOOKUP(C732,CodeTable,3,0),1))</f>
        <v/>
      </c>
      <c r="H732" s="27">
        <f>IF(C732="","",IF(E732&lt;&gt;"",E732,IF(IFERROR(VLOOKUP(C732,CodeTable,5,0)&amp;"","")="","All",VLOOKUP(C732,CodeTable,5,0)&amp;"")))</f>
        <v/>
      </c>
      <c r="I732" s="28">
        <f>IF(OR(A732="",C732=""),"",A732&amp;"|"&amp;B732&amp;"|"&amp;(COUNTIFS(FlDate,A732,FlShift,B732,FlCode,"&lt;&gt;",FlOrder,"&lt;"&amp;J732)+COUNTIFS(A$6:A732,A732,B$6:B732,B732,C$6:C732,"&lt;&gt;",J$6:J732,J732)))</f>
        <v/>
      </c>
      <c r="J732" s="28">
        <f>IF(C732="","",IF(D732="","zz","t"&amp;D732))</f>
        <v/>
      </c>
      <c r="K732" s="28">
        <f>IF(OR(A732="",C732=""),"",IF(IFERROR(INDEX(DayStat,A732-DATE(PlanYear,1,1)+1)&amp;"","")&lt;&gt;"",0,1))</f>
        <v/>
      </c>
      <c r="L732" s="28">
        <f>IF(K732="","",K732*IFERROR(VLOOKUP(C732,CodeTable,4,0),0))</f>
        <v/>
      </c>
    </row>
    <row r="733">
      <c r="A733" s="22" t="n"/>
      <c r="B733" s="23" t="n"/>
      <c r="C733" s="24" t="n"/>
      <c r="D733" s="25" t="n"/>
      <c r="E733" s="26" t="n"/>
      <c r="F733" s="26" t="n"/>
      <c r="G733" s="27">
        <f>IF(C733="","",IFERROR(VLOOKUP(C733,CodeTable,3,0),1))</f>
        <v/>
      </c>
      <c r="H733" s="27">
        <f>IF(C733="","",IF(E733&lt;&gt;"",E733,IF(IFERROR(VLOOKUP(C733,CodeTable,5,0)&amp;"","")="","All",VLOOKUP(C733,CodeTable,5,0)&amp;"")))</f>
        <v/>
      </c>
      <c r="I733" s="28">
        <f>IF(OR(A733="",C733=""),"",A733&amp;"|"&amp;B733&amp;"|"&amp;(COUNTIFS(FlDate,A733,FlShift,B733,FlCode,"&lt;&gt;",FlOrder,"&lt;"&amp;J733)+COUNTIFS(A$6:A733,A733,B$6:B733,B733,C$6:C733,"&lt;&gt;",J$6:J733,J733)))</f>
        <v/>
      </c>
      <c r="J733" s="28">
        <f>IF(C733="","",IF(D733="","zz","t"&amp;D733))</f>
        <v/>
      </c>
      <c r="K733" s="28">
        <f>IF(OR(A733="",C733=""),"",IF(IFERROR(INDEX(DayStat,A733-DATE(PlanYear,1,1)+1)&amp;"","")&lt;&gt;"",0,1))</f>
        <v/>
      </c>
      <c r="L733" s="28">
        <f>IF(K733="","",K733*IFERROR(VLOOKUP(C733,CodeTable,4,0),0))</f>
        <v/>
      </c>
    </row>
    <row r="734">
      <c r="A734" s="22" t="n"/>
      <c r="B734" s="23" t="n"/>
      <c r="C734" s="24" t="n"/>
      <c r="D734" s="25" t="n"/>
      <c r="E734" s="26" t="n"/>
      <c r="F734" s="26" t="n"/>
      <c r="G734" s="27">
        <f>IF(C734="","",IFERROR(VLOOKUP(C734,CodeTable,3,0),1))</f>
        <v/>
      </c>
      <c r="H734" s="27">
        <f>IF(C734="","",IF(E734&lt;&gt;"",E734,IF(IFERROR(VLOOKUP(C734,CodeTable,5,0)&amp;"","")="","All",VLOOKUP(C734,CodeTable,5,0)&amp;"")))</f>
        <v/>
      </c>
      <c r="I734" s="28">
        <f>IF(OR(A734="",C734=""),"",A734&amp;"|"&amp;B734&amp;"|"&amp;(COUNTIFS(FlDate,A734,FlShift,B734,FlCode,"&lt;&gt;",FlOrder,"&lt;"&amp;J734)+COUNTIFS(A$6:A734,A734,B$6:B734,B734,C$6:C734,"&lt;&gt;",J$6:J734,J734)))</f>
        <v/>
      </c>
      <c r="J734" s="28">
        <f>IF(C734="","",IF(D734="","zz","t"&amp;D734))</f>
        <v/>
      </c>
      <c r="K734" s="28">
        <f>IF(OR(A734="",C734=""),"",IF(IFERROR(INDEX(DayStat,A734-DATE(PlanYear,1,1)+1)&amp;"","")&lt;&gt;"",0,1))</f>
        <v/>
      </c>
      <c r="L734" s="28">
        <f>IF(K734="","",K734*IFERROR(VLOOKUP(C734,CodeTable,4,0),0))</f>
        <v/>
      </c>
    </row>
    <row r="735">
      <c r="A735" s="22" t="n"/>
      <c r="B735" s="23" t="n"/>
      <c r="C735" s="24" t="n"/>
      <c r="D735" s="25" t="n"/>
      <c r="E735" s="26" t="n"/>
      <c r="F735" s="26" t="n"/>
      <c r="G735" s="27">
        <f>IF(C735="","",IFERROR(VLOOKUP(C735,CodeTable,3,0),1))</f>
        <v/>
      </c>
      <c r="H735" s="27">
        <f>IF(C735="","",IF(E735&lt;&gt;"",E735,IF(IFERROR(VLOOKUP(C735,CodeTable,5,0)&amp;"","")="","All",VLOOKUP(C735,CodeTable,5,0)&amp;"")))</f>
        <v/>
      </c>
      <c r="I735" s="28">
        <f>IF(OR(A735="",C735=""),"",A735&amp;"|"&amp;B735&amp;"|"&amp;(COUNTIFS(FlDate,A735,FlShift,B735,FlCode,"&lt;&gt;",FlOrder,"&lt;"&amp;J735)+COUNTIFS(A$6:A735,A735,B$6:B735,B735,C$6:C735,"&lt;&gt;",J$6:J735,J735)))</f>
        <v/>
      </c>
      <c r="J735" s="28">
        <f>IF(C735="","",IF(D735="","zz","t"&amp;D735))</f>
        <v/>
      </c>
      <c r="K735" s="28">
        <f>IF(OR(A735="",C735=""),"",IF(IFERROR(INDEX(DayStat,A735-DATE(PlanYear,1,1)+1)&amp;"","")&lt;&gt;"",0,1))</f>
        <v/>
      </c>
      <c r="L735" s="28">
        <f>IF(K735="","",K735*IFERROR(VLOOKUP(C735,CodeTable,4,0),0))</f>
        <v/>
      </c>
    </row>
    <row r="736">
      <c r="A736" s="22" t="n"/>
      <c r="B736" s="23" t="n"/>
      <c r="C736" s="24" t="n"/>
      <c r="D736" s="25" t="n"/>
      <c r="E736" s="26" t="n"/>
      <c r="F736" s="26" t="n"/>
      <c r="G736" s="27">
        <f>IF(C736="","",IFERROR(VLOOKUP(C736,CodeTable,3,0),1))</f>
        <v/>
      </c>
      <c r="H736" s="27">
        <f>IF(C736="","",IF(E736&lt;&gt;"",E736,IF(IFERROR(VLOOKUP(C736,CodeTable,5,0)&amp;"","")="","All",VLOOKUP(C736,CodeTable,5,0)&amp;"")))</f>
        <v/>
      </c>
      <c r="I736" s="28">
        <f>IF(OR(A736="",C736=""),"",A736&amp;"|"&amp;B736&amp;"|"&amp;(COUNTIFS(FlDate,A736,FlShift,B736,FlCode,"&lt;&gt;",FlOrder,"&lt;"&amp;J736)+COUNTIFS(A$6:A736,A736,B$6:B736,B736,C$6:C736,"&lt;&gt;",J$6:J736,J736)))</f>
        <v/>
      </c>
      <c r="J736" s="28">
        <f>IF(C736="","",IF(D736="","zz","t"&amp;D736))</f>
        <v/>
      </c>
      <c r="K736" s="28">
        <f>IF(OR(A736="",C736=""),"",IF(IFERROR(INDEX(DayStat,A736-DATE(PlanYear,1,1)+1)&amp;"","")&lt;&gt;"",0,1))</f>
        <v/>
      </c>
      <c r="L736" s="28">
        <f>IF(K736="","",K736*IFERROR(VLOOKUP(C736,CodeTable,4,0),0))</f>
        <v/>
      </c>
    </row>
    <row r="737">
      <c r="A737" s="22" t="n"/>
      <c r="B737" s="23" t="n"/>
      <c r="C737" s="24" t="n"/>
      <c r="D737" s="25" t="n"/>
      <c r="E737" s="26" t="n"/>
      <c r="F737" s="26" t="n"/>
      <c r="G737" s="27">
        <f>IF(C737="","",IFERROR(VLOOKUP(C737,CodeTable,3,0),1))</f>
        <v/>
      </c>
      <c r="H737" s="27">
        <f>IF(C737="","",IF(E737&lt;&gt;"",E737,IF(IFERROR(VLOOKUP(C737,CodeTable,5,0)&amp;"","")="","All",VLOOKUP(C737,CodeTable,5,0)&amp;"")))</f>
        <v/>
      </c>
      <c r="I737" s="28">
        <f>IF(OR(A737="",C737=""),"",A737&amp;"|"&amp;B737&amp;"|"&amp;(COUNTIFS(FlDate,A737,FlShift,B737,FlCode,"&lt;&gt;",FlOrder,"&lt;"&amp;J737)+COUNTIFS(A$6:A737,A737,B$6:B737,B737,C$6:C737,"&lt;&gt;",J$6:J737,J737)))</f>
        <v/>
      </c>
      <c r="J737" s="28">
        <f>IF(C737="","",IF(D737="","zz","t"&amp;D737))</f>
        <v/>
      </c>
      <c r="K737" s="28">
        <f>IF(OR(A737="",C737=""),"",IF(IFERROR(INDEX(DayStat,A737-DATE(PlanYear,1,1)+1)&amp;"","")&lt;&gt;"",0,1))</f>
        <v/>
      </c>
      <c r="L737" s="28">
        <f>IF(K737="","",K737*IFERROR(VLOOKUP(C737,CodeTable,4,0),0))</f>
        <v/>
      </c>
    </row>
    <row r="738">
      <c r="A738" s="22" t="n"/>
      <c r="B738" s="23" t="n"/>
      <c r="C738" s="24" t="n"/>
      <c r="D738" s="25" t="n"/>
      <c r="E738" s="26" t="n"/>
      <c r="F738" s="26" t="n"/>
      <c r="G738" s="27">
        <f>IF(C738="","",IFERROR(VLOOKUP(C738,CodeTable,3,0),1))</f>
        <v/>
      </c>
      <c r="H738" s="27">
        <f>IF(C738="","",IF(E738&lt;&gt;"",E738,IF(IFERROR(VLOOKUP(C738,CodeTable,5,0)&amp;"","")="","All",VLOOKUP(C738,CodeTable,5,0)&amp;"")))</f>
        <v/>
      </c>
      <c r="I738" s="28">
        <f>IF(OR(A738="",C738=""),"",A738&amp;"|"&amp;B738&amp;"|"&amp;(COUNTIFS(FlDate,A738,FlShift,B738,FlCode,"&lt;&gt;",FlOrder,"&lt;"&amp;J738)+COUNTIFS(A$6:A738,A738,B$6:B738,B738,C$6:C738,"&lt;&gt;",J$6:J738,J738)))</f>
        <v/>
      </c>
      <c r="J738" s="28">
        <f>IF(C738="","",IF(D738="","zz","t"&amp;D738))</f>
        <v/>
      </c>
      <c r="K738" s="28">
        <f>IF(OR(A738="",C738=""),"",IF(IFERROR(INDEX(DayStat,A738-DATE(PlanYear,1,1)+1)&amp;"","")&lt;&gt;"",0,1))</f>
        <v/>
      </c>
      <c r="L738" s="28">
        <f>IF(K738="","",K738*IFERROR(VLOOKUP(C738,CodeTable,4,0),0))</f>
        <v/>
      </c>
    </row>
    <row r="739">
      <c r="A739" s="22" t="n"/>
      <c r="B739" s="23" t="n"/>
      <c r="C739" s="24" t="n"/>
      <c r="D739" s="25" t="n"/>
      <c r="E739" s="26" t="n"/>
      <c r="F739" s="26" t="n"/>
      <c r="G739" s="27">
        <f>IF(C739="","",IFERROR(VLOOKUP(C739,CodeTable,3,0),1))</f>
        <v/>
      </c>
      <c r="H739" s="27">
        <f>IF(C739="","",IF(E739&lt;&gt;"",E739,IF(IFERROR(VLOOKUP(C739,CodeTable,5,0)&amp;"","")="","All",VLOOKUP(C739,CodeTable,5,0)&amp;"")))</f>
        <v/>
      </c>
      <c r="I739" s="28">
        <f>IF(OR(A739="",C739=""),"",A739&amp;"|"&amp;B739&amp;"|"&amp;(COUNTIFS(FlDate,A739,FlShift,B739,FlCode,"&lt;&gt;",FlOrder,"&lt;"&amp;J739)+COUNTIFS(A$6:A739,A739,B$6:B739,B739,C$6:C739,"&lt;&gt;",J$6:J739,J739)))</f>
        <v/>
      </c>
      <c r="J739" s="28">
        <f>IF(C739="","",IF(D739="","zz","t"&amp;D739))</f>
        <v/>
      </c>
      <c r="K739" s="28">
        <f>IF(OR(A739="",C739=""),"",IF(IFERROR(INDEX(DayStat,A739-DATE(PlanYear,1,1)+1)&amp;"","")&lt;&gt;"",0,1))</f>
        <v/>
      </c>
      <c r="L739" s="28">
        <f>IF(K739="","",K739*IFERROR(VLOOKUP(C739,CodeTable,4,0),0))</f>
        <v/>
      </c>
    </row>
    <row r="740">
      <c r="A740" s="22" t="n"/>
      <c r="B740" s="23" t="n"/>
      <c r="C740" s="24" t="n"/>
      <c r="D740" s="25" t="n"/>
      <c r="E740" s="26" t="n"/>
      <c r="F740" s="26" t="n"/>
      <c r="G740" s="27">
        <f>IF(C740="","",IFERROR(VLOOKUP(C740,CodeTable,3,0),1))</f>
        <v/>
      </c>
      <c r="H740" s="27">
        <f>IF(C740="","",IF(E740&lt;&gt;"",E740,IF(IFERROR(VLOOKUP(C740,CodeTable,5,0)&amp;"","")="","All",VLOOKUP(C740,CodeTable,5,0)&amp;"")))</f>
        <v/>
      </c>
      <c r="I740" s="28">
        <f>IF(OR(A740="",C740=""),"",A740&amp;"|"&amp;B740&amp;"|"&amp;(COUNTIFS(FlDate,A740,FlShift,B740,FlCode,"&lt;&gt;",FlOrder,"&lt;"&amp;J740)+COUNTIFS(A$6:A740,A740,B$6:B740,B740,C$6:C740,"&lt;&gt;",J$6:J740,J740)))</f>
        <v/>
      </c>
      <c r="J740" s="28">
        <f>IF(C740="","",IF(D740="","zz","t"&amp;D740))</f>
        <v/>
      </c>
      <c r="K740" s="28">
        <f>IF(OR(A740="",C740=""),"",IF(IFERROR(INDEX(DayStat,A740-DATE(PlanYear,1,1)+1)&amp;"","")&lt;&gt;"",0,1))</f>
        <v/>
      </c>
      <c r="L740" s="28">
        <f>IF(K740="","",K740*IFERROR(VLOOKUP(C740,CodeTable,4,0),0))</f>
        <v/>
      </c>
    </row>
    <row r="741">
      <c r="A741" s="22" t="n"/>
      <c r="B741" s="23" t="n"/>
      <c r="C741" s="24" t="n"/>
      <c r="D741" s="25" t="n"/>
      <c r="E741" s="26" t="n"/>
      <c r="F741" s="26" t="n"/>
      <c r="G741" s="27">
        <f>IF(C741="","",IFERROR(VLOOKUP(C741,CodeTable,3,0),1))</f>
        <v/>
      </c>
      <c r="H741" s="27">
        <f>IF(C741="","",IF(E741&lt;&gt;"",E741,IF(IFERROR(VLOOKUP(C741,CodeTable,5,0)&amp;"","")="","All",VLOOKUP(C741,CodeTable,5,0)&amp;"")))</f>
        <v/>
      </c>
      <c r="I741" s="28">
        <f>IF(OR(A741="",C741=""),"",A741&amp;"|"&amp;B741&amp;"|"&amp;(COUNTIFS(FlDate,A741,FlShift,B741,FlCode,"&lt;&gt;",FlOrder,"&lt;"&amp;J741)+COUNTIFS(A$6:A741,A741,B$6:B741,B741,C$6:C741,"&lt;&gt;",J$6:J741,J741)))</f>
        <v/>
      </c>
      <c r="J741" s="28">
        <f>IF(C741="","",IF(D741="","zz","t"&amp;D741))</f>
        <v/>
      </c>
      <c r="K741" s="28">
        <f>IF(OR(A741="",C741=""),"",IF(IFERROR(INDEX(DayStat,A741-DATE(PlanYear,1,1)+1)&amp;"","")&lt;&gt;"",0,1))</f>
        <v/>
      </c>
      <c r="L741" s="28">
        <f>IF(K741="","",K741*IFERROR(VLOOKUP(C741,CodeTable,4,0),0))</f>
        <v/>
      </c>
    </row>
    <row r="742">
      <c r="A742" s="22" t="n"/>
      <c r="B742" s="23" t="n"/>
      <c r="C742" s="24" t="n"/>
      <c r="D742" s="25" t="n"/>
      <c r="E742" s="26" t="n"/>
      <c r="F742" s="26" t="n"/>
      <c r="G742" s="27">
        <f>IF(C742="","",IFERROR(VLOOKUP(C742,CodeTable,3,0),1))</f>
        <v/>
      </c>
      <c r="H742" s="27">
        <f>IF(C742="","",IF(E742&lt;&gt;"",E742,IF(IFERROR(VLOOKUP(C742,CodeTable,5,0)&amp;"","")="","All",VLOOKUP(C742,CodeTable,5,0)&amp;"")))</f>
        <v/>
      </c>
      <c r="I742" s="28">
        <f>IF(OR(A742="",C742=""),"",A742&amp;"|"&amp;B742&amp;"|"&amp;(COUNTIFS(FlDate,A742,FlShift,B742,FlCode,"&lt;&gt;",FlOrder,"&lt;"&amp;J742)+COUNTIFS(A$6:A742,A742,B$6:B742,B742,C$6:C742,"&lt;&gt;",J$6:J742,J742)))</f>
        <v/>
      </c>
      <c r="J742" s="28">
        <f>IF(C742="","",IF(D742="","zz","t"&amp;D742))</f>
        <v/>
      </c>
      <c r="K742" s="28">
        <f>IF(OR(A742="",C742=""),"",IF(IFERROR(INDEX(DayStat,A742-DATE(PlanYear,1,1)+1)&amp;"","")&lt;&gt;"",0,1))</f>
        <v/>
      </c>
      <c r="L742" s="28">
        <f>IF(K742="","",K742*IFERROR(VLOOKUP(C742,CodeTable,4,0),0))</f>
        <v/>
      </c>
    </row>
    <row r="743">
      <c r="A743" s="22" t="n"/>
      <c r="B743" s="23" t="n"/>
      <c r="C743" s="24" t="n"/>
      <c r="D743" s="25" t="n"/>
      <c r="E743" s="26" t="n"/>
      <c r="F743" s="26" t="n"/>
      <c r="G743" s="27">
        <f>IF(C743="","",IFERROR(VLOOKUP(C743,CodeTable,3,0),1))</f>
        <v/>
      </c>
      <c r="H743" s="27">
        <f>IF(C743="","",IF(E743&lt;&gt;"",E743,IF(IFERROR(VLOOKUP(C743,CodeTable,5,0)&amp;"","")="","All",VLOOKUP(C743,CodeTable,5,0)&amp;"")))</f>
        <v/>
      </c>
      <c r="I743" s="28">
        <f>IF(OR(A743="",C743=""),"",A743&amp;"|"&amp;B743&amp;"|"&amp;(COUNTIFS(FlDate,A743,FlShift,B743,FlCode,"&lt;&gt;",FlOrder,"&lt;"&amp;J743)+COUNTIFS(A$6:A743,A743,B$6:B743,B743,C$6:C743,"&lt;&gt;",J$6:J743,J743)))</f>
        <v/>
      </c>
      <c r="J743" s="28">
        <f>IF(C743="","",IF(D743="","zz","t"&amp;D743))</f>
        <v/>
      </c>
      <c r="K743" s="28">
        <f>IF(OR(A743="",C743=""),"",IF(IFERROR(INDEX(DayStat,A743-DATE(PlanYear,1,1)+1)&amp;"","")&lt;&gt;"",0,1))</f>
        <v/>
      </c>
      <c r="L743" s="28">
        <f>IF(K743="","",K743*IFERROR(VLOOKUP(C743,CodeTable,4,0),0))</f>
        <v/>
      </c>
    </row>
    <row r="744">
      <c r="A744" s="22" t="n"/>
      <c r="B744" s="23" t="n"/>
      <c r="C744" s="24" t="n"/>
      <c r="D744" s="25" t="n"/>
      <c r="E744" s="26" t="n"/>
      <c r="F744" s="26" t="n"/>
      <c r="G744" s="27">
        <f>IF(C744="","",IFERROR(VLOOKUP(C744,CodeTable,3,0),1))</f>
        <v/>
      </c>
      <c r="H744" s="27">
        <f>IF(C744="","",IF(E744&lt;&gt;"",E744,IF(IFERROR(VLOOKUP(C744,CodeTable,5,0)&amp;"","")="","All",VLOOKUP(C744,CodeTable,5,0)&amp;"")))</f>
        <v/>
      </c>
      <c r="I744" s="28">
        <f>IF(OR(A744="",C744=""),"",A744&amp;"|"&amp;B744&amp;"|"&amp;(COUNTIFS(FlDate,A744,FlShift,B744,FlCode,"&lt;&gt;",FlOrder,"&lt;"&amp;J744)+COUNTIFS(A$6:A744,A744,B$6:B744,B744,C$6:C744,"&lt;&gt;",J$6:J744,J744)))</f>
        <v/>
      </c>
      <c r="J744" s="28">
        <f>IF(C744="","",IF(D744="","zz","t"&amp;D744))</f>
        <v/>
      </c>
      <c r="K744" s="28">
        <f>IF(OR(A744="",C744=""),"",IF(IFERROR(INDEX(DayStat,A744-DATE(PlanYear,1,1)+1)&amp;"","")&lt;&gt;"",0,1))</f>
        <v/>
      </c>
      <c r="L744" s="28">
        <f>IF(K744="","",K744*IFERROR(VLOOKUP(C744,CodeTable,4,0),0))</f>
        <v/>
      </c>
    </row>
    <row r="745">
      <c r="A745" s="22" t="n"/>
      <c r="B745" s="23" t="n"/>
      <c r="C745" s="24" t="n"/>
      <c r="D745" s="25" t="n"/>
      <c r="E745" s="26" t="n"/>
      <c r="F745" s="26" t="n"/>
      <c r="G745" s="27">
        <f>IF(C745="","",IFERROR(VLOOKUP(C745,CodeTable,3,0),1))</f>
        <v/>
      </c>
      <c r="H745" s="27">
        <f>IF(C745="","",IF(E745&lt;&gt;"",E745,IF(IFERROR(VLOOKUP(C745,CodeTable,5,0)&amp;"","")="","All",VLOOKUP(C745,CodeTable,5,0)&amp;"")))</f>
        <v/>
      </c>
      <c r="I745" s="28">
        <f>IF(OR(A745="",C745=""),"",A745&amp;"|"&amp;B745&amp;"|"&amp;(COUNTIFS(FlDate,A745,FlShift,B745,FlCode,"&lt;&gt;",FlOrder,"&lt;"&amp;J745)+COUNTIFS(A$6:A745,A745,B$6:B745,B745,C$6:C745,"&lt;&gt;",J$6:J745,J745)))</f>
        <v/>
      </c>
      <c r="J745" s="28">
        <f>IF(C745="","",IF(D745="","zz","t"&amp;D745))</f>
        <v/>
      </c>
      <c r="K745" s="28">
        <f>IF(OR(A745="",C745=""),"",IF(IFERROR(INDEX(DayStat,A745-DATE(PlanYear,1,1)+1)&amp;"","")&lt;&gt;"",0,1))</f>
        <v/>
      </c>
      <c r="L745" s="28">
        <f>IF(K745="","",K745*IFERROR(VLOOKUP(C745,CodeTable,4,0),0))</f>
        <v/>
      </c>
    </row>
    <row r="746">
      <c r="A746" s="22" t="n"/>
      <c r="B746" s="23" t="n"/>
      <c r="C746" s="24" t="n"/>
      <c r="D746" s="25" t="n"/>
      <c r="E746" s="26" t="n"/>
      <c r="F746" s="26" t="n"/>
      <c r="G746" s="27">
        <f>IF(C746="","",IFERROR(VLOOKUP(C746,CodeTable,3,0),1))</f>
        <v/>
      </c>
      <c r="H746" s="27">
        <f>IF(C746="","",IF(E746&lt;&gt;"",E746,IF(IFERROR(VLOOKUP(C746,CodeTable,5,0)&amp;"","")="","All",VLOOKUP(C746,CodeTable,5,0)&amp;"")))</f>
        <v/>
      </c>
      <c r="I746" s="28">
        <f>IF(OR(A746="",C746=""),"",A746&amp;"|"&amp;B746&amp;"|"&amp;(COUNTIFS(FlDate,A746,FlShift,B746,FlCode,"&lt;&gt;",FlOrder,"&lt;"&amp;J746)+COUNTIFS(A$6:A746,A746,B$6:B746,B746,C$6:C746,"&lt;&gt;",J$6:J746,J746)))</f>
        <v/>
      </c>
      <c r="J746" s="28">
        <f>IF(C746="","",IF(D746="","zz","t"&amp;D746))</f>
        <v/>
      </c>
      <c r="K746" s="28">
        <f>IF(OR(A746="",C746=""),"",IF(IFERROR(INDEX(DayStat,A746-DATE(PlanYear,1,1)+1)&amp;"","")&lt;&gt;"",0,1))</f>
        <v/>
      </c>
      <c r="L746" s="28">
        <f>IF(K746="","",K746*IFERROR(VLOOKUP(C746,CodeTable,4,0),0))</f>
        <v/>
      </c>
    </row>
    <row r="747">
      <c r="A747" s="22" t="n"/>
      <c r="B747" s="23" t="n"/>
      <c r="C747" s="24" t="n"/>
      <c r="D747" s="25" t="n"/>
      <c r="E747" s="26" t="n"/>
      <c r="F747" s="26" t="n"/>
      <c r="G747" s="27">
        <f>IF(C747="","",IFERROR(VLOOKUP(C747,CodeTable,3,0),1))</f>
        <v/>
      </c>
      <c r="H747" s="27">
        <f>IF(C747="","",IF(E747&lt;&gt;"",E747,IF(IFERROR(VLOOKUP(C747,CodeTable,5,0)&amp;"","")="","All",VLOOKUP(C747,CodeTable,5,0)&amp;"")))</f>
        <v/>
      </c>
      <c r="I747" s="28">
        <f>IF(OR(A747="",C747=""),"",A747&amp;"|"&amp;B747&amp;"|"&amp;(COUNTIFS(FlDate,A747,FlShift,B747,FlCode,"&lt;&gt;",FlOrder,"&lt;"&amp;J747)+COUNTIFS(A$6:A747,A747,B$6:B747,B747,C$6:C747,"&lt;&gt;",J$6:J747,J747)))</f>
        <v/>
      </c>
      <c r="J747" s="28">
        <f>IF(C747="","",IF(D747="","zz","t"&amp;D747))</f>
        <v/>
      </c>
      <c r="K747" s="28">
        <f>IF(OR(A747="",C747=""),"",IF(IFERROR(INDEX(DayStat,A747-DATE(PlanYear,1,1)+1)&amp;"","")&lt;&gt;"",0,1))</f>
        <v/>
      </c>
      <c r="L747" s="28">
        <f>IF(K747="","",K747*IFERROR(VLOOKUP(C747,CodeTable,4,0),0))</f>
        <v/>
      </c>
    </row>
    <row r="748">
      <c r="A748" s="22" t="n"/>
      <c r="B748" s="23" t="n"/>
      <c r="C748" s="24" t="n"/>
      <c r="D748" s="25" t="n"/>
      <c r="E748" s="26" t="n"/>
      <c r="F748" s="26" t="n"/>
      <c r="G748" s="27">
        <f>IF(C748="","",IFERROR(VLOOKUP(C748,CodeTable,3,0),1))</f>
        <v/>
      </c>
      <c r="H748" s="27">
        <f>IF(C748="","",IF(E748&lt;&gt;"",E748,IF(IFERROR(VLOOKUP(C748,CodeTable,5,0)&amp;"","")="","All",VLOOKUP(C748,CodeTable,5,0)&amp;"")))</f>
        <v/>
      </c>
      <c r="I748" s="28">
        <f>IF(OR(A748="",C748=""),"",A748&amp;"|"&amp;B748&amp;"|"&amp;(COUNTIFS(FlDate,A748,FlShift,B748,FlCode,"&lt;&gt;",FlOrder,"&lt;"&amp;J748)+COUNTIFS(A$6:A748,A748,B$6:B748,B748,C$6:C748,"&lt;&gt;",J$6:J748,J748)))</f>
        <v/>
      </c>
      <c r="J748" s="28">
        <f>IF(C748="","",IF(D748="","zz","t"&amp;D748))</f>
        <v/>
      </c>
      <c r="K748" s="28">
        <f>IF(OR(A748="",C748=""),"",IF(IFERROR(INDEX(DayStat,A748-DATE(PlanYear,1,1)+1)&amp;"","")&lt;&gt;"",0,1))</f>
        <v/>
      </c>
      <c r="L748" s="28">
        <f>IF(K748="","",K748*IFERROR(VLOOKUP(C748,CodeTable,4,0),0))</f>
        <v/>
      </c>
    </row>
    <row r="749">
      <c r="A749" s="22" t="n"/>
      <c r="B749" s="23" t="n"/>
      <c r="C749" s="24" t="n"/>
      <c r="D749" s="25" t="n"/>
      <c r="E749" s="26" t="n"/>
      <c r="F749" s="26" t="n"/>
      <c r="G749" s="27">
        <f>IF(C749="","",IFERROR(VLOOKUP(C749,CodeTable,3,0),1))</f>
        <v/>
      </c>
      <c r="H749" s="27">
        <f>IF(C749="","",IF(E749&lt;&gt;"",E749,IF(IFERROR(VLOOKUP(C749,CodeTable,5,0)&amp;"","")="","All",VLOOKUP(C749,CodeTable,5,0)&amp;"")))</f>
        <v/>
      </c>
      <c r="I749" s="28">
        <f>IF(OR(A749="",C749=""),"",A749&amp;"|"&amp;B749&amp;"|"&amp;(COUNTIFS(FlDate,A749,FlShift,B749,FlCode,"&lt;&gt;",FlOrder,"&lt;"&amp;J749)+COUNTIFS(A$6:A749,A749,B$6:B749,B749,C$6:C749,"&lt;&gt;",J$6:J749,J749)))</f>
        <v/>
      </c>
      <c r="J749" s="28">
        <f>IF(C749="","",IF(D749="","zz","t"&amp;D749))</f>
        <v/>
      </c>
      <c r="K749" s="28">
        <f>IF(OR(A749="",C749=""),"",IF(IFERROR(INDEX(DayStat,A749-DATE(PlanYear,1,1)+1)&amp;"","")&lt;&gt;"",0,1))</f>
        <v/>
      </c>
      <c r="L749" s="28">
        <f>IF(K749="","",K749*IFERROR(VLOOKUP(C749,CodeTable,4,0),0))</f>
        <v/>
      </c>
    </row>
    <row r="750">
      <c r="A750" s="22" t="n"/>
      <c r="B750" s="23" t="n"/>
      <c r="C750" s="24" t="n"/>
      <c r="D750" s="25" t="n"/>
      <c r="E750" s="26" t="n"/>
      <c r="F750" s="26" t="n"/>
      <c r="G750" s="27">
        <f>IF(C750="","",IFERROR(VLOOKUP(C750,CodeTable,3,0),1))</f>
        <v/>
      </c>
      <c r="H750" s="27">
        <f>IF(C750="","",IF(E750&lt;&gt;"",E750,IF(IFERROR(VLOOKUP(C750,CodeTable,5,0)&amp;"","")="","All",VLOOKUP(C750,CodeTable,5,0)&amp;"")))</f>
        <v/>
      </c>
      <c r="I750" s="28">
        <f>IF(OR(A750="",C750=""),"",A750&amp;"|"&amp;B750&amp;"|"&amp;(COUNTIFS(FlDate,A750,FlShift,B750,FlCode,"&lt;&gt;",FlOrder,"&lt;"&amp;J750)+COUNTIFS(A$6:A750,A750,B$6:B750,B750,C$6:C750,"&lt;&gt;",J$6:J750,J750)))</f>
        <v/>
      </c>
      <c r="J750" s="28">
        <f>IF(C750="","",IF(D750="","zz","t"&amp;D750))</f>
        <v/>
      </c>
      <c r="K750" s="28">
        <f>IF(OR(A750="",C750=""),"",IF(IFERROR(INDEX(DayStat,A750-DATE(PlanYear,1,1)+1)&amp;"","")&lt;&gt;"",0,1))</f>
        <v/>
      </c>
      <c r="L750" s="28">
        <f>IF(K750="","",K750*IFERROR(VLOOKUP(C750,CodeTable,4,0),0))</f>
        <v/>
      </c>
    </row>
    <row r="751">
      <c r="A751" s="22" t="n"/>
      <c r="B751" s="23" t="n"/>
      <c r="C751" s="24" t="n"/>
      <c r="D751" s="25" t="n"/>
      <c r="E751" s="26" t="n"/>
      <c r="F751" s="26" t="n"/>
      <c r="G751" s="27">
        <f>IF(C751="","",IFERROR(VLOOKUP(C751,CodeTable,3,0),1))</f>
        <v/>
      </c>
      <c r="H751" s="27">
        <f>IF(C751="","",IF(E751&lt;&gt;"",E751,IF(IFERROR(VLOOKUP(C751,CodeTable,5,0)&amp;"","")="","All",VLOOKUP(C751,CodeTable,5,0)&amp;"")))</f>
        <v/>
      </c>
      <c r="I751" s="28">
        <f>IF(OR(A751="",C751=""),"",A751&amp;"|"&amp;B751&amp;"|"&amp;(COUNTIFS(FlDate,A751,FlShift,B751,FlCode,"&lt;&gt;",FlOrder,"&lt;"&amp;J751)+COUNTIFS(A$6:A751,A751,B$6:B751,B751,C$6:C751,"&lt;&gt;",J$6:J751,J751)))</f>
        <v/>
      </c>
      <c r="J751" s="28">
        <f>IF(C751="","",IF(D751="","zz","t"&amp;D751))</f>
        <v/>
      </c>
      <c r="K751" s="28">
        <f>IF(OR(A751="",C751=""),"",IF(IFERROR(INDEX(DayStat,A751-DATE(PlanYear,1,1)+1)&amp;"","")&lt;&gt;"",0,1))</f>
        <v/>
      </c>
      <c r="L751" s="28">
        <f>IF(K751="","",K751*IFERROR(VLOOKUP(C751,CodeTable,4,0),0))</f>
        <v/>
      </c>
    </row>
    <row r="752">
      <c r="A752" s="22" t="n"/>
      <c r="B752" s="23" t="n"/>
      <c r="C752" s="24" t="n"/>
      <c r="D752" s="25" t="n"/>
      <c r="E752" s="26" t="n"/>
      <c r="F752" s="26" t="n"/>
      <c r="G752" s="27">
        <f>IF(C752="","",IFERROR(VLOOKUP(C752,CodeTable,3,0),1))</f>
        <v/>
      </c>
      <c r="H752" s="27">
        <f>IF(C752="","",IF(E752&lt;&gt;"",E752,IF(IFERROR(VLOOKUP(C752,CodeTable,5,0)&amp;"","")="","All",VLOOKUP(C752,CodeTable,5,0)&amp;"")))</f>
        <v/>
      </c>
      <c r="I752" s="28">
        <f>IF(OR(A752="",C752=""),"",A752&amp;"|"&amp;B752&amp;"|"&amp;(COUNTIFS(FlDate,A752,FlShift,B752,FlCode,"&lt;&gt;",FlOrder,"&lt;"&amp;J752)+COUNTIFS(A$6:A752,A752,B$6:B752,B752,C$6:C752,"&lt;&gt;",J$6:J752,J752)))</f>
        <v/>
      </c>
      <c r="J752" s="28">
        <f>IF(C752="","",IF(D752="","zz","t"&amp;D752))</f>
        <v/>
      </c>
      <c r="K752" s="28">
        <f>IF(OR(A752="",C752=""),"",IF(IFERROR(INDEX(DayStat,A752-DATE(PlanYear,1,1)+1)&amp;"","")&lt;&gt;"",0,1))</f>
        <v/>
      </c>
      <c r="L752" s="28">
        <f>IF(K752="","",K752*IFERROR(VLOOKUP(C752,CodeTable,4,0),0))</f>
        <v/>
      </c>
    </row>
    <row r="753">
      <c r="A753" s="22" t="n"/>
      <c r="B753" s="23" t="n"/>
      <c r="C753" s="24" t="n"/>
      <c r="D753" s="25" t="n"/>
      <c r="E753" s="26" t="n"/>
      <c r="F753" s="26" t="n"/>
      <c r="G753" s="27">
        <f>IF(C753="","",IFERROR(VLOOKUP(C753,CodeTable,3,0),1))</f>
        <v/>
      </c>
      <c r="H753" s="27">
        <f>IF(C753="","",IF(E753&lt;&gt;"",E753,IF(IFERROR(VLOOKUP(C753,CodeTable,5,0)&amp;"","")="","All",VLOOKUP(C753,CodeTable,5,0)&amp;"")))</f>
        <v/>
      </c>
      <c r="I753" s="28">
        <f>IF(OR(A753="",C753=""),"",A753&amp;"|"&amp;B753&amp;"|"&amp;(COUNTIFS(FlDate,A753,FlShift,B753,FlCode,"&lt;&gt;",FlOrder,"&lt;"&amp;J753)+COUNTIFS(A$6:A753,A753,B$6:B753,B753,C$6:C753,"&lt;&gt;",J$6:J753,J753)))</f>
        <v/>
      </c>
      <c r="J753" s="28">
        <f>IF(C753="","",IF(D753="","zz","t"&amp;D753))</f>
        <v/>
      </c>
      <c r="K753" s="28">
        <f>IF(OR(A753="",C753=""),"",IF(IFERROR(INDEX(DayStat,A753-DATE(PlanYear,1,1)+1)&amp;"","")&lt;&gt;"",0,1))</f>
        <v/>
      </c>
      <c r="L753" s="28">
        <f>IF(K753="","",K753*IFERROR(VLOOKUP(C753,CodeTable,4,0),0))</f>
        <v/>
      </c>
    </row>
    <row r="754">
      <c r="A754" s="22" t="n"/>
      <c r="B754" s="23" t="n"/>
      <c r="C754" s="24" t="n"/>
      <c r="D754" s="25" t="n"/>
      <c r="E754" s="26" t="n"/>
      <c r="F754" s="26" t="n"/>
      <c r="G754" s="27">
        <f>IF(C754="","",IFERROR(VLOOKUP(C754,CodeTable,3,0),1))</f>
        <v/>
      </c>
      <c r="H754" s="27">
        <f>IF(C754="","",IF(E754&lt;&gt;"",E754,IF(IFERROR(VLOOKUP(C754,CodeTable,5,0)&amp;"","")="","All",VLOOKUP(C754,CodeTable,5,0)&amp;"")))</f>
        <v/>
      </c>
      <c r="I754" s="28">
        <f>IF(OR(A754="",C754=""),"",A754&amp;"|"&amp;B754&amp;"|"&amp;(COUNTIFS(FlDate,A754,FlShift,B754,FlCode,"&lt;&gt;",FlOrder,"&lt;"&amp;J754)+COUNTIFS(A$6:A754,A754,B$6:B754,B754,C$6:C754,"&lt;&gt;",J$6:J754,J754)))</f>
        <v/>
      </c>
      <c r="J754" s="28">
        <f>IF(C754="","",IF(D754="","zz","t"&amp;D754))</f>
        <v/>
      </c>
      <c r="K754" s="28">
        <f>IF(OR(A754="",C754=""),"",IF(IFERROR(INDEX(DayStat,A754-DATE(PlanYear,1,1)+1)&amp;"","")&lt;&gt;"",0,1))</f>
        <v/>
      </c>
      <c r="L754" s="28">
        <f>IF(K754="","",K754*IFERROR(VLOOKUP(C754,CodeTable,4,0),0))</f>
        <v/>
      </c>
    </row>
    <row r="755">
      <c r="A755" s="22" t="n"/>
      <c r="B755" s="23" t="n"/>
      <c r="C755" s="24" t="n"/>
      <c r="D755" s="25" t="n"/>
      <c r="E755" s="26" t="n"/>
      <c r="F755" s="26" t="n"/>
      <c r="G755" s="27">
        <f>IF(C755="","",IFERROR(VLOOKUP(C755,CodeTable,3,0),1))</f>
        <v/>
      </c>
      <c r="H755" s="27">
        <f>IF(C755="","",IF(E755&lt;&gt;"",E755,IF(IFERROR(VLOOKUP(C755,CodeTable,5,0)&amp;"","")="","All",VLOOKUP(C755,CodeTable,5,0)&amp;"")))</f>
        <v/>
      </c>
      <c r="I755" s="28">
        <f>IF(OR(A755="",C755=""),"",A755&amp;"|"&amp;B755&amp;"|"&amp;(COUNTIFS(FlDate,A755,FlShift,B755,FlCode,"&lt;&gt;",FlOrder,"&lt;"&amp;J755)+COUNTIFS(A$6:A755,A755,B$6:B755,B755,C$6:C755,"&lt;&gt;",J$6:J755,J755)))</f>
        <v/>
      </c>
      <c r="J755" s="28">
        <f>IF(C755="","",IF(D755="","zz","t"&amp;D755))</f>
        <v/>
      </c>
      <c r="K755" s="28">
        <f>IF(OR(A755="",C755=""),"",IF(IFERROR(INDEX(DayStat,A755-DATE(PlanYear,1,1)+1)&amp;"","")&lt;&gt;"",0,1))</f>
        <v/>
      </c>
      <c r="L755" s="28">
        <f>IF(K755="","",K755*IFERROR(VLOOKUP(C755,CodeTable,4,0),0))</f>
        <v/>
      </c>
    </row>
    <row r="756">
      <c r="A756" s="22" t="n"/>
      <c r="B756" s="23" t="n"/>
      <c r="C756" s="24" t="n"/>
      <c r="D756" s="25" t="n"/>
      <c r="E756" s="26" t="n"/>
      <c r="F756" s="26" t="n"/>
      <c r="G756" s="27">
        <f>IF(C756="","",IFERROR(VLOOKUP(C756,CodeTable,3,0),1))</f>
        <v/>
      </c>
      <c r="H756" s="27">
        <f>IF(C756="","",IF(E756&lt;&gt;"",E756,IF(IFERROR(VLOOKUP(C756,CodeTable,5,0)&amp;"","")="","All",VLOOKUP(C756,CodeTable,5,0)&amp;"")))</f>
        <v/>
      </c>
      <c r="I756" s="28">
        <f>IF(OR(A756="",C756=""),"",A756&amp;"|"&amp;B756&amp;"|"&amp;(COUNTIFS(FlDate,A756,FlShift,B756,FlCode,"&lt;&gt;",FlOrder,"&lt;"&amp;J756)+COUNTIFS(A$6:A756,A756,B$6:B756,B756,C$6:C756,"&lt;&gt;",J$6:J756,J756)))</f>
        <v/>
      </c>
      <c r="J756" s="28">
        <f>IF(C756="","",IF(D756="","zz","t"&amp;D756))</f>
        <v/>
      </c>
      <c r="K756" s="28">
        <f>IF(OR(A756="",C756=""),"",IF(IFERROR(INDEX(DayStat,A756-DATE(PlanYear,1,1)+1)&amp;"","")&lt;&gt;"",0,1))</f>
        <v/>
      </c>
      <c r="L756" s="28">
        <f>IF(K756="","",K756*IFERROR(VLOOKUP(C756,CodeTable,4,0),0))</f>
        <v/>
      </c>
    </row>
    <row r="757">
      <c r="A757" s="22" t="n"/>
      <c r="B757" s="23" t="n"/>
      <c r="C757" s="24" t="n"/>
      <c r="D757" s="25" t="n"/>
      <c r="E757" s="26" t="n"/>
      <c r="F757" s="26" t="n"/>
      <c r="G757" s="27">
        <f>IF(C757="","",IFERROR(VLOOKUP(C757,CodeTable,3,0),1))</f>
        <v/>
      </c>
      <c r="H757" s="27">
        <f>IF(C757="","",IF(E757&lt;&gt;"",E757,IF(IFERROR(VLOOKUP(C757,CodeTable,5,0)&amp;"","")="","All",VLOOKUP(C757,CodeTable,5,0)&amp;"")))</f>
        <v/>
      </c>
      <c r="I757" s="28">
        <f>IF(OR(A757="",C757=""),"",A757&amp;"|"&amp;B757&amp;"|"&amp;(COUNTIFS(FlDate,A757,FlShift,B757,FlCode,"&lt;&gt;",FlOrder,"&lt;"&amp;J757)+COUNTIFS(A$6:A757,A757,B$6:B757,B757,C$6:C757,"&lt;&gt;",J$6:J757,J757)))</f>
        <v/>
      </c>
      <c r="J757" s="28">
        <f>IF(C757="","",IF(D757="","zz","t"&amp;D757))</f>
        <v/>
      </c>
      <c r="K757" s="28">
        <f>IF(OR(A757="",C757=""),"",IF(IFERROR(INDEX(DayStat,A757-DATE(PlanYear,1,1)+1)&amp;"","")&lt;&gt;"",0,1))</f>
        <v/>
      </c>
      <c r="L757" s="28">
        <f>IF(K757="","",K757*IFERROR(VLOOKUP(C757,CodeTable,4,0),0))</f>
        <v/>
      </c>
    </row>
    <row r="758">
      <c r="A758" s="22" t="n"/>
      <c r="B758" s="23" t="n"/>
      <c r="C758" s="24" t="n"/>
      <c r="D758" s="25" t="n"/>
      <c r="E758" s="26" t="n"/>
      <c r="F758" s="26" t="n"/>
      <c r="G758" s="27">
        <f>IF(C758="","",IFERROR(VLOOKUP(C758,CodeTable,3,0),1))</f>
        <v/>
      </c>
      <c r="H758" s="27">
        <f>IF(C758="","",IF(E758&lt;&gt;"",E758,IF(IFERROR(VLOOKUP(C758,CodeTable,5,0)&amp;"","")="","All",VLOOKUP(C758,CodeTable,5,0)&amp;"")))</f>
        <v/>
      </c>
      <c r="I758" s="28">
        <f>IF(OR(A758="",C758=""),"",A758&amp;"|"&amp;B758&amp;"|"&amp;(COUNTIFS(FlDate,A758,FlShift,B758,FlCode,"&lt;&gt;",FlOrder,"&lt;"&amp;J758)+COUNTIFS(A$6:A758,A758,B$6:B758,B758,C$6:C758,"&lt;&gt;",J$6:J758,J758)))</f>
        <v/>
      </c>
      <c r="J758" s="28">
        <f>IF(C758="","",IF(D758="","zz","t"&amp;D758))</f>
        <v/>
      </c>
      <c r="K758" s="28">
        <f>IF(OR(A758="",C758=""),"",IF(IFERROR(INDEX(DayStat,A758-DATE(PlanYear,1,1)+1)&amp;"","")&lt;&gt;"",0,1))</f>
        <v/>
      </c>
      <c r="L758" s="28">
        <f>IF(K758="","",K758*IFERROR(VLOOKUP(C758,CodeTable,4,0),0))</f>
        <v/>
      </c>
    </row>
    <row r="759">
      <c r="A759" s="22" t="n"/>
      <c r="B759" s="23" t="n"/>
      <c r="C759" s="24" t="n"/>
      <c r="D759" s="25" t="n"/>
      <c r="E759" s="26" t="n"/>
      <c r="F759" s="26" t="n"/>
      <c r="G759" s="27">
        <f>IF(C759="","",IFERROR(VLOOKUP(C759,CodeTable,3,0),1))</f>
        <v/>
      </c>
      <c r="H759" s="27">
        <f>IF(C759="","",IF(E759&lt;&gt;"",E759,IF(IFERROR(VLOOKUP(C759,CodeTable,5,0)&amp;"","")="","All",VLOOKUP(C759,CodeTable,5,0)&amp;"")))</f>
        <v/>
      </c>
      <c r="I759" s="28">
        <f>IF(OR(A759="",C759=""),"",A759&amp;"|"&amp;B759&amp;"|"&amp;(COUNTIFS(FlDate,A759,FlShift,B759,FlCode,"&lt;&gt;",FlOrder,"&lt;"&amp;J759)+COUNTIFS(A$6:A759,A759,B$6:B759,B759,C$6:C759,"&lt;&gt;",J$6:J759,J759)))</f>
        <v/>
      </c>
      <c r="J759" s="28">
        <f>IF(C759="","",IF(D759="","zz","t"&amp;D759))</f>
        <v/>
      </c>
      <c r="K759" s="28">
        <f>IF(OR(A759="",C759=""),"",IF(IFERROR(INDEX(DayStat,A759-DATE(PlanYear,1,1)+1)&amp;"","")&lt;&gt;"",0,1))</f>
        <v/>
      </c>
      <c r="L759" s="28">
        <f>IF(K759="","",K759*IFERROR(VLOOKUP(C759,CodeTable,4,0),0))</f>
        <v/>
      </c>
    </row>
    <row r="760">
      <c r="A760" s="22" t="n"/>
      <c r="B760" s="23" t="n"/>
      <c r="C760" s="24" t="n"/>
      <c r="D760" s="25" t="n"/>
      <c r="E760" s="26" t="n"/>
      <c r="F760" s="26" t="n"/>
      <c r="G760" s="27">
        <f>IF(C760="","",IFERROR(VLOOKUP(C760,CodeTable,3,0),1))</f>
        <v/>
      </c>
      <c r="H760" s="27">
        <f>IF(C760="","",IF(E760&lt;&gt;"",E760,IF(IFERROR(VLOOKUP(C760,CodeTable,5,0)&amp;"","")="","All",VLOOKUP(C760,CodeTable,5,0)&amp;"")))</f>
        <v/>
      </c>
      <c r="I760" s="28">
        <f>IF(OR(A760="",C760=""),"",A760&amp;"|"&amp;B760&amp;"|"&amp;(COUNTIFS(FlDate,A760,FlShift,B760,FlCode,"&lt;&gt;",FlOrder,"&lt;"&amp;J760)+COUNTIFS(A$6:A760,A760,B$6:B760,B760,C$6:C760,"&lt;&gt;",J$6:J760,J760)))</f>
        <v/>
      </c>
      <c r="J760" s="28">
        <f>IF(C760="","",IF(D760="","zz","t"&amp;D760))</f>
        <v/>
      </c>
      <c r="K760" s="28">
        <f>IF(OR(A760="",C760=""),"",IF(IFERROR(INDEX(DayStat,A760-DATE(PlanYear,1,1)+1)&amp;"","")&lt;&gt;"",0,1))</f>
        <v/>
      </c>
      <c r="L760" s="28">
        <f>IF(K760="","",K760*IFERROR(VLOOKUP(C760,CodeTable,4,0),0))</f>
        <v/>
      </c>
    </row>
    <row r="761">
      <c r="A761" s="22" t="n"/>
      <c r="B761" s="23" t="n"/>
      <c r="C761" s="24" t="n"/>
      <c r="D761" s="25" t="n"/>
      <c r="E761" s="26" t="n"/>
      <c r="F761" s="26" t="n"/>
      <c r="G761" s="27">
        <f>IF(C761="","",IFERROR(VLOOKUP(C761,CodeTable,3,0),1))</f>
        <v/>
      </c>
      <c r="H761" s="27">
        <f>IF(C761="","",IF(E761&lt;&gt;"",E761,IF(IFERROR(VLOOKUP(C761,CodeTable,5,0)&amp;"","")="","All",VLOOKUP(C761,CodeTable,5,0)&amp;"")))</f>
        <v/>
      </c>
      <c r="I761" s="28">
        <f>IF(OR(A761="",C761=""),"",A761&amp;"|"&amp;B761&amp;"|"&amp;(COUNTIFS(FlDate,A761,FlShift,B761,FlCode,"&lt;&gt;",FlOrder,"&lt;"&amp;J761)+COUNTIFS(A$6:A761,A761,B$6:B761,B761,C$6:C761,"&lt;&gt;",J$6:J761,J761)))</f>
        <v/>
      </c>
      <c r="J761" s="28">
        <f>IF(C761="","",IF(D761="","zz","t"&amp;D761))</f>
        <v/>
      </c>
      <c r="K761" s="28">
        <f>IF(OR(A761="",C761=""),"",IF(IFERROR(INDEX(DayStat,A761-DATE(PlanYear,1,1)+1)&amp;"","")&lt;&gt;"",0,1))</f>
        <v/>
      </c>
      <c r="L761" s="28">
        <f>IF(K761="","",K761*IFERROR(VLOOKUP(C761,CodeTable,4,0),0))</f>
        <v/>
      </c>
    </row>
    <row r="762">
      <c r="A762" s="22" t="n"/>
      <c r="B762" s="23" t="n"/>
      <c r="C762" s="24" t="n"/>
      <c r="D762" s="25" t="n"/>
      <c r="E762" s="26" t="n"/>
      <c r="F762" s="26" t="n"/>
      <c r="G762" s="27">
        <f>IF(C762="","",IFERROR(VLOOKUP(C762,CodeTable,3,0),1))</f>
        <v/>
      </c>
      <c r="H762" s="27">
        <f>IF(C762="","",IF(E762&lt;&gt;"",E762,IF(IFERROR(VLOOKUP(C762,CodeTable,5,0)&amp;"","")="","All",VLOOKUP(C762,CodeTable,5,0)&amp;"")))</f>
        <v/>
      </c>
      <c r="I762" s="28">
        <f>IF(OR(A762="",C762=""),"",A762&amp;"|"&amp;B762&amp;"|"&amp;(COUNTIFS(FlDate,A762,FlShift,B762,FlCode,"&lt;&gt;",FlOrder,"&lt;"&amp;J762)+COUNTIFS(A$6:A762,A762,B$6:B762,B762,C$6:C762,"&lt;&gt;",J$6:J762,J762)))</f>
        <v/>
      </c>
      <c r="J762" s="28">
        <f>IF(C762="","",IF(D762="","zz","t"&amp;D762))</f>
        <v/>
      </c>
      <c r="K762" s="28">
        <f>IF(OR(A762="",C762=""),"",IF(IFERROR(INDEX(DayStat,A762-DATE(PlanYear,1,1)+1)&amp;"","")&lt;&gt;"",0,1))</f>
        <v/>
      </c>
      <c r="L762" s="28">
        <f>IF(K762="","",K762*IFERROR(VLOOKUP(C762,CodeTable,4,0),0))</f>
        <v/>
      </c>
    </row>
    <row r="763">
      <c r="A763" s="22" t="n"/>
      <c r="B763" s="23" t="n"/>
      <c r="C763" s="24" t="n"/>
      <c r="D763" s="25" t="n"/>
      <c r="E763" s="26" t="n"/>
      <c r="F763" s="26" t="n"/>
      <c r="G763" s="27">
        <f>IF(C763="","",IFERROR(VLOOKUP(C763,CodeTable,3,0),1))</f>
        <v/>
      </c>
      <c r="H763" s="27">
        <f>IF(C763="","",IF(E763&lt;&gt;"",E763,IF(IFERROR(VLOOKUP(C763,CodeTable,5,0)&amp;"","")="","All",VLOOKUP(C763,CodeTable,5,0)&amp;"")))</f>
        <v/>
      </c>
      <c r="I763" s="28">
        <f>IF(OR(A763="",C763=""),"",A763&amp;"|"&amp;B763&amp;"|"&amp;(COUNTIFS(FlDate,A763,FlShift,B763,FlCode,"&lt;&gt;",FlOrder,"&lt;"&amp;J763)+COUNTIFS(A$6:A763,A763,B$6:B763,B763,C$6:C763,"&lt;&gt;",J$6:J763,J763)))</f>
        <v/>
      </c>
      <c r="J763" s="28">
        <f>IF(C763="","",IF(D763="","zz","t"&amp;D763))</f>
        <v/>
      </c>
      <c r="K763" s="28">
        <f>IF(OR(A763="",C763=""),"",IF(IFERROR(INDEX(DayStat,A763-DATE(PlanYear,1,1)+1)&amp;"","")&lt;&gt;"",0,1))</f>
        <v/>
      </c>
      <c r="L763" s="28">
        <f>IF(K763="","",K763*IFERROR(VLOOKUP(C763,CodeTable,4,0),0))</f>
        <v/>
      </c>
    </row>
    <row r="764">
      <c r="A764" s="22" t="n"/>
      <c r="B764" s="23" t="n"/>
      <c r="C764" s="24" t="n"/>
      <c r="D764" s="25" t="n"/>
      <c r="E764" s="26" t="n"/>
      <c r="F764" s="26" t="n"/>
      <c r="G764" s="27">
        <f>IF(C764="","",IFERROR(VLOOKUP(C764,CodeTable,3,0),1))</f>
        <v/>
      </c>
      <c r="H764" s="27">
        <f>IF(C764="","",IF(E764&lt;&gt;"",E764,IF(IFERROR(VLOOKUP(C764,CodeTable,5,0)&amp;"","")="","All",VLOOKUP(C764,CodeTable,5,0)&amp;"")))</f>
        <v/>
      </c>
      <c r="I764" s="28">
        <f>IF(OR(A764="",C764=""),"",A764&amp;"|"&amp;B764&amp;"|"&amp;(COUNTIFS(FlDate,A764,FlShift,B764,FlCode,"&lt;&gt;",FlOrder,"&lt;"&amp;J764)+COUNTIFS(A$6:A764,A764,B$6:B764,B764,C$6:C764,"&lt;&gt;",J$6:J764,J764)))</f>
        <v/>
      </c>
      <c r="J764" s="28">
        <f>IF(C764="","",IF(D764="","zz","t"&amp;D764))</f>
        <v/>
      </c>
      <c r="K764" s="28">
        <f>IF(OR(A764="",C764=""),"",IF(IFERROR(INDEX(DayStat,A764-DATE(PlanYear,1,1)+1)&amp;"","")&lt;&gt;"",0,1))</f>
        <v/>
      </c>
      <c r="L764" s="28">
        <f>IF(K764="","",K764*IFERROR(VLOOKUP(C764,CodeTable,4,0),0))</f>
        <v/>
      </c>
    </row>
    <row r="765">
      <c r="A765" s="22" t="n"/>
      <c r="B765" s="23" t="n"/>
      <c r="C765" s="24" t="n"/>
      <c r="D765" s="25" t="n"/>
      <c r="E765" s="26" t="n"/>
      <c r="F765" s="26" t="n"/>
      <c r="G765" s="27">
        <f>IF(C765="","",IFERROR(VLOOKUP(C765,CodeTable,3,0),1))</f>
        <v/>
      </c>
      <c r="H765" s="27">
        <f>IF(C765="","",IF(E765&lt;&gt;"",E765,IF(IFERROR(VLOOKUP(C765,CodeTable,5,0)&amp;"","")="","All",VLOOKUP(C765,CodeTable,5,0)&amp;"")))</f>
        <v/>
      </c>
      <c r="I765" s="28">
        <f>IF(OR(A765="",C765=""),"",A765&amp;"|"&amp;B765&amp;"|"&amp;(COUNTIFS(FlDate,A765,FlShift,B765,FlCode,"&lt;&gt;",FlOrder,"&lt;"&amp;J765)+COUNTIFS(A$6:A765,A765,B$6:B765,B765,C$6:C765,"&lt;&gt;",J$6:J765,J765)))</f>
        <v/>
      </c>
      <c r="J765" s="28">
        <f>IF(C765="","",IF(D765="","zz","t"&amp;D765))</f>
        <v/>
      </c>
      <c r="K765" s="28">
        <f>IF(OR(A765="",C765=""),"",IF(IFERROR(INDEX(DayStat,A765-DATE(PlanYear,1,1)+1)&amp;"","")&lt;&gt;"",0,1))</f>
        <v/>
      </c>
      <c r="L765" s="28">
        <f>IF(K765="","",K765*IFERROR(VLOOKUP(C765,CodeTable,4,0),0))</f>
        <v/>
      </c>
    </row>
    <row r="766">
      <c r="A766" s="22" t="n"/>
      <c r="B766" s="23" t="n"/>
      <c r="C766" s="24" t="n"/>
      <c r="D766" s="25" t="n"/>
      <c r="E766" s="26" t="n"/>
      <c r="F766" s="26" t="n"/>
      <c r="G766" s="27">
        <f>IF(C766="","",IFERROR(VLOOKUP(C766,CodeTable,3,0),1))</f>
        <v/>
      </c>
      <c r="H766" s="27">
        <f>IF(C766="","",IF(E766&lt;&gt;"",E766,IF(IFERROR(VLOOKUP(C766,CodeTable,5,0)&amp;"","")="","All",VLOOKUP(C766,CodeTable,5,0)&amp;"")))</f>
        <v/>
      </c>
      <c r="I766" s="28">
        <f>IF(OR(A766="",C766=""),"",A766&amp;"|"&amp;B766&amp;"|"&amp;(COUNTIFS(FlDate,A766,FlShift,B766,FlCode,"&lt;&gt;",FlOrder,"&lt;"&amp;J766)+COUNTIFS(A$6:A766,A766,B$6:B766,B766,C$6:C766,"&lt;&gt;",J$6:J766,J766)))</f>
        <v/>
      </c>
      <c r="J766" s="28">
        <f>IF(C766="","",IF(D766="","zz","t"&amp;D766))</f>
        <v/>
      </c>
      <c r="K766" s="28">
        <f>IF(OR(A766="",C766=""),"",IF(IFERROR(INDEX(DayStat,A766-DATE(PlanYear,1,1)+1)&amp;"","")&lt;&gt;"",0,1))</f>
        <v/>
      </c>
      <c r="L766" s="28">
        <f>IF(K766="","",K766*IFERROR(VLOOKUP(C766,CodeTable,4,0),0))</f>
        <v/>
      </c>
    </row>
    <row r="767">
      <c r="A767" s="22" t="n"/>
      <c r="B767" s="23" t="n"/>
      <c r="C767" s="24" t="n"/>
      <c r="D767" s="25" t="n"/>
      <c r="E767" s="26" t="n"/>
      <c r="F767" s="26" t="n"/>
      <c r="G767" s="27">
        <f>IF(C767="","",IFERROR(VLOOKUP(C767,CodeTable,3,0),1))</f>
        <v/>
      </c>
      <c r="H767" s="27">
        <f>IF(C767="","",IF(E767&lt;&gt;"",E767,IF(IFERROR(VLOOKUP(C767,CodeTable,5,0)&amp;"","")="","All",VLOOKUP(C767,CodeTable,5,0)&amp;"")))</f>
        <v/>
      </c>
      <c r="I767" s="28">
        <f>IF(OR(A767="",C767=""),"",A767&amp;"|"&amp;B767&amp;"|"&amp;(COUNTIFS(FlDate,A767,FlShift,B767,FlCode,"&lt;&gt;",FlOrder,"&lt;"&amp;J767)+COUNTIFS(A$6:A767,A767,B$6:B767,B767,C$6:C767,"&lt;&gt;",J$6:J767,J767)))</f>
        <v/>
      </c>
      <c r="J767" s="28">
        <f>IF(C767="","",IF(D767="","zz","t"&amp;D767))</f>
        <v/>
      </c>
      <c r="K767" s="28">
        <f>IF(OR(A767="",C767=""),"",IF(IFERROR(INDEX(DayStat,A767-DATE(PlanYear,1,1)+1)&amp;"","")&lt;&gt;"",0,1))</f>
        <v/>
      </c>
      <c r="L767" s="28">
        <f>IF(K767="","",K767*IFERROR(VLOOKUP(C767,CodeTable,4,0),0))</f>
        <v/>
      </c>
    </row>
    <row r="768">
      <c r="A768" s="22" t="n"/>
      <c r="B768" s="23" t="n"/>
      <c r="C768" s="24" t="n"/>
      <c r="D768" s="25" t="n"/>
      <c r="E768" s="26" t="n"/>
      <c r="F768" s="26" t="n"/>
      <c r="G768" s="27">
        <f>IF(C768="","",IFERROR(VLOOKUP(C768,CodeTable,3,0),1))</f>
        <v/>
      </c>
      <c r="H768" s="27">
        <f>IF(C768="","",IF(E768&lt;&gt;"",E768,IF(IFERROR(VLOOKUP(C768,CodeTable,5,0)&amp;"","")="","All",VLOOKUP(C768,CodeTable,5,0)&amp;"")))</f>
        <v/>
      </c>
      <c r="I768" s="28">
        <f>IF(OR(A768="",C768=""),"",A768&amp;"|"&amp;B768&amp;"|"&amp;(COUNTIFS(FlDate,A768,FlShift,B768,FlCode,"&lt;&gt;",FlOrder,"&lt;"&amp;J768)+COUNTIFS(A$6:A768,A768,B$6:B768,B768,C$6:C768,"&lt;&gt;",J$6:J768,J768)))</f>
        <v/>
      </c>
      <c r="J768" s="28">
        <f>IF(C768="","",IF(D768="","zz","t"&amp;D768))</f>
        <v/>
      </c>
      <c r="K768" s="28">
        <f>IF(OR(A768="",C768=""),"",IF(IFERROR(INDEX(DayStat,A768-DATE(PlanYear,1,1)+1)&amp;"","")&lt;&gt;"",0,1))</f>
        <v/>
      </c>
      <c r="L768" s="28">
        <f>IF(K768="","",K768*IFERROR(VLOOKUP(C768,CodeTable,4,0),0))</f>
        <v/>
      </c>
    </row>
    <row r="769">
      <c r="A769" s="22" t="n"/>
      <c r="B769" s="23" t="n"/>
      <c r="C769" s="24" t="n"/>
      <c r="D769" s="25" t="n"/>
      <c r="E769" s="26" t="n"/>
      <c r="F769" s="26" t="n"/>
      <c r="G769" s="27">
        <f>IF(C769="","",IFERROR(VLOOKUP(C769,CodeTable,3,0),1))</f>
        <v/>
      </c>
      <c r="H769" s="27">
        <f>IF(C769="","",IF(E769&lt;&gt;"",E769,IF(IFERROR(VLOOKUP(C769,CodeTable,5,0)&amp;"","")="","All",VLOOKUP(C769,CodeTable,5,0)&amp;"")))</f>
        <v/>
      </c>
      <c r="I769" s="28">
        <f>IF(OR(A769="",C769=""),"",A769&amp;"|"&amp;B769&amp;"|"&amp;(COUNTIFS(FlDate,A769,FlShift,B769,FlCode,"&lt;&gt;",FlOrder,"&lt;"&amp;J769)+COUNTIFS(A$6:A769,A769,B$6:B769,B769,C$6:C769,"&lt;&gt;",J$6:J769,J769)))</f>
        <v/>
      </c>
      <c r="J769" s="28">
        <f>IF(C769="","",IF(D769="","zz","t"&amp;D769))</f>
        <v/>
      </c>
      <c r="K769" s="28">
        <f>IF(OR(A769="",C769=""),"",IF(IFERROR(INDEX(DayStat,A769-DATE(PlanYear,1,1)+1)&amp;"","")&lt;&gt;"",0,1))</f>
        <v/>
      </c>
      <c r="L769" s="28">
        <f>IF(K769="","",K769*IFERROR(VLOOKUP(C769,CodeTable,4,0),0))</f>
        <v/>
      </c>
    </row>
    <row r="770">
      <c r="A770" s="22" t="n"/>
      <c r="B770" s="23" t="n"/>
      <c r="C770" s="24" t="n"/>
      <c r="D770" s="25" t="n"/>
      <c r="E770" s="26" t="n"/>
      <c r="F770" s="26" t="n"/>
      <c r="G770" s="27">
        <f>IF(C770="","",IFERROR(VLOOKUP(C770,CodeTable,3,0),1))</f>
        <v/>
      </c>
      <c r="H770" s="27">
        <f>IF(C770="","",IF(E770&lt;&gt;"",E770,IF(IFERROR(VLOOKUP(C770,CodeTable,5,0)&amp;"","")="","All",VLOOKUP(C770,CodeTable,5,0)&amp;"")))</f>
        <v/>
      </c>
      <c r="I770" s="28">
        <f>IF(OR(A770="",C770=""),"",A770&amp;"|"&amp;B770&amp;"|"&amp;(COUNTIFS(FlDate,A770,FlShift,B770,FlCode,"&lt;&gt;",FlOrder,"&lt;"&amp;J770)+COUNTIFS(A$6:A770,A770,B$6:B770,B770,C$6:C770,"&lt;&gt;",J$6:J770,J770)))</f>
        <v/>
      </c>
      <c r="J770" s="28">
        <f>IF(C770="","",IF(D770="","zz","t"&amp;D770))</f>
        <v/>
      </c>
      <c r="K770" s="28">
        <f>IF(OR(A770="",C770=""),"",IF(IFERROR(INDEX(DayStat,A770-DATE(PlanYear,1,1)+1)&amp;"","")&lt;&gt;"",0,1))</f>
        <v/>
      </c>
      <c r="L770" s="28">
        <f>IF(K770="","",K770*IFERROR(VLOOKUP(C770,CodeTable,4,0),0))</f>
        <v/>
      </c>
    </row>
    <row r="771">
      <c r="A771" s="22" t="n"/>
      <c r="B771" s="23" t="n"/>
      <c r="C771" s="24" t="n"/>
      <c r="D771" s="25" t="n"/>
      <c r="E771" s="26" t="n"/>
      <c r="F771" s="26" t="n"/>
      <c r="G771" s="27">
        <f>IF(C771="","",IFERROR(VLOOKUP(C771,CodeTable,3,0),1))</f>
        <v/>
      </c>
      <c r="H771" s="27">
        <f>IF(C771="","",IF(E771&lt;&gt;"",E771,IF(IFERROR(VLOOKUP(C771,CodeTable,5,0)&amp;"","")="","All",VLOOKUP(C771,CodeTable,5,0)&amp;"")))</f>
        <v/>
      </c>
      <c r="I771" s="28">
        <f>IF(OR(A771="",C771=""),"",A771&amp;"|"&amp;B771&amp;"|"&amp;(COUNTIFS(FlDate,A771,FlShift,B771,FlCode,"&lt;&gt;",FlOrder,"&lt;"&amp;J771)+COUNTIFS(A$6:A771,A771,B$6:B771,B771,C$6:C771,"&lt;&gt;",J$6:J771,J771)))</f>
        <v/>
      </c>
      <c r="J771" s="28">
        <f>IF(C771="","",IF(D771="","zz","t"&amp;D771))</f>
        <v/>
      </c>
      <c r="K771" s="28">
        <f>IF(OR(A771="",C771=""),"",IF(IFERROR(INDEX(DayStat,A771-DATE(PlanYear,1,1)+1)&amp;"","")&lt;&gt;"",0,1))</f>
        <v/>
      </c>
      <c r="L771" s="28">
        <f>IF(K771="","",K771*IFERROR(VLOOKUP(C771,CodeTable,4,0),0))</f>
        <v/>
      </c>
    </row>
    <row r="772">
      <c r="A772" s="22" t="n"/>
      <c r="B772" s="23" t="n"/>
      <c r="C772" s="24" t="n"/>
      <c r="D772" s="25" t="n"/>
      <c r="E772" s="26" t="n"/>
      <c r="F772" s="26" t="n"/>
      <c r="G772" s="27">
        <f>IF(C772="","",IFERROR(VLOOKUP(C772,CodeTable,3,0),1))</f>
        <v/>
      </c>
      <c r="H772" s="27">
        <f>IF(C772="","",IF(E772&lt;&gt;"",E772,IF(IFERROR(VLOOKUP(C772,CodeTable,5,0)&amp;"","")="","All",VLOOKUP(C772,CodeTable,5,0)&amp;"")))</f>
        <v/>
      </c>
      <c r="I772" s="28">
        <f>IF(OR(A772="",C772=""),"",A772&amp;"|"&amp;B772&amp;"|"&amp;(COUNTIFS(FlDate,A772,FlShift,B772,FlCode,"&lt;&gt;",FlOrder,"&lt;"&amp;J772)+COUNTIFS(A$6:A772,A772,B$6:B772,B772,C$6:C772,"&lt;&gt;",J$6:J772,J772)))</f>
        <v/>
      </c>
      <c r="J772" s="28">
        <f>IF(C772="","",IF(D772="","zz","t"&amp;D772))</f>
        <v/>
      </c>
      <c r="K772" s="28">
        <f>IF(OR(A772="",C772=""),"",IF(IFERROR(INDEX(DayStat,A772-DATE(PlanYear,1,1)+1)&amp;"","")&lt;&gt;"",0,1))</f>
        <v/>
      </c>
      <c r="L772" s="28">
        <f>IF(K772="","",K772*IFERROR(VLOOKUP(C772,CodeTable,4,0),0))</f>
        <v/>
      </c>
    </row>
    <row r="773">
      <c r="A773" s="22" t="n"/>
      <c r="B773" s="23" t="n"/>
      <c r="C773" s="24" t="n"/>
      <c r="D773" s="25" t="n"/>
      <c r="E773" s="26" t="n"/>
      <c r="F773" s="26" t="n"/>
      <c r="G773" s="27">
        <f>IF(C773="","",IFERROR(VLOOKUP(C773,CodeTable,3,0),1))</f>
        <v/>
      </c>
      <c r="H773" s="27">
        <f>IF(C773="","",IF(E773&lt;&gt;"",E773,IF(IFERROR(VLOOKUP(C773,CodeTable,5,0)&amp;"","")="","All",VLOOKUP(C773,CodeTable,5,0)&amp;"")))</f>
        <v/>
      </c>
      <c r="I773" s="28">
        <f>IF(OR(A773="",C773=""),"",A773&amp;"|"&amp;B773&amp;"|"&amp;(COUNTIFS(FlDate,A773,FlShift,B773,FlCode,"&lt;&gt;",FlOrder,"&lt;"&amp;J773)+COUNTIFS(A$6:A773,A773,B$6:B773,B773,C$6:C773,"&lt;&gt;",J$6:J773,J773)))</f>
        <v/>
      </c>
      <c r="J773" s="28">
        <f>IF(C773="","",IF(D773="","zz","t"&amp;D773))</f>
        <v/>
      </c>
      <c r="K773" s="28">
        <f>IF(OR(A773="",C773=""),"",IF(IFERROR(INDEX(DayStat,A773-DATE(PlanYear,1,1)+1)&amp;"","")&lt;&gt;"",0,1))</f>
        <v/>
      </c>
      <c r="L773" s="28">
        <f>IF(K773="","",K773*IFERROR(VLOOKUP(C773,CodeTable,4,0),0))</f>
        <v/>
      </c>
    </row>
    <row r="774">
      <c r="A774" s="22" t="n"/>
      <c r="B774" s="23" t="n"/>
      <c r="C774" s="24" t="n"/>
      <c r="D774" s="25" t="n"/>
      <c r="E774" s="26" t="n"/>
      <c r="F774" s="26" t="n"/>
      <c r="G774" s="27">
        <f>IF(C774="","",IFERROR(VLOOKUP(C774,CodeTable,3,0),1))</f>
        <v/>
      </c>
      <c r="H774" s="27">
        <f>IF(C774="","",IF(E774&lt;&gt;"",E774,IF(IFERROR(VLOOKUP(C774,CodeTable,5,0)&amp;"","")="","All",VLOOKUP(C774,CodeTable,5,0)&amp;"")))</f>
        <v/>
      </c>
      <c r="I774" s="28">
        <f>IF(OR(A774="",C774=""),"",A774&amp;"|"&amp;B774&amp;"|"&amp;(COUNTIFS(FlDate,A774,FlShift,B774,FlCode,"&lt;&gt;",FlOrder,"&lt;"&amp;J774)+COUNTIFS(A$6:A774,A774,B$6:B774,B774,C$6:C774,"&lt;&gt;",J$6:J774,J774)))</f>
        <v/>
      </c>
      <c r="J774" s="28">
        <f>IF(C774="","",IF(D774="","zz","t"&amp;D774))</f>
        <v/>
      </c>
      <c r="K774" s="28">
        <f>IF(OR(A774="",C774=""),"",IF(IFERROR(INDEX(DayStat,A774-DATE(PlanYear,1,1)+1)&amp;"","")&lt;&gt;"",0,1))</f>
        <v/>
      </c>
      <c r="L774" s="28">
        <f>IF(K774="","",K774*IFERROR(VLOOKUP(C774,CodeTable,4,0),0))</f>
        <v/>
      </c>
    </row>
    <row r="775">
      <c r="A775" s="22" t="n"/>
      <c r="B775" s="23" t="n"/>
      <c r="C775" s="24" t="n"/>
      <c r="D775" s="25" t="n"/>
      <c r="E775" s="26" t="n"/>
      <c r="F775" s="26" t="n"/>
      <c r="G775" s="27">
        <f>IF(C775="","",IFERROR(VLOOKUP(C775,CodeTable,3,0),1))</f>
        <v/>
      </c>
      <c r="H775" s="27">
        <f>IF(C775="","",IF(E775&lt;&gt;"",E775,IF(IFERROR(VLOOKUP(C775,CodeTable,5,0)&amp;"","")="","All",VLOOKUP(C775,CodeTable,5,0)&amp;"")))</f>
        <v/>
      </c>
      <c r="I775" s="28">
        <f>IF(OR(A775="",C775=""),"",A775&amp;"|"&amp;B775&amp;"|"&amp;(COUNTIFS(FlDate,A775,FlShift,B775,FlCode,"&lt;&gt;",FlOrder,"&lt;"&amp;J775)+COUNTIFS(A$6:A775,A775,B$6:B775,B775,C$6:C775,"&lt;&gt;",J$6:J775,J775)))</f>
        <v/>
      </c>
      <c r="J775" s="28">
        <f>IF(C775="","",IF(D775="","zz","t"&amp;D775))</f>
        <v/>
      </c>
      <c r="K775" s="28">
        <f>IF(OR(A775="",C775=""),"",IF(IFERROR(INDEX(DayStat,A775-DATE(PlanYear,1,1)+1)&amp;"","")&lt;&gt;"",0,1))</f>
        <v/>
      </c>
      <c r="L775" s="28">
        <f>IF(K775="","",K775*IFERROR(VLOOKUP(C775,CodeTable,4,0),0))</f>
        <v/>
      </c>
    </row>
    <row r="776">
      <c r="A776" s="22" t="n"/>
      <c r="B776" s="23" t="n"/>
      <c r="C776" s="24" t="n"/>
      <c r="D776" s="25" t="n"/>
      <c r="E776" s="26" t="n"/>
      <c r="F776" s="26" t="n"/>
      <c r="G776" s="27">
        <f>IF(C776="","",IFERROR(VLOOKUP(C776,CodeTable,3,0),1))</f>
        <v/>
      </c>
      <c r="H776" s="27">
        <f>IF(C776="","",IF(E776&lt;&gt;"",E776,IF(IFERROR(VLOOKUP(C776,CodeTable,5,0)&amp;"","")="","All",VLOOKUP(C776,CodeTable,5,0)&amp;"")))</f>
        <v/>
      </c>
      <c r="I776" s="28">
        <f>IF(OR(A776="",C776=""),"",A776&amp;"|"&amp;B776&amp;"|"&amp;(COUNTIFS(FlDate,A776,FlShift,B776,FlCode,"&lt;&gt;",FlOrder,"&lt;"&amp;J776)+COUNTIFS(A$6:A776,A776,B$6:B776,B776,C$6:C776,"&lt;&gt;",J$6:J776,J776)))</f>
        <v/>
      </c>
      <c r="J776" s="28">
        <f>IF(C776="","",IF(D776="","zz","t"&amp;D776))</f>
        <v/>
      </c>
      <c r="K776" s="28">
        <f>IF(OR(A776="",C776=""),"",IF(IFERROR(INDEX(DayStat,A776-DATE(PlanYear,1,1)+1)&amp;"","")&lt;&gt;"",0,1))</f>
        <v/>
      </c>
      <c r="L776" s="28">
        <f>IF(K776="","",K776*IFERROR(VLOOKUP(C776,CodeTable,4,0),0))</f>
        <v/>
      </c>
    </row>
    <row r="777">
      <c r="A777" s="22" t="n"/>
      <c r="B777" s="23" t="n"/>
      <c r="C777" s="24" t="n"/>
      <c r="D777" s="25" t="n"/>
      <c r="E777" s="26" t="n"/>
      <c r="F777" s="26" t="n"/>
      <c r="G777" s="27">
        <f>IF(C777="","",IFERROR(VLOOKUP(C777,CodeTable,3,0),1))</f>
        <v/>
      </c>
      <c r="H777" s="27">
        <f>IF(C777="","",IF(E777&lt;&gt;"",E777,IF(IFERROR(VLOOKUP(C777,CodeTable,5,0)&amp;"","")="","All",VLOOKUP(C777,CodeTable,5,0)&amp;"")))</f>
        <v/>
      </c>
      <c r="I777" s="28">
        <f>IF(OR(A777="",C777=""),"",A777&amp;"|"&amp;B777&amp;"|"&amp;(COUNTIFS(FlDate,A777,FlShift,B777,FlCode,"&lt;&gt;",FlOrder,"&lt;"&amp;J777)+COUNTIFS(A$6:A777,A777,B$6:B777,B777,C$6:C777,"&lt;&gt;",J$6:J777,J777)))</f>
        <v/>
      </c>
      <c r="J777" s="28">
        <f>IF(C777="","",IF(D777="","zz","t"&amp;D777))</f>
        <v/>
      </c>
      <c r="K777" s="28">
        <f>IF(OR(A777="",C777=""),"",IF(IFERROR(INDEX(DayStat,A777-DATE(PlanYear,1,1)+1)&amp;"","")&lt;&gt;"",0,1))</f>
        <v/>
      </c>
      <c r="L777" s="28">
        <f>IF(K777="","",K777*IFERROR(VLOOKUP(C777,CodeTable,4,0),0))</f>
        <v/>
      </c>
    </row>
    <row r="778">
      <c r="A778" s="22" t="n"/>
      <c r="B778" s="23" t="n"/>
      <c r="C778" s="24" t="n"/>
      <c r="D778" s="25" t="n"/>
      <c r="E778" s="26" t="n"/>
      <c r="F778" s="26" t="n"/>
      <c r="G778" s="27">
        <f>IF(C778="","",IFERROR(VLOOKUP(C778,CodeTable,3,0),1))</f>
        <v/>
      </c>
      <c r="H778" s="27">
        <f>IF(C778="","",IF(E778&lt;&gt;"",E778,IF(IFERROR(VLOOKUP(C778,CodeTable,5,0)&amp;"","")="","All",VLOOKUP(C778,CodeTable,5,0)&amp;"")))</f>
        <v/>
      </c>
      <c r="I778" s="28">
        <f>IF(OR(A778="",C778=""),"",A778&amp;"|"&amp;B778&amp;"|"&amp;(COUNTIFS(FlDate,A778,FlShift,B778,FlCode,"&lt;&gt;",FlOrder,"&lt;"&amp;J778)+COUNTIFS(A$6:A778,A778,B$6:B778,B778,C$6:C778,"&lt;&gt;",J$6:J778,J778)))</f>
        <v/>
      </c>
      <c r="J778" s="28">
        <f>IF(C778="","",IF(D778="","zz","t"&amp;D778))</f>
        <v/>
      </c>
      <c r="K778" s="28">
        <f>IF(OR(A778="",C778=""),"",IF(IFERROR(INDEX(DayStat,A778-DATE(PlanYear,1,1)+1)&amp;"","")&lt;&gt;"",0,1))</f>
        <v/>
      </c>
      <c r="L778" s="28">
        <f>IF(K778="","",K778*IFERROR(VLOOKUP(C778,CodeTable,4,0),0))</f>
        <v/>
      </c>
    </row>
    <row r="779">
      <c r="A779" s="22" t="n"/>
      <c r="B779" s="23" t="n"/>
      <c r="C779" s="24" t="n"/>
      <c r="D779" s="25" t="n"/>
      <c r="E779" s="26" t="n"/>
      <c r="F779" s="26" t="n"/>
      <c r="G779" s="27">
        <f>IF(C779="","",IFERROR(VLOOKUP(C779,CodeTable,3,0),1))</f>
        <v/>
      </c>
      <c r="H779" s="27">
        <f>IF(C779="","",IF(E779&lt;&gt;"",E779,IF(IFERROR(VLOOKUP(C779,CodeTable,5,0)&amp;"","")="","All",VLOOKUP(C779,CodeTable,5,0)&amp;"")))</f>
        <v/>
      </c>
      <c r="I779" s="28">
        <f>IF(OR(A779="",C779=""),"",A779&amp;"|"&amp;B779&amp;"|"&amp;(COUNTIFS(FlDate,A779,FlShift,B779,FlCode,"&lt;&gt;",FlOrder,"&lt;"&amp;J779)+COUNTIFS(A$6:A779,A779,B$6:B779,B779,C$6:C779,"&lt;&gt;",J$6:J779,J779)))</f>
        <v/>
      </c>
      <c r="J779" s="28">
        <f>IF(C779="","",IF(D779="","zz","t"&amp;D779))</f>
        <v/>
      </c>
      <c r="K779" s="28">
        <f>IF(OR(A779="",C779=""),"",IF(IFERROR(INDEX(DayStat,A779-DATE(PlanYear,1,1)+1)&amp;"","")&lt;&gt;"",0,1))</f>
        <v/>
      </c>
      <c r="L779" s="28">
        <f>IF(K779="","",K779*IFERROR(VLOOKUP(C779,CodeTable,4,0),0))</f>
        <v/>
      </c>
    </row>
    <row r="780">
      <c r="A780" s="22" t="n"/>
      <c r="B780" s="23" t="n"/>
      <c r="C780" s="24" t="n"/>
      <c r="D780" s="25" t="n"/>
      <c r="E780" s="26" t="n"/>
      <c r="F780" s="26" t="n"/>
      <c r="G780" s="27">
        <f>IF(C780="","",IFERROR(VLOOKUP(C780,CodeTable,3,0),1))</f>
        <v/>
      </c>
      <c r="H780" s="27">
        <f>IF(C780="","",IF(E780&lt;&gt;"",E780,IF(IFERROR(VLOOKUP(C780,CodeTable,5,0)&amp;"","")="","All",VLOOKUP(C780,CodeTable,5,0)&amp;"")))</f>
        <v/>
      </c>
      <c r="I780" s="28">
        <f>IF(OR(A780="",C780=""),"",A780&amp;"|"&amp;B780&amp;"|"&amp;(COUNTIFS(FlDate,A780,FlShift,B780,FlCode,"&lt;&gt;",FlOrder,"&lt;"&amp;J780)+COUNTIFS(A$6:A780,A780,B$6:B780,B780,C$6:C780,"&lt;&gt;",J$6:J780,J780)))</f>
        <v/>
      </c>
      <c r="J780" s="28">
        <f>IF(C780="","",IF(D780="","zz","t"&amp;D780))</f>
        <v/>
      </c>
      <c r="K780" s="28">
        <f>IF(OR(A780="",C780=""),"",IF(IFERROR(INDEX(DayStat,A780-DATE(PlanYear,1,1)+1)&amp;"","")&lt;&gt;"",0,1))</f>
        <v/>
      </c>
      <c r="L780" s="28">
        <f>IF(K780="","",K780*IFERROR(VLOOKUP(C780,CodeTable,4,0),0))</f>
        <v/>
      </c>
    </row>
    <row r="781">
      <c r="A781" s="22" t="n"/>
      <c r="B781" s="23" t="n"/>
      <c r="C781" s="24" t="n"/>
      <c r="D781" s="25" t="n"/>
      <c r="E781" s="26" t="n"/>
      <c r="F781" s="26" t="n"/>
      <c r="G781" s="27">
        <f>IF(C781="","",IFERROR(VLOOKUP(C781,CodeTable,3,0),1))</f>
        <v/>
      </c>
      <c r="H781" s="27">
        <f>IF(C781="","",IF(E781&lt;&gt;"",E781,IF(IFERROR(VLOOKUP(C781,CodeTable,5,0)&amp;"","")="","All",VLOOKUP(C781,CodeTable,5,0)&amp;"")))</f>
        <v/>
      </c>
      <c r="I781" s="28">
        <f>IF(OR(A781="",C781=""),"",A781&amp;"|"&amp;B781&amp;"|"&amp;(COUNTIFS(FlDate,A781,FlShift,B781,FlCode,"&lt;&gt;",FlOrder,"&lt;"&amp;J781)+COUNTIFS(A$6:A781,A781,B$6:B781,B781,C$6:C781,"&lt;&gt;",J$6:J781,J781)))</f>
        <v/>
      </c>
      <c r="J781" s="28">
        <f>IF(C781="","",IF(D781="","zz","t"&amp;D781))</f>
        <v/>
      </c>
      <c r="K781" s="28">
        <f>IF(OR(A781="",C781=""),"",IF(IFERROR(INDEX(DayStat,A781-DATE(PlanYear,1,1)+1)&amp;"","")&lt;&gt;"",0,1))</f>
        <v/>
      </c>
      <c r="L781" s="28">
        <f>IF(K781="","",K781*IFERROR(VLOOKUP(C781,CodeTable,4,0),0))</f>
        <v/>
      </c>
    </row>
    <row r="782">
      <c r="A782" s="22" t="n"/>
      <c r="B782" s="23" t="n"/>
      <c r="C782" s="24" t="n"/>
      <c r="D782" s="25" t="n"/>
      <c r="E782" s="26" t="n"/>
      <c r="F782" s="26" t="n"/>
      <c r="G782" s="27">
        <f>IF(C782="","",IFERROR(VLOOKUP(C782,CodeTable,3,0),1))</f>
        <v/>
      </c>
      <c r="H782" s="27">
        <f>IF(C782="","",IF(E782&lt;&gt;"",E782,IF(IFERROR(VLOOKUP(C782,CodeTable,5,0)&amp;"","")="","All",VLOOKUP(C782,CodeTable,5,0)&amp;"")))</f>
        <v/>
      </c>
      <c r="I782" s="28">
        <f>IF(OR(A782="",C782=""),"",A782&amp;"|"&amp;B782&amp;"|"&amp;(COUNTIFS(FlDate,A782,FlShift,B782,FlCode,"&lt;&gt;",FlOrder,"&lt;"&amp;J782)+COUNTIFS(A$6:A782,A782,B$6:B782,B782,C$6:C782,"&lt;&gt;",J$6:J782,J782)))</f>
        <v/>
      </c>
      <c r="J782" s="28">
        <f>IF(C782="","",IF(D782="","zz","t"&amp;D782))</f>
        <v/>
      </c>
      <c r="K782" s="28">
        <f>IF(OR(A782="",C782=""),"",IF(IFERROR(INDEX(DayStat,A782-DATE(PlanYear,1,1)+1)&amp;"","")&lt;&gt;"",0,1))</f>
        <v/>
      </c>
      <c r="L782" s="28">
        <f>IF(K782="","",K782*IFERROR(VLOOKUP(C782,CodeTable,4,0),0))</f>
        <v/>
      </c>
    </row>
    <row r="783">
      <c r="A783" s="22" t="n"/>
      <c r="B783" s="23" t="n"/>
      <c r="C783" s="24" t="n"/>
      <c r="D783" s="25" t="n"/>
      <c r="E783" s="26" t="n"/>
      <c r="F783" s="26" t="n"/>
      <c r="G783" s="27">
        <f>IF(C783="","",IFERROR(VLOOKUP(C783,CodeTable,3,0),1))</f>
        <v/>
      </c>
      <c r="H783" s="27">
        <f>IF(C783="","",IF(E783&lt;&gt;"",E783,IF(IFERROR(VLOOKUP(C783,CodeTable,5,0)&amp;"","")="","All",VLOOKUP(C783,CodeTable,5,0)&amp;"")))</f>
        <v/>
      </c>
      <c r="I783" s="28">
        <f>IF(OR(A783="",C783=""),"",A783&amp;"|"&amp;B783&amp;"|"&amp;(COUNTIFS(FlDate,A783,FlShift,B783,FlCode,"&lt;&gt;",FlOrder,"&lt;"&amp;J783)+COUNTIFS(A$6:A783,A783,B$6:B783,B783,C$6:C783,"&lt;&gt;",J$6:J783,J783)))</f>
        <v/>
      </c>
      <c r="J783" s="28">
        <f>IF(C783="","",IF(D783="","zz","t"&amp;D783))</f>
        <v/>
      </c>
      <c r="K783" s="28">
        <f>IF(OR(A783="",C783=""),"",IF(IFERROR(INDEX(DayStat,A783-DATE(PlanYear,1,1)+1)&amp;"","")&lt;&gt;"",0,1))</f>
        <v/>
      </c>
      <c r="L783" s="28">
        <f>IF(K783="","",K783*IFERROR(VLOOKUP(C783,CodeTable,4,0),0))</f>
        <v/>
      </c>
    </row>
    <row r="784">
      <c r="A784" s="22" t="n"/>
      <c r="B784" s="23" t="n"/>
      <c r="C784" s="24" t="n"/>
      <c r="D784" s="25" t="n"/>
      <c r="E784" s="26" t="n"/>
      <c r="F784" s="26" t="n"/>
      <c r="G784" s="27">
        <f>IF(C784="","",IFERROR(VLOOKUP(C784,CodeTable,3,0),1))</f>
        <v/>
      </c>
      <c r="H784" s="27">
        <f>IF(C784="","",IF(E784&lt;&gt;"",E784,IF(IFERROR(VLOOKUP(C784,CodeTable,5,0)&amp;"","")="","All",VLOOKUP(C784,CodeTable,5,0)&amp;"")))</f>
        <v/>
      </c>
      <c r="I784" s="28">
        <f>IF(OR(A784="",C784=""),"",A784&amp;"|"&amp;B784&amp;"|"&amp;(COUNTIFS(FlDate,A784,FlShift,B784,FlCode,"&lt;&gt;",FlOrder,"&lt;"&amp;J784)+COUNTIFS(A$6:A784,A784,B$6:B784,B784,C$6:C784,"&lt;&gt;",J$6:J784,J784)))</f>
        <v/>
      </c>
      <c r="J784" s="28">
        <f>IF(C784="","",IF(D784="","zz","t"&amp;D784))</f>
        <v/>
      </c>
      <c r="K784" s="28">
        <f>IF(OR(A784="",C784=""),"",IF(IFERROR(INDEX(DayStat,A784-DATE(PlanYear,1,1)+1)&amp;"","")&lt;&gt;"",0,1))</f>
        <v/>
      </c>
      <c r="L784" s="28">
        <f>IF(K784="","",K784*IFERROR(VLOOKUP(C784,CodeTable,4,0),0))</f>
        <v/>
      </c>
    </row>
    <row r="785">
      <c r="A785" s="22" t="n"/>
      <c r="B785" s="23" t="n"/>
      <c r="C785" s="24" t="n"/>
      <c r="D785" s="25" t="n"/>
      <c r="E785" s="26" t="n"/>
      <c r="F785" s="26" t="n"/>
      <c r="G785" s="27">
        <f>IF(C785="","",IFERROR(VLOOKUP(C785,CodeTable,3,0),1))</f>
        <v/>
      </c>
      <c r="H785" s="27">
        <f>IF(C785="","",IF(E785&lt;&gt;"",E785,IF(IFERROR(VLOOKUP(C785,CodeTable,5,0)&amp;"","")="","All",VLOOKUP(C785,CodeTable,5,0)&amp;"")))</f>
        <v/>
      </c>
      <c r="I785" s="28">
        <f>IF(OR(A785="",C785=""),"",A785&amp;"|"&amp;B785&amp;"|"&amp;(COUNTIFS(FlDate,A785,FlShift,B785,FlCode,"&lt;&gt;",FlOrder,"&lt;"&amp;J785)+COUNTIFS(A$6:A785,A785,B$6:B785,B785,C$6:C785,"&lt;&gt;",J$6:J785,J785)))</f>
        <v/>
      </c>
      <c r="J785" s="28">
        <f>IF(C785="","",IF(D785="","zz","t"&amp;D785))</f>
        <v/>
      </c>
      <c r="K785" s="28">
        <f>IF(OR(A785="",C785=""),"",IF(IFERROR(INDEX(DayStat,A785-DATE(PlanYear,1,1)+1)&amp;"","")&lt;&gt;"",0,1))</f>
        <v/>
      </c>
      <c r="L785" s="28">
        <f>IF(K785="","",K785*IFERROR(VLOOKUP(C785,CodeTable,4,0),0))</f>
        <v/>
      </c>
    </row>
    <row r="786">
      <c r="A786" s="22" t="n"/>
      <c r="B786" s="23" t="n"/>
      <c r="C786" s="24" t="n"/>
      <c r="D786" s="25" t="n"/>
      <c r="E786" s="26" t="n"/>
      <c r="F786" s="26" t="n"/>
      <c r="G786" s="27">
        <f>IF(C786="","",IFERROR(VLOOKUP(C786,CodeTable,3,0),1))</f>
        <v/>
      </c>
      <c r="H786" s="27">
        <f>IF(C786="","",IF(E786&lt;&gt;"",E786,IF(IFERROR(VLOOKUP(C786,CodeTable,5,0)&amp;"","")="","All",VLOOKUP(C786,CodeTable,5,0)&amp;"")))</f>
        <v/>
      </c>
      <c r="I786" s="28">
        <f>IF(OR(A786="",C786=""),"",A786&amp;"|"&amp;B786&amp;"|"&amp;(COUNTIFS(FlDate,A786,FlShift,B786,FlCode,"&lt;&gt;",FlOrder,"&lt;"&amp;J786)+COUNTIFS(A$6:A786,A786,B$6:B786,B786,C$6:C786,"&lt;&gt;",J$6:J786,J786)))</f>
        <v/>
      </c>
      <c r="J786" s="28">
        <f>IF(C786="","",IF(D786="","zz","t"&amp;D786))</f>
        <v/>
      </c>
      <c r="K786" s="28">
        <f>IF(OR(A786="",C786=""),"",IF(IFERROR(INDEX(DayStat,A786-DATE(PlanYear,1,1)+1)&amp;"","")&lt;&gt;"",0,1))</f>
        <v/>
      </c>
      <c r="L786" s="28">
        <f>IF(K786="","",K786*IFERROR(VLOOKUP(C786,CodeTable,4,0),0))</f>
        <v/>
      </c>
    </row>
    <row r="787">
      <c r="A787" s="22" t="n"/>
      <c r="B787" s="23" t="n"/>
      <c r="C787" s="24" t="n"/>
      <c r="D787" s="25" t="n"/>
      <c r="E787" s="26" t="n"/>
      <c r="F787" s="26" t="n"/>
      <c r="G787" s="27">
        <f>IF(C787="","",IFERROR(VLOOKUP(C787,CodeTable,3,0),1))</f>
        <v/>
      </c>
      <c r="H787" s="27">
        <f>IF(C787="","",IF(E787&lt;&gt;"",E787,IF(IFERROR(VLOOKUP(C787,CodeTable,5,0)&amp;"","")="","All",VLOOKUP(C787,CodeTable,5,0)&amp;"")))</f>
        <v/>
      </c>
      <c r="I787" s="28">
        <f>IF(OR(A787="",C787=""),"",A787&amp;"|"&amp;B787&amp;"|"&amp;(COUNTIFS(FlDate,A787,FlShift,B787,FlCode,"&lt;&gt;",FlOrder,"&lt;"&amp;J787)+COUNTIFS(A$6:A787,A787,B$6:B787,B787,C$6:C787,"&lt;&gt;",J$6:J787,J787)))</f>
        <v/>
      </c>
      <c r="J787" s="28">
        <f>IF(C787="","",IF(D787="","zz","t"&amp;D787))</f>
        <v/>
      </c>
      <c r="K787" s="28">
        <f>IF(OR(A787="",C787=""),"",IF(IFERROR(INDEX(DayStat,A787-DATE(PlanYear,1,1)+1)&amp;"","")&lt;&gt;"",0,1))</f>
        <v/>
      </c>
      <c r="L787" s="28">
        <f>IF(K787="","",K787*IFERROR(VLOOKUP(C787,CodeTable,4,0),0))</f>
        <v/>
      </c>
    </row>
    <row r="788">
      <c r="A788" s="22" t="n"/>
      <c r="B788" s="23" t="n"/>
      <c r="C788" s="24" t="n"/>
      <c r="D788" s="25" t="n"/>
      <c r="E788" s="26" t="n"/>
      <c r="F788" s="26" t="n"/>
      <c r="G788" s="27">
        <f>IF(C788="","",IFERROR(VLOOKUP(C788,CodeTable,3,0),1))</f>
        <v/>
      </c>
      <c r="H788" s="27">
        <f>IF(C788="","",IF(E788&lt;&gt;"",E788,IF(IFERROR(VLOOKUP(C788,CodeTable,5,0)&amp;"","")="","All",VLOOKUP(C788,CodeTable,5,0)&amp;"")))</f>
        <v/>
      </c>
      <c r="I788" s="28">
        <f>IF(OR(A788="",C788=""),"",A788&amp;"|"&amp;B788&amp;"|"&amp;(COUNTIFS(FlDate,A788,FlShift,B788,FlCode,"&lt;&gt;",FlOrder,"&lt;"&amp;J788)+COUNTIFS(A$6:A788,A788,B$6:B788,B788,C$6:C788,"&lt;&gt;",J$6:J788,J788)))</f>
        <v/>
      </c>
      <c r="J788" s="28">
        <f>IF(C788="","",IF(D788="","zz","t"&amp;D788))</f>
        <v/>
      </c>
      <c r="K788" s="28">
        <f>IF(OR(A788="",C788=""),"",IF(IFERROR(INDEX(DayStat,A788-DATE(PlanYear,1,1)+1)&amp;"","")&lt;&gt;"",0,1))</f>
        <v/>
      </c>
      <c r="L788" s="28">
        <f>IF(K788="","",K788*IFERROR(VLOOKUP(C788,CodeTable,4,0),0))</f>
        <v/>
      </c>
    </row>
    <row r="789">
      <c r="A789" s="22" t="n"/>
      <c r="B789" s="23" t="n"/>
      <c r="C789" s="24" t="n"/>
      <c r="D789" s="25" t="n"/>
      <c r="E789" s="26" t="n"/>
      <c r="F789" s="26" t="n"/>
      <c r="G789" s="27">
        <f>IF(C789="","",IFERROR(VLOOKUP(C789,CodeTable,3,0),1))</f>
        <v/>
      </c>
      <c r="H789" s="27">
        <f>IF(C789="","",IF(E789&lt;&gt;"",E789,IF(IFERROR(VLOOKUP(C789,CodeTable,5,0)&amp;"","")="","All",VLOOKUP(C789,CodeTable,5,0)&amp;"")))</f>
        <v/>
      </c>
      <c r="I789" s="28">
        <f>IF(OR(A789="",C789=""),"",A789&amp;"|"&amp;B789&amp;"|"&amp;(COUNTIFS(FlDate,A789,FlShift,B789,FlCode,"&lt;&gt;",FlOrder,"&lt;"&amp;J789)+COUNTIFS(A$6:A789,A789,B$6:B789,B789,C$6:C789,"&lt;&gt;",J$6:J789,J789)))</f>
        <v/>
      </c>
      <c r="J789" s="28">
        <f>IF(C789="","",IF(D789="","zz","t"&amp;D789))</f>
        <v/>
      </c>
      <c r="K789" s="28">
        <f>IF(OR(A789="",C789=""),"",IF(IFERROR(INDEX(DayStat,A789-DATE(PlanYear,1,1)+1)&amp;"","")&lt;&gt;"",0,1))</f>
        <v/>
      </c>
      <c r="L789" s="28">
        <f>IF(K789="","",K789*IFERROR(VLOOKUP(C789,CodeTable,4,0),0))</f>
        <v/>
      </c>
    </row>
    <row r="790">
      <c r="A790" s="22" t="n"/>
      <c r="B790" s="23" t="n"/>
      <c r="C790" s="24" t="n"/>
      <c r="D790" s="25" t="n"/>
      <c r="E790" s="26" t="n"/>
      <c r="F790" s="26" t="n"/>
      <c r="G790" s="27">
        <f>IF(C790="","",IFERROR(VLOOKUP(C790,CodeTable,3,0),1))</f>
        <v/>
      </c>
      <c r="H790" s="27">
        <f>IF(C790="","",IF(E790&lt;&gt;"",E790,IF(IFERROR(VLOOKUP(C790,CodeTable,5,0)&amp;"","")="","All",VLOOKUP(C790,CodeTable,5,0)&amp;"")))</f>
        <v/>
      </c>
      <c r="I790" s="28">
        <f>IF(OR(A790="",C790=""),"",A790&amp;"|"&amp;B790&amp;"|"&amp;(COUNTIFS(FlDate,A790,FlShift,B790,FlCode,"&lt;&gt;",FlOrder,"&lt;"&amp;J790)+COUNTIFS(A$6:A790,A790,B$6:B790,B790,C$6:C790,"&lt;&gt;",J$6:J790,J790)))</f>
        <v/>
      </c>
      <c r="J790" s="28">
        <f>IF(C790="","",IF(D790="","zz","t"&amp;D790))</f>
        <v/>
      </c>
      <c r="K790" s="28">
        <f>IF(OR(A790="",C790=""),"",IF(IFERROR(INDEX(DayStat,A790-DATE(PlanYear,1,1)+1)&amp;"","")&lt;&gt;"",0,1))</f>
        <v/>
      </c>
      <c r="L790" s="28">
        <f>IF(K790="","",K790*IFERROR(VLOOKUP(C790,CodeTable,4,0),0))</f>
        <v/>
      </c>
    </row>
    <row r="791">
      <c r="A791" s="22" t="n"/>
      <c r="B791" s="23" t="n"/>
      <c r="C791" s="24" t="n"/>
      <c r="D791" s="25" t="n"/>
      <c r="E791" s="26" t="n"/>
      <c r="F791" s="26" t="n"/>
      <c r="G791" s="27">
        <f>IF(C791="","",IFERROR(VLOOKUP(C791,CodeTable,3,0),1))</f>
        <v/>
      </c>
      <c r="H791" s="27">
        <f>IF(C791="","",IF(E791&lt;&gt;"",E791,IF(IFERROR(VLOOKUP(C791,CodeTable,5,0)&amp;"","")="","All",VLOOKUP(C791,CodeTable,5,0)&amp;"")))</f>
        <v/>
      </c>
      <c r="I791" s="28">
        <f>IF(OR(A791="",C791=""),"",A791&amp;"|"&amp;B791&amp;"|"&amp;(COUNTIFS(FlDate,A791,FlShift,B791,FlCode,"&lt;&gt;",FlOrder,"&lt;"&amp;J791)+COUNTIFS(A$6:A791,A791,B$6:B791,B791,C$6:C791,"&lt;&gt;",J$6:J791,J791)))</f>
        <v/>
      </c>
      <c r="J791" s="28">
        <f>IF(C791="","",IF(D791="","zz","t"&amp;D791))</f>
        <v/>
      </c>
      <c r="K791" s="28">
        <f>IF(OR(A791="",C791=""),"",IF(IFERROR(INDEX(DayStat,A791-DATE(PlanYear,1,1)+1)&amp;"","")&lt;&gt;"",0,1))</f>
        <v/>
      </c>
      <c r="L791" s="28">
        <f>IF(K791="","",K791*IFERROR(VLOOKUP(C791,CodeTable,4,0),0))</f>
        <v/>
      </c>
    </row>
    <row r="792">
      <c r="A792" s="22" t="n"/>
      <c r="B792" s="23" t="n"/>
      <c r="C792" s="24" t="n"/>
      <c r="D792" s="25" t="n"/>
      <c r="E792" s="26" t="n"/>
      <c r="F792" s="26" t="n"/>
      <c r="G792" s="27">
        <f>IF(C792="","",IFERROR(VLOOKUP(C792,CodeTable,3,0),1))</f>
        <v/>
      </c>
      <c r="H792" s="27">
        <f>IF(C792="","",IF(E792&lt;&gt;"",E792,IF(IFERROR(VLOOKUP(C792,CodeTable,5,0)&amp;"","")="","All",VLOOKUP(C792,CodeTable,5,0)&amp;"")))</f>
        <v/>
      </c>
      <c r="I792" s="28">
        <f>IF(OR(A792="",C792=""),"",A792&amp;"|"&amp;B792&amp;"|"&amp;(COUNTIFS(FlDate,A792,FlShift,B792,FlCode,"&lt;&gt;",FlOrder,"&lt;"&amp;J792)+COUNTIFS(A$6:A792,A792,B$6:B792,B792,C$6:C792,"&lt;&gt;",J$6:J792,J792)))</f>
        <v/>
      </c>
      <c r="J792" s="28">
        <f>IF(C792="","",IF(D792="","zz","t"&amp;D792))</f>
        <v/>
      </c>
      <c r="K792" s="28">
        <f>IF(OR(A792="",C792=""),"",IF(IFERROR(INDEX(DayStat,A792-DATE(PlanYear,1,1)+1)&amp;"","")&lt;&gt;"",0,1))</f>
        <v/>
      </c>
      <c r="L792" s="28">
        <f>IF(K792="","",K792*IFERROR(VLOOKUP(C792,CodeTable,4,0),0))</f>
        <v/>
      </c>
    </row>
    <row r="793">
      <c r="A793" s="22" t="n"/>
      <c r="B793" s="23" t="n"/>
      <c r="C793" s="24" t="n"/>
      <c r="D793" s="25" t="n"/>
      <c r="E793" s="26" t="n"/>
      <c r="F793" s="26" t="n"/>
      <c r="G793" s="27">
        <f>IF(C793="","",IFERROR(VLOOKUP(C793,CodeTable,3,0),1))</f>
        <v/>
      </c>
      <c r="H793" s="27">
        <f>IF(C793="","",IF(E793&lt;&gt;"",E793,IF(IFERROR(VLOOKUP(C793,CodeTable,5,0)&amp;"","")="","All",VLOOKUP(C793,CodeTable,5,0)&amp;"")))</f>
        <v/>
      </c>
      <c r="I793" s="28">
        <f>IF(OR(A793="",C793=""),"",A793&amp;"|"&amp;B793&amp;"|"&amp;(COUNTIFS(FlDate,A793,FlShift,B793,FlCode,"&lt;&gt;",FlOrder,"&lt;"&amp;J793)+COUNTIFS(A$6:A793,A793,B$6:B793,B793,C$6:C793,"&lt;&gt;",J$6:J793,J793)))</f>
        <v/>
      </c>
      <c r="J793" s="28">
        <f>IF(C793="","",IF(D793="","zz","t"&amp;D793))</f>
        <v/>
      </c>
      <c r="K793" s="28">
        <f>IF(OR(A793="",C793=""),"",IF(IFERROR(INDEX(DayStat,A793-DATE(PlanYear,1,1)+1)&amp;"","")&lt;&gt;"",0,1))</f>
        <v/>
      </c>
      <c r="L793" s="28">
        <f>IF(K793="","",K793*IFERROR(VLOOKUP(C793,CodeTable,4,0),0))</f>
        <v/>
      </c>
    </row>
    <row r="794">
      <c r="A794" s="22" t="n"/>
      <c r="B794" s="23" t="n"/>
      <c r="C794" s="24" t="n"/>
      <c r="D794" s="25" t="n"/>
      <c r="E794" s="26" t="n"/>
      <c r="F794" s="26" t="n"/>
      <c r="G794" s="27">
        <f>IF(C794="","",IFERROR(VLOOKUP(C794,CodeTable,3,0),1))</f>
        <v/>
      </c>
      <c r="H794" s="27">
        <f>IF(C794="","",IF(E794&lt;&gt;"",E794,IF(IFERROR(VLOOKUP(C794,CodeTable,5,0)&amp;"","")="","All",VLOOKUP(C794,CodeTable,5,0)&amp;"")))</f>
        <v/>
      </c>
      <c r="I794" s="28">
        <f>IF(OR(A794="",C794=""),"",A794&amp;"|"&amp;B794&amp;"|"&amp;(COUNTIFS(FlDate,A794,FlShift,B794,FlCode,"&lt;&gt;",FlOrder,"&lt;"&amp;J794)+COUNTIFS(A$6:A794,A794,B$6:B794,B794,C$6:C794,"&lt;&gt;",J$6:J794,J794)))</f>
        <v/>
      </c>
      <c r="J794" s="28">
        <f>IF(C794="","",IF(D794="","zz","t"&amp;D794))</f>
        <v/>
      </c>
      <c r="K794" s="28">
        <f>IF(OR(A794="",C794=""),"",IF(IFERROR(INDEX(DayStat,A794-DATE(PlanYear,1,1)+1)&amp;"","")&lt;&gt;"",0,1))</f>
        <v/>
      </c>
      <c r="L794" s="28">
        <f>IF(K794="","",K794*IFERROR(VLOOKUP(C794,CodeTable,4,0),0))</f>
        <v/>
      </c>
    </row>
    <row r="795">
      <c r="A795" s="22" t="n"/>
      <c r="B795" s="23" t="n"/>
      <c r="C795" s="24" t="n"/>
      <c r="D795" s="25" t="n"/>
      <c r="E795" s="26" t="n"/>
      <c r="F795" s="26" t="n"/>
      <c r="G795" s="27">
        <f>IF(C795="","",IFERROR(VLOOKUP(C795,CodeTable,3,0),1))</f>
        <v/>
      </c>
      <c r="H795" s="27">
        <f>IF(C795="","",IF(E795&lt;&gt;"",E795,IF(IFERROR(VLOOKUP(C795,CodeTable,5,0)&amp;"","")="","All",VLOOKUP(C795,CodeTable,5,0)&amp;"")))</f>
        <v/>
      </c>
      <c r="I795" s="28">
        <f>IF(OR(A795="",C795=""),"",A795&amp;"|"&amp;B795&amp;"|"&amp;(COUNTIFS(FlDate,A795,FlShift,B795,FlCode,"&lt;&gt;",FlOrder,"&lt;"&amp;J795)+COUNTIFS(A$6:A795,A795,B$6:B795,B795,C$6:C795,"&lt;&gt;",J$6:J795,J795)))</f>
        <v/>
      </c>
      <c r="J795" s="28">
        <f>IF(C795="","",IF(D795="","zz","t"&amp;D795))</f>
        <v/>
      </c>
      <c r="K795" s="28">
        <f>IF(OR(A795="",C795=""),"",IF(IFERROR(INDEX(DayStat,A795-DATE(PlanYear,1,1)+1)&amp;"","")&lt;&gt;"",0,1))</f>
        <v/>
      </c>
      <c r="L795" s="28">
        <f>IF(K795="","",K795*IFERROR(VLOOKUP(C795,CodeTable,4,0),0))</f>
        <v/>
      </c>
    </row>
    <row r="796">
      <c r="A796" s="22" t="n"/>
      <c r="B796" s="23" t="n"/>
      <c r="C796" s="24" t="n"/>
      <c r="D796" s="25" t="n"/>
      <c r="E796" s="26" t="n"/>
      <c r="F796" s="26" t="n"/>
      <c r="G796" s="27">
        <f>IF(C796="","",IFERROR(VLOOKUP(C796,CodeTable,3,0),1))</f>
        <v/>
      </c>
      <c r="H796" s="27">
        <f>IF(C796="","",IF(E796&lt;&gt;"",E796,IF(IFERROR(VLOOKUP(C796,CodeTable,5,0)&amp;"","")="","All",VLOOKUP(C796,CodeTable,5,0)&amp;"")))</f>
        <v/>
      </c>
      <c r="I796" s="28">
        <f>IF(OR(A796="",C796=""),"",A796&amp;"|"&amp;B796&amp;"|"&amp;(COUNTIFS(FlDate,A796,FlShift,B796,FlCode,"&lt;&gt;",FlOrder,"&lt;"&amp;J796)+COUNTIFS(A$6:A796,A796,B$6:B796,B796,C$6:C796,"&lt;&gt;",J$6:J796,J796)))</f>
        <v/>
      </c>
      <c r="J796" s="28">
        <f>IF(C796="","",IF(D796="","zz","t"&amp;D796))</f>
        <v/>
      </c>
      <c r="K796" s="28">
        <f>IF(OR(A796="",C796=""),"",IF(IFERROR(INDEX(DayStat,A796-DATE(PlanYear,1,1)+1)&amp;"","")&lt;&gt;"",0,1))</f>
        <v/>
      </c>
      <c r="L796" s="28">
        <f>IF(K796="","",K796*IFERROR(VLOOKUP(C796,CodeTable,4,0),0))</f>
        <v/>
      </c>
    </row>
    <row r="797">
      <c r="A797" s="22" t="n"/>
      <c r="B797" s="23" t="n"/>
      <c r="C797" s="24" t="n"/>
      <c r="D797" s="25" t="n"/>
      <c r="E797" s="26" t="n"/>
      <c r="F797" s="26" t="n"/>
      <c r="G797" s="27">
        <f>IF(C797="","",IFERROR(VLOOKUP(C797,CodeTable,3,0),1))</f>
        <v/>
      </c>
      <c r="H797" s="27">
        <f>IF(C797="","",IF(E797&lt;&gt;"",E797,IF(IFERROR(VLOOKUP(C797,CodeTable,5,0)&amp;"","")="","All",VLOOKUP(C797,CodeTable,5,0)&amp;"")))</f>
        <v/>
      </c>
      <c r="I797" s="28">
        <f>IF(OR(A797="",C797=""),"",A797&amp;"|"&amp;B797&amp;"|"&amp;(COUNTIFS(FlDate,A797,FlShift,B797,FlCode,"&lt;&gt;",FlOrder,"&lt;"&amp;J797)+COUNTIFS(A$6:A797,A797,B$6:B797,B797,C$6:C797,"&lt;&gt;",J$6:J797,J797)))</f>
        <v/>
      </c>
      <c r="J797" s="28">
        <f>IF(C797="","",IF(D797="","zz","t"&amp;D797))</f>
        <v/>
      </c>
      <c r="K797" s="28">
        <f>IF(OR(A797="",C797=""),"",IF(IFERROR(INDEX(DayStat,A797-DATE(PlanYear,1,1)+1)&amp;"","")&lt;&gt;"",0,1))</f>
        <v/>
      </c>
      <c r="L797" s="28">
        <f>IF(K797="","",K797*IFERROR(VLOOKUP(C797,CodeTable,4,0),0))</f>
        <v/>
      </c>
    </row>
    <row r="798">
      <c r="A798" s="22" t="n"/>
      <c r="B798" s="23" t="n"/>
      <c r="C798" s="24" t="n"/>
      <c r="D798" s="25" t="n"/>
      <c r="E798" s="26" t="n"/>
      <c r="F798" s="26" t="n"/>
      <c r="G798" s="27">
        <f>IF(C798="","",IFERROR(VLOOKUP(C798,CodeTable,3,0),1))</f>
        <v/>
      </c>
      <c r="H798" s="27">
        <f>IF(C798="","",IF(E798&lt;&gt;"",E798,IF(IFERROR(VLOOKUP(C798,CodeTable,5,0)&amp;"","")="","All",VLOOKUP(C798,CodeTable,5,0)&amp;"")))</f>
        <v/>
      </c>
      <c r="I798" s="28">
        <f>IF(OR(A798="",C798=""),"",A798&amp;"|"&amp;B798&amp;"|"&amp;(COUNTIFS(FlDate,A798,FlShift,B798,FlCode,"&lt;&gt;",FlOrder,"&lt;"&amp;J798)+COUNTIFS(A$6:A798,A798,B$6:B798,B798,C$6:C798,"&lt;&gt;",J$6:J798,J798)))</f>
        <v/>
      </c>
      <c r="J798" s="28">
        <f>IF(C798="","",IF(D798="","zz","t"&amp;D798))</f>
        <v/>
      </c>
      <c r="K798" s="28">
        <f>IF(OR(A798="",C798=""),"",IF(IFERROR(INDEX(DayStat,A798-DATE(PlanYear,1,1)+1)&amp;"","")&lt;&gt;"",0,1))</f>
        <v/>
      </c>
      <c r="L798" s="28">
        <f>IF(K798="","",K798*IFERROR(VLOOKUP(C798,CodeTable,4,0),0))</f>
        <v/>
      </c>
    </row>
    <row r="799">
      <c r="A799" s="22" t="n"/>
      <c r="B799" s="23" t="n"/>
      <c r="C799" s="24" t="n"/>
      <c r="D799" s="25" t="n"/>
      <c r="E799" s="26" t="n"/>
      <c r="F799" s="26" t="n"/>
      <c r="G799" s="27">
        <f>IF(C799="","",IFERROR(VLOOKUP(C799,CodeTable,3,0),1))</f>
        <v/>
      </c>
      <c r="H799" s="27">
        <f>IF(C799="","",IF(E799&lt;&gt;"",E799,IF(IFERROR(VLOOKUP(C799,CodeTable,5,0)&amp;"","")="","All",VLOOKUP(C799,CodeTable,5,0)&amp;"")))</f>
        <v/>
      </c>
      <c r="I799" s="28">
        <f>IF(OR(A799="",C799=""),"",A799&amp;"|"&amp;B799&amp;"|"&amp;(COUNTIFS(FlDate,A799,FlShift,B799,FlCode,"&lt;&gt;",FlOrder,"&lt;"&amp;J799)+COUNTIFS(A$6:A799,A799,B$6:B799,B799,C$6:C799,"&lt;&gt;",J$6:J799,J799)))</f>
        <v/>
      </c>
      <c r="J799" s="28">
        <f>IF(C799="","",IF(D799="","zz","t"&amp;D799))</f>
        <v/>
      </c>
      <c r="K799" s="28">
        <f>IF(OR(A799="",C799=""),"",IF(IFERROR(INDEX(DayStat,A799-DATE(PlanYear,1,1)+1)&amp;"","")&lt;&gt;"",0,1))</f>
        <v/>
      </c>
      <c r="L799" s="28">
        <f>IF(K799="","",K799*IFERROR(VLOOKUP(C799,CodeTable,4,0),0))</f>
        <v/>
      </c>
    </row>
    <row r="800">
      <c r="A800" s="22" t="n"/>
      <c r="B800" s="23" t="n"/>
      <c r="C800" s="24" t="n"/>
      <c r="D800" s="25" t="n"/>
      <c r="E800" s="26" t="n"/>
      <c r="F800" s="26" t="n"/>
      <c r="G800" s="27">
        <f>IF(C800="","",IFERROR(VLOOKUP(C800,CodeTable,3,0),1))</f>
        <v/>
      </c>
      <c r="H800" s="27">
        <f>IF(C800="","",IF(E800&lt;&gt;"",E800,IF(IFERROR(VLOOKUP(C800,CodeTable,5,0)&amp;"","")="","All",VLOOKUP(C800,CodeTable,5,0)&amp;"")))</f>
        <v/>
      </c>
      <c r="I800" s="28">
        <f>IF(OR(A800="",C800=""),"",A800&amp;"|"&amp;B800&amp;"|"&amp;(COUNTIFS(FlDate,A800,FlShift,B800,FlCode,"&lt;&gt;",FlOrder,"&lt;"&amp;J800)+COUNTIFS(A$6:A800,A800,B$6:B800,B800,C$6:C800,"&lt;&gt;",J$6:J800,J800)))</f>
        <v/>
      </c>
      <c r="J800" s="28">
        <f>IF(C800="","",IF(D800="","zz","t"&amp;D800))</f>
        <v/>
      </c>
      <c r="K800" s="28">
        <f>IF(OR(A800="",C800=""),"",IF(IFERROR(INDEX(DayStat,A800-DATE(PlanYear,1,1)+1)&amp;"","")&lt;&gt;"",0,1))</f>
        <v/>
      </c>
      <c r="L800" s="28">
        <f>IF(K800="","",K800*IFERROR(VLOOKUP(C800,CodeTable,4,0),0))</f>
        <v/>
      </c>
    </row>
    <row r="801">
      <c r="A801" s="22" t="n"/>
      <c r="B801" s="23" t="n"/>
      <c r="C801" s="24" t="n"/>
      <c r="D801" s="25" t="n"/>
      <c r="E801" s="26" t="n"/>
      <c r="F801" s="26" t="n"/>
      <c r="G801" s="27">
        <f>IF(C801="","",IFERROR(VLOOKUP(C801,CodeTable,3,0),1))</f>
        <v/>
      </c>
      <c r="H801" s="27">
        <f>IF(C801="","",IF(E801&lt;&gt;"",E801,IF(IFERROR(VLOOKUP(C801,CodeTable,5,0)&amp;"","")="","All",VLOOKUP(C801,CodeTable,5,0)&amp;"")))</f>
        <v/>
      </c>
      <c r="I801" s="28">
        <f>IF(OR(A801="",C801=""),"",A801&amp;"|"&amp;B801&amp;"|"&amp;(COUNTIFS(FlDate,A801,FlShift,B801,FlCode,"&lt;&gt;",FlOrder,"&lt;"&amp;J801)+COUNTIFS(A$6:A801,A801,B$6:B801,B801,C$6:C801,"&lt;&gt;",J$6:J801,J801)))</f>
        <v/>
      </c>
      <c r="J801" s="28">
        <f>IF(C801="","",IF(D801="","zz","t"&amp;D801))</f>
        <v/>
      </c>
      <c r="K801" s="28">
        <f>IF(OR(A801="",C801=""),"",IF(IFERROR(INDEX(DayStat,A801-DATE(PlanYear,1,1)+1)&amp;"","")&lt;&gt;"",0,1))</f>
        <v/>
      </c>
      <c r="L801" s="28">
        <f>IF(K801="","",K801*IFERROR(VLOOKUP(C801,CodeTable,4,0),0))</f>
        <v/>
      </c>
    </row>
    <row r="802">
      <c r="A802" s="22" t="n"/>
      <c r="B802" s="23" t="n"/>
      <c r="C802" s="24" t="n"/>
      <c r="D802" s="25" t="n"/>
      <c r="E802" s="26" t="n"/>
      <c r="F802" s="26" t="n"/>
      <c r="G802" s="27">
        <f>IF(C802="","",IFERROR(VLOOKUP(C802,CodeTable,3,0),1))</f>
        <v/>
      </c>
      <c r="H802" s="27">
        <f>IF(C802="","",IF(E802&lt;&gt;"",E802,IF(IFERROR(VLOOKUP(C802,CodeTable,5,0)&amp;"","")="","All",VLOOKUP(C802,CodeTable,5,0)&amp;"")))</f>
        <v/>
      </c>
      <c r="I802" s="28">
        <f>IF(OR(A802="",C802=""),"",A802&amp;"|"&amp;B802&amp;"|"&amp;(COUNTIFS(FlDate,A802,FlShift,B802,FlCode,"&lt;&gt;",FlOrder,"&lt;"&amp;J802)+COUNTIFS(A$6:A802,A802,B$6:B802,B802,C$6:C802,"&lt;&gt;",J$6:J802,J802)))</f>
        <v/>
      </c>
      <c r="J802" s="28">
        <f>IF(C802="","",IF(D802="","zz","t"&amp;D802))</f>
        <v/>
      </c>
      <c r="K802" s="28">
        <f>IF(OR(A802="",C802=""),"",IF(IFERROR(INDEX(DayStat,A802-DATE(PlanYear,1,1)+1)&amp;"","")&lt;&gt;"",0,1))</f>
        <v/>
      </c>
      <c r="L802" s="28">
        <f>IF(K802="","",K802*IFERROR(VLOOKUP(C802,CodeTable,4,0),0))</f>
        <v/>
      </c>
    </row>
    <row r="803">
      <c r="A803" s="22" t="n"/>
      <c r="B803" s="23" t="n"/>
      <c r="C803" s="24" t="n"/>
      <c r="D803" s="25" t="n"/>
      <c r="E803" s="26" t="n"/>
      <c r="F803" s="26" t="n"/>
      <c r="G803" s="27">
        <f>IF(C803="","",IFERROR(VLOOKUP(C803,CodeTable,3,0),1))</f>
        <v/>
      </c>
      <c r="H803" s="27">
        <f>IF(C803="","",IF(E803&lt;&gt;"",E803,IF(IFERROR(VLOOKUP(C803,CodeTable,5,0)&amp;"","")="","All",VLOOKUP(C803,CodeTable,5,0)&amp;"")))</f>
        <v/>
      </c>
      <c r="I803" s="28">
        <f>IF(OR(A803="",C803=""),"",A803&amp;"|"&amp;B803&amp;"|"&amp;(COUNTIFS(FlDate,A803,FlShift,B803,FlCode,"&lt;&gt;",FlOrder,"&lt;"&amp;J803)+COUNTIFS(A$6:A803,A803,B$6:B803,B803,C$6:C803,"&lt;&gt;",J$6:J803,J803)))</f>
        <v/>
      </c>
      <c r="J803" s="28">
        <f>IF(C803="","",IF(D803="","zz","t"&amp;D803))</f>
        <v/>
      </c>
      <c r="K803" s="28">
        <f>IF(OR(A803="",C803=""),"",IF(IFERROR(INDEX(DayStat,A803-DATE(PlanYear,1,1)+1)&amp;"","")&lt;&gt;"",0,1))</f>
        <v/>
      </c>
      <c r="L803" s="28">
        <f>IF(K803="","",K803*IFERROR(VLOOKUP(C803,CodeTable,4,0),0))</f>
        <v/>
      </c>
    </row>
    <row r="804">
      <c r="A804" s="22" t="n"/>
      <c r="B804" s="23" t="n"/>
      <c r="C804" s="24" t="n"/>
      <c r="D804" s="25" t="n"/>
      <c r="E804" s="26" t="n"/>
      <c r="F804" s="26" t="n"/>
      <c r="G804" s="27">
        <f>IF(C804="","",IFERROR(VLOOKUP(C804,CodeTable,3,0),1))</f>
        <v/>
      </c>
      <c r="H804" s="27">
        <f>IF(C804="","",IF(E804&lt;&gt;"",E804,IF(IFERROR(VLOOKUP(C804,CodeTable,5,0)&amp;"","")="","All",VLOOKUP(C804,CodeTable,5,0)&amp;"")))</f>
        <v/>
      </c>
      <c r="I804" s="28">
        <f>IF(OR(A804="",C804=""),"",A804&amp;"|"&amp;B804&amp;"|"&amp;(COUNTIFS(FlDate,A804,FlShift,B804,FlCode,"&lt;&gt;",FlOrder,"&lt;"&amp;J804)+COUNTIFS(A$6:A804,A804,B$6:B804,B804,C$6:C804,"&lt;&gt;",J$6:J804,J804)))</f>
        <v/>
      </c>
      <c r="J804" s="28">
        <f>IF(C804="","",IF(D804="","zz","t"&amp;D804))</f>
        <v/>
      </c>
      <c r="K804" s="28">
        <f>IF(OR(A804="",C804=""),"",IF(IFERROR(INDEX(DayStat,A804-DATE(PlanYear,1,1)+1)&amp;"","")&lt;&gt;"",0,1))</f>
        <v/>
      </c>
      <c r="L804" s="28">
        <f>IF(K804="","",K804*IFERROR(VLOOKUP(C804,CodeTable,4,0),0))</f>
        <v/>
      </c>
    </row>
    <row r="805">
      <c r="A805" s="22" t="n"/>
      <c r="B805" s="23" t="n"/>
      <c r="C805" s="24" t="n"/>
      <c r="D805" s="25" t="n"/>
      <c r="E805" s="26" t="n"/>
      <c r="F805" s="26" t="n"/>
      <c r="G805" s="27">
        <f>IF(C805="","",IFERROR(VLOOKUP(C805,CodeTable,3,0),1))</f>
        <v/>
      </c>
      <c r="H805" s="27">
        <f>IF(C805="","",IF(E805&lt;&gt;"",E805,IF(IFERROR(VLOOKUP(C805,CodeTable,5,0)&amp;"","")="","All",VLOOKUP(C805,CodeTable,5,0)&amp;"")))</f>
        <v/>
      </c>
      <c r="I805" s="28">
        <f>IF(OR(A805="",C805=""),"",A805&amp;"|"&amp;B805&amp;"|"&amp;(COUNTIFS(FlDate,A805,FlShift,B805,FlCode,"&lt;&gt;",FlOrder,"&lt;"&amp;J805)+COUNTIFS(A$6:A805,A805,B$6:B805,B805,C$6:C805,"&lt;&gt;",J$6:J805,J805)))</f>
        <v/>
      </c>
      <c r="J805" s="28">
        <f>IF(C805="","",IF(D805="","zz","t"&amp;D805))</f>
        <v/>
      </c>
      <c r="K805" s="28">
        <f>IF(OR(A805="",C805=""),"",IF(IFERROR(INDEX(DayStat,A805-DATE(PlanYear,1,1)+1)&amp;"","")&lt;&gt;"",0,1))</f>
        <v/>
      </c>
      <c r="L805" s="28">
        <f>IF(K805="","",K805*IFERROR(VLOOKUP(C805,CodeTable,4,0),0))</f>
        <v/>
      </c>
    </row>
    <row r="806">
      <c r="A806" s="22" t="n"/>
      <c r="B806" s="23" t="n"/>
      <c r="C806" s="24" t="n"/>
      <c r="D806" s="25" t="n"/>
      <c r="E806" s="26" t="n"/>
      <c r="F806" s="26" t="n"/>
      <c r="G806" s="27">
        <f>IF(C806="","",IFERROR(VLOOKUP(C806,CodeTable,3,0),1))</f>
        <v/>
      </c>
      <c r="H806" s="27">
        <f>IF(C806="","",IF(E806&lt;&gt;"",E806,IF(IFERROR(VLOOKUP(C806,CodeTable,5,0)&amp;"","")="","All",VLOOKUP(C806,CodeTable,5,0)&amp;"")))</f>
        <v/>
      </c>
      <c r="I806" s="28">
        <f>IF(OR(A806="",C806=""),"",A806&amp;"|"&amp;B806&amp;"|"&amp;(COUNTIFS(FlDate,A806,FlShift,B806,FlCode,"&lt;&gt;",FlOrder,"&lt;"&amp;J806)+COUNTIFS(A$6:A806,A806,B$6:B806,B806,C$6:C806,"&lt;&gt;",J$6:J806,J806)))</f>
        <v/>
      </c>
      <c r="J806" s="28">
        <f>IF(C806="","",IF(D806="","zz","t"&amp;D806))</f>
        <v/>
      </c>
      <c r="K806" s="28">
        <f>IF(OR(A806="",C806=""),"",IF(IFERROR(INDEX(DayStat,A806-DATE(PlanYear,1,1)+1)&amp;"","")&lt;&gt;"",0,1))</f>
        <v/>
      </c>
      <c r="L806" s="28">
        <f>IF(K806="","",K806*IFERROR(VLOOKUP(C806,CodeTable,4,0),0))</f>
        <v/>
      </c>
    </row>
    <row r="807">
      <c r="A807" s="22" t="n"/>
      <c r="B807" s="23" t="n"/>
      <c r="C807" s="24" t="n"/>
      <c r="D807" s="25" t="n"/>
      <c r="E807" s="26" t="n"/>
      <c r="F807" s="26" t="n"/>
      <c r="G807" s="27">
        <f>IF(C807="","",IFERROR(VLOOKUP(C807,CodeTable,3,0),1))</f>
        <v/>
      </c>
      <c r="H807" s="27">
        <f>IF(C807="","",IF(E807&lt;&gt;"",E807,IF(IFERROR(VLOOKUP(C807,CodeTable,5,0)&amp;"","")="","All",VLOOKUP(C807,CodeTable,5,0)&amp;"")))</f>
        <v/>
      </c>
      <c r="I807" s="28">
        <f>IF(OR(A807="",C807=""),"",A807&amp;"|"&amp;B807&amp;"|"&amp;(COUNTIFS(FlDate,A807,FlShift,B807,FlCode,"&lt;&gt;",FlOrder,"&lt;"&amp;J807)+COUNTIFS(A$6:A807,A807,B$6:B807,B807,C$6:C807,"&lt;&gt;",J$6:J807,J807)))</f>
        <v/>
      </c>
      <c r="J807" s="28">
        <f>IF(C807="","",IF(D807="","zz","t"&amp;D807))</f>
        <v/>
      </c>
      <c r="K807" s="28">
        <f>IF(OR(A807="",C807=""),"",IF(IFERROR(INDEX(DayStat,A807-DATE(PlanYear,1,1)+1)&amp;"","")&lt;&gt;"",0,1))</f>
        <v/>
      </c>
      <c r="L807" s="28">
        <f>IF(K807="","",K807*IFERROR(VLOOKUP(C807,CodeTable,4,0),0))</f>
        <v/>
      </c>
    </row>
    <row r="808">
      <c r="A808" s="22" t="n"/>
      <c r="B808" s="23" t="n"/>
      <c r="C808" s="24" t="n"/>
      <c r="D808" s="25" t="n"/>
      <c r="E808" s="26" t="n"/>
      <c r="F808" s="26" t="n"/>
      <c r="G808" s="27">
        <f>IF(C808="","",IFERROR(VLOOKUP(C808,CodeTable,3,0),1))</f>
        <v/>
      </c>
      <c r="H808" s="27">
        <f>IF(C808="","",IF(E808&lt;&gt;"",E808,IF(IFERROR(VLOOKUP(C808,CodeTable,5,0)&amp;"","")="","All",VLOOKUP(C808,CodeTable,5,0)&amp;"")))</f>
        <v/>
      </c>
      <c r="I808" s="28">
        <f>IF(OR(A808="",C808=""),"",A808&amp;"|"&amp;B808&amp;"|"&amp;(COUNTIFS(FlDate,A808,FlShift,B808,FlCode,"&lt;&gt;",FlOrder,"&lt;"&amp;J808)+COUNTIFS(A$6:A808,A808,B$6:B808,B808,C$6:C808,"&lt;&gt;",J$6:J808,J808)))</f>
        <v/>
      </c>
      <c r="J808" s="28">
        <f>IF(C808="","",IF(D808="","zz","t"&amp;D808))</f>
        <v/>
      </c>
      <c r="K808" s="28">
        <f>IF(OR(A808="",C808=""),"",IF(IFERROR(INDEX(DayStat,A808-DATE(PlanYear,1,1)+1)&amp;"","")&lt;&gt;"",0,1))</f>
        <v/>
      </c>
      <c r="L808" s="28">
        <f>IF(K808="","",K808*IFERROR(VLOOKUP(C808,CodeTable,4,0),0))</f>
        <v/>
      </c>
    </row>
    <row r="809">
      <c r="A809" s="22" t="n"/>
      <c r="B809" s="23" t="n"/>
      <c r="C809" s="24" t="n"/>
      <c r="D809" s="25" t="n"/>
      <c r="E809" s="26" t="n"/>
      <c r="F809" s="26" t="n"/>
      <c r="G809" s="27">
        <f>IF(C809="","",IFERROR(VLOOKUP(C809,CodeTable,3,0),1))</f>
        <v/>
      </c>
      <c r="H809" s="27">
        <f>IF(C809="","",IF(E809&lt;&gt;"",E809,IF(IFERROR(VLOOKUP(C809,CodeTable,5,0)&amp;"","")="","All",VLOOKUP(C809,CodeTable,5,0)&amp;"")))</f>
        <v/>
      </c>
      <c r="I809" s="28">
        <f>IF(OR(A809="",C809=""),"",A809&amp;"|"&amp;B809&amp;"|"&amp;(COUNTIFS(FlDate,A809,FlShift,B809,FlCode,"&lt;&gt;",FlOrder,"&lt;"&amp;J809)+COUNTIFS(A$6:A809,A809,B$6:B809,B809,C$6:C809,"&lt;&gt;",J$6:J809,J809)))</f>
        <v/>
      </c>
      <c r="J809" s="28">
        <f>IF(C809="","",IF(D809="","zz","t"&amp;D809))</f>
        <v/>
      </c>
      <c r="K809" s="28">
        <f>IF(OR(A809="",C809=""),"",IF(IFERROR(INDEX(DayStat,A809-DATE(PlanYear,1,1)+1)&amp;"","")&lt;&gt;"",0,1))</f>
        <v/>
      </c>
      <c r="L809" s="28">
        <f>IF(K809="","",K809*IFERROR(VLOOKUP(C809,CodeTable,4,0),0))</f>
        <v/>
      </c>
    </row>
    <row r="810">
      <c r="A810" s="22" t="n"/>
      <c r="B810" s="23" t="n"/>
      <c r="C810" s="24" t="n"/>
      <c r="D810" s="25" t="n"/>
      <c r="E810" s="26" t="n"/>
      <c r="F810" s="26" t="n"/>
      <c r="G810" s="27">
        <f>IF(C810="","",IFERROR(VLOOKUP(C810,CodeTable,3,0),1))</f>
        <v/>
      </c>
      <c r="H810" s="27">
        <f>IF(C810="","",IF(E810&lt;&gt;"",E810,IF(IFERROR(VLOOKUP(C810,CodeTable,5,0)&amp;"","")="","All",VLOOKUP(C810,CodeTable,5,0)&amp;"")))</f>
        <v/>
      </c>
      <c r="I810" s="28">
        <f>IF(OR(A810="",C810=""),"",A810&amp;"|"&amp;B810&amp;"|"&amp;(COUNTIFS(FlDate,A810,FlShift,B810,FlCode,"&lt;&gt;",FlOrder,"&lt;"&amp;J810)+COUNTIFS(A$6:A810,A810,B$6:B810,B810,C$6:C810,"&lt;&gt;",J$6:J810,J810)))</f>
        <v/>
      </c>
      <c r="J810" s="28">
        <f>IF(C810="","",IF(D810="","zz","t"&amp;D810))</f>
        <v/>
      </c>
      <c r="K810" s="28">
        <f>IF(OR(A810="",C810=""),"",IF(IFERROR(INDEX(DayStat,A810-DATE(PlanYear,1,1)+1)&amp;"","")&lt;&gt;"",0,1))</f>
        <v/>
      </c>
      <c r="L810" s="28">
        <f>IF(K810="","",K810*IFERROR(VLOOKUP(C810,CodeTable,4,0),0))</f>
        <v/>
      </c>
    </row>
    <row r="811">
      <c r="A811" s="22" t="n"/>
      <c r="B811" s="23" t="n"/>
      <c r="C811" s="24" t="n"/>
      <c r="D811" s="25" t="n"/>
      <c r="E811" s="26" t="n"/>
      <c r="F811" s="26" t="n"/>
      <c r="G811" s="27">
        <f>IF(C811="","",IFERROR(VLOOKUP(C811,CodeTable,3,0),1))</f>
        <v/>
      </c>
      <c r="H811" s="27">
        <f>IF(C811="","",IF(E811&lt;&gt;"",E811,IF(IFERROR(VLOOKUP(C811,CodeTable,5,0)&amp;"","")="","All",VLOOKUP(C811,CodeTable,5,0)&amp;"")))</f>
        <v/>
      </c>
      <c r="I811" s="28">
        <f>IF(OR(A811="",C811=""),"",A811&amp;"|"&amp;B811&amp;"|"&amp;(COUNTIFS(FlDate,A811,FlShift,B811,FlCode,"&lt;&gt;",FlOrder,"&lt;"&amp;J811)+COUNTIFS(A$6:A811,A811,B$6:B811,B811,C$6:C811,"&lt;&gt;",J$6:J811,J811)))</f>
        <v/>
      </c>
      <c r="J811" s="28">
        <f>IF(C811="","",IF(D811="","zz","t"&amp;D811))</f>
        <v/>
      </c>
      <c r="K811" s="28">
        <f>IF(OR(A811="",C811=""),"",IF(IFERROR(INDEX(DayStat,A811-DATE(PlanYear,1,1)+1)&amp;"","")&lt;&gt;"",0,1))</f>
        <v/>
      </c>
      <c r="L811" s="28">
        <f>IF(K811="","",K811*IFERROR(VLOOKUP(C811,CodeTable,4,0),0))</f>
        <v/>
      </c>
    </row>
    <row r="812">
      <c r="A812" s="22" t="n"/>
      <c r="B812" s="23" t="n"/>
      <c r="C812" s="24" t="n"/>
      <c r="D812" s="25" t="n"/>
      <c r="E812" s="26" t="n"/>
      <c r="F812" s="26" t="n"/>
      <c r="G812" s="27">
        <f>IF(C812="","",IFERROR(VLOOKUP(C812,CodeTable,3,0),1))</f>
        <v/>
      </c>
      <c r="H812" s="27">
        <f>IF(C812="","",IF(E812&lt;&gt;"",E812,IF(IFERROR(VLOOKUP(C812,CodeTable,5,0)&amp;"","")="","All",VLOOKUP(C812,CodeTable,5,0)&amp;"")))</f>
        <v/>
      </c>
      <c r="I812" s="28">
        <f>IF(OR(A812="",C812=""),"",A812&amp;"|"&amp;B812&amp;"|"&amp;(COUNTIFS(FlDate,A812,FlShift,B812,FlCode,"&lt;&gt;",FlOrder,"&lt;"&amp;J812)+COUNTIFS(A$6:A812,A812,B$6:B812,B812,C$6:C812,"&lt;&gt;",J$6:J812,J812)))</f>
        <v/>
      </c>
      <c r="J812" s="28">
        <f>IF(C812="","",IF(D812="","zz","t"&amp;D812))</f>
        <v/>
      </c>
      <c r="K812" s="28">
        <f>IF(OR(A812="",C812=""),"",IF(IFERROR(INDEX(DayStat,A812-DATE(PlanYear,1,1)+1)&amp;"","")&lt;&gt;"",0,1))</f>
        <v/>
      </c>
      <c r="L812" s="28">
        <f>IF(K812="","",K812*IFERROR(VLOOKUP(C812,CodeTable,4,0),0))</f>
        <v/>
      </c>
    </row>
    <row r="813">
      <c r="A813" s="22" t="n"/>
      <c r="B813" s="23" t="n"/>
      <c r="C813" s="24" t="n"/>
      <c r="D813" s="25" t="n"/>
      <c r="E813" s="26" t="n"/>
      <c r="F813" s="26" t="n"/>
      <c r="G813" s="27">
        <f>IF(C813="","",IFERROR(VLOOKUP(C813,CodeTable,3,0),1))</f>
        <v/>
      </c>
      <c r="H813" s="27">
        <f>IF(C813="","",IF(E813&lt;&gt;"",E813,IF(IFERROR(VLOOKUP(C813,CodeTable,5,0)&amp;"","")="","All",VLOOKUP(C813,CodeTable,5,0)&amp;"")))</f>
        <v/>
      </c>
      <c r="I813" s="28">
        <f>IF(OR(A813="",C813=""),"",A813&amp;"|"&amp;B813&amp;"|"&amp;(COUNTIFS(FlDate,A813,FlShift,B813,FlCode,"&lt;&gt;",FlOrder,"&lt;"&amp;J813)+COUNTIFS(A$6:A813,A813,B$6:B813,B813,C$6:C813,"&lt;&gt;",J$6:J813,J813)))</f>
        <v/>
      </c>
      <c r="J813" s="28">
        <f>IF(C813="","",IF(D813="","zz","t"&amp;D813))</f>
        <v/>
      </c>
      <c r="K813" s="28">
        <f>IF(OR(A813="",C813=""),"",IF(IFERROR(INDEX(DayStat,A813-DATE(PlanYear,1,1)+1)&amp;"","")&lt;&gt;"",0,1))</f>
        <v/>
      </c>
      <c r="L813" s="28">
        <f>IF(K813="","",K813*IFERROR(VLOOKUP(C813,CodeTable,4,0),0))</f>
        <v/>
      </c>
    </row>
    <row r="814">
      <c r="A814" s="22" t="n"/>
      <c r="B814" s="23" t="n"/>
      <c r="C814" s="24" t="n"/>
      <c r="D814" s="25" t="n"/>
      <c r="E814" s="26" t="n"/>
      <c r="F814" s="26" t="n"/>
      <c r="G814" s="27">
        <f>IF(C814="","",IFERROR(VLOOKUP(C814,CodeTable,3,0),1))</f>
        <v/>
      </c>
      <c r="H814" s="27">
        <f>IF(C814="","",IF(E814&lt;&gt;"",E814,IF(IFERROR(VLOOKUP(C814,CodeTable,5,0)&amp;"","")="","All",VLOOKUP(C814,CodeTable,5,0)&amp;"")))</f>
        <v/>
      </c>
      <c r="I814" s="28">
        <f>IF(OR(A814="",C814=""),"",A814&amp;"|"&amp;B814&amp;"|"&amp;(COUNTIFS(FlDate,A814,FlShift,B814,FlCode,"&lt;&gt;",FlOrder,"&lt;"&amp;J814)+COUNTIFS(A$6:A814,A814,B$6:B814,B814,C$6:C814,"&lt;&gt;",J$6:J814,J814)))</f>
        <v/>
      </c>
      <c r="J814" s="28">
        <f>IF(C814="","",IF(D814="","zz","t"&amp;D814))</f>
        <v/>
      </c>
      <c r="K814" s="28">
        <f>IF(OR(A814="",C814=""),"",IF(IFERROR(INDEX(DayStat,A814-DATE(PlanYear,1,1)+1)&amp;"","")&lt;&gt;"",0,1))</f>
        <v/>
      </c>
      <c r="L814" s="28">
        <f>IF(K814="","",K814*IFERROR(VLOOKUP(C814,CodeTable,4,0),0))</f>
        <v/>
      </c>
    </row>
    <row r="815">
      <c r="A815" s="22" t="n"/>
      <c r="B815" s="23" t="n"/>
      <c r="C815" s="24" t="n"/>
      <c r="D815" s="25" t="n"/>
      <c r="E815" s="26" t="n"/>
      <c r="F815" s="26" t="n"/>
      <c r="G815" s="27">
        <f>IF(C815="","",IFERROR(VLOOKUP(C815,CodeTable,3,0),1))</f>
        <v/>
      </c>
      <c r="H815" s="27">
        <f>IF(C815="","",IF(E815&lt;&gt;"",E815,IF(IFERROR(VLOOKUP(C815,CodeTable,5,0)&amp;"","")="","All",VLOOKUP(C815,CodeTable,5,0)&amp;"")))</f>
        <v/>
      </c>
      <c r="I815" s="28">
        <f>IF(OR(A815="",C815=""),"",A815&amp;"|"&amp;B815&amp;"|"&amp;(COUNTIFS(FlDate,A815,FlShift,B815,FlCode,"&lt;&gt;",FlOrder,"&lt;"&amp;J815)+COUNTIFS(A$6:A815,A815,B$6:B815,B815,C$6:C815,"&lt;&gt;",J$6:J815,J815)))</f>
        <v/>
      </c>
      <c r="J815" s="28">
        <f>IF(C815="","",IF(D815="","zz","t"&amp;D815))</f>
        <v/>
      </c>
      <c r="K815" s="28">
        <f>IF(OR(A815="",C815=""),"",IF(IFERROR(INDEX(DayStat,A815-DATE(PlanYear,1,1)+1)&amp;"","")&lt;&gt;"",0,1))</f>
        <v/>
      </c>
      <c r="L815" s="28">
        <f>IF(K815="","",K815*IFERROR(VLOOKUP(C815,CodeTable,4,0),0))</f>
        <v/>
      </c>
    </row>
    <row r="816">
      <c r="A816" s="22" t="n"/>
      <c r="B816" s="23" t="n"/>
      <c r="C816" s="24" t="n"/>
      <c r="D816" s="25" t="n"/>
      <c r="E816" s="26" t="n"/>
      <c r="F816" s="26" t="n"/>
      <c r="G816" s="27">
        <f>IF(C816="","",IFERROR(VLOOKUP(C816,CodeTable,3,0),1))</f>
        <v/>
      </c>
      <c r="H816" s="27">
        <f>IF(C816="","",IF(E816&lt;&gt;"",E816,IF(IFERROR(VLOOKUP(C816,CodeTable,5,0)&amp;"","")="","All",VLOOKUP(C816,CodeTable,5,0)&amp;"")))</f>
        <v/>
      </c>
      <c r="I816" s="28">
        <f>IF(OR(A816="",C816=""),"",A816&amp;"|"&amp;B816&amp;"|"&amp;(COUNTIFS(FlDate,A816,FlShift,B816,FlCode,"&lt;&gt;",FlOrder,"&lt;"&amp;J816)+COUNTIFS(A$6:A816,A816,B$6:B816,B816,C$6:C816,"&lt;&gt;",J$6:J816,J816)))</f>
        <v/>
      </c>
      <c r="J816" s="28">
        <f>IF(C816="","",IF(D816="","zz","t"&amp;D816))</f>
        <v/>
      </c>
      <c r="K816" s="28">
        <f>IF(OR(A816="",C816=""),"",IF(IFERROR(INDEX(DayStat,A816-DATE(PlanYear,1,1)+1)&amp;"","")&lt;&gt;"",0,1))</f>
        <v/>
      </c>
      <c r="L816" s="28">
        <f>IF(K816="","",K816*IFERROR(VLOOKUP(C816,CodeTable,4,0),0))</f>
        <v/>
      </c>
    </row>
    <row r="817">
      <c r="A817" s="22" t="n"/>
      <c r="B817" s="23" t="n"/>
      <c r="C817" s="24" t="n"/>
      <c r="D817" s="25" t="n"/>
      <c r="E817" s="26" t="n"/>
      <c r="F817" s="26" t="n"/>
      <c r="G817" s="27">
        <f>IF(C817="","",IFERROR(VLOOKUP(C817,CodeTable,3,0),1))</f>
        <v/>
      </c>
      <c r="H817" s="27">
        <f>IF(C817="","",IF(E817&lt;&gt;"",E817,IF(IFERROR(VLOOKUP(C817,CodeTable,5,0)&amp;"","")="","All",VLOOKUP(C817,CodeTable,5,0)&amp;"")))</f>
        <v/>
      </c>
      <c r="I817" s="28">
        <f>IF(OR(A817="",C817=""),"",A817&amp;"|"&amp;B817&amp;"|"&amp;(COUNTIFS(FlDate,A817,FlShift,B817,FlCode,"&lt;&gt;",FlOrder,"&lt;"&amp;J817)+COUNTIFS(A$6:A817,A817,B$6:B817,B817,C$6:C817,"&lt;&gt;",J$6:J817,J817)))</f>
        <v/>
      </c>
      <c r="J817" s="28">
        <f>IF(C817="","",IF(D817="","zz","t"&amp;D817))</f>
        <v/>
      </c>
      <c r="K817" s="28">
        <f>IF(OR(A817="",C817=""),"",IF(IFERROR(INDEX(DayStat,A817-DATE(PlanYear,1,1)+1)&amp;"","")&lt;&gt;"",0,1))</f>
        <v/>
      </c>
      <c r="L817" s="28">
        <f>IF(K817="","",K817*IFERROR(VLOOKUP(C817,CodeTable,4,0),0))</f>
        <v/>
      </c>
    </row>
    <row r="818">
      <c r="A818" s="22" t="n"/>
      <c r="B818" s="23" t="n"/>
      <c r="C818" s="24" t="n"/>
      <c r="D818" s="25" t="n"/>
      <c r="E818" s="26" t="n"/>
      <c r="F818" s="26" t="n"/>
      <c r="G818" s="27">
        <f>IF(C818="","",IFERROR(VLOOKUP(C818,CodeTable,3,0),1))</f>
        <v/>
      </c>
      <c r="H818" s="27">
        <f>IF(C818="","",IF(E818&lt;&gt;"",E818,IF(IFERROR(VLOOKUP(C818,CodeTable,5,0)&amp;"","")="","All",VLOOKUP(C818,CodeTable,5,0)&amp;"")))</f>
        <v/>
      </c>
      <c r="I818" s="28">
        <f>IF(OR(A818="",C818=""),"",A818&amp;"|"&amp;B818&amp;"|"&amp;(COUNTIFS(FlDate,A818,FlShift,B818,FlCode,"&lt;&gt;",FlOrder,"&lt;"&amp;J818)+COUNTIFS(A$6:A818,A818,B$6:B818,B818,C$6:C818,"&lt;&gt;",J$6:J818,J818)))</f>
        <v/>
      </c>
      <c r="J818" s="28">
        <f>IF(C818="","",IF(D818="","zz","t"&amp;D818))</f>
        <v/>
      </c>
      <c r="K818" s="28">
        <f>IF(OR(A818="",C818=""),"",IF(IFERROR(INDEX(DayStat,A818-DATE(PlanYear,1,1)+1)&amp;"","")&lt;&gt;"",0,1))</f>
        <v/>
      </c>
      <c r="L818" s="28">
        <f>IF(K818="","",K818*IFERROR(VLOOKUP(C818,CodeTable,4,0),0))</f>
        <v/>
      </c>
    </row>
    <row r="819">
      <c r="A819" s="22" t="n"/>
      <c r="B819" s="23" t="n"/>
      <c r="C819" s="24" t="n"/>
      <c r="D819" s="25" t="n"/>
      <c r="E819" s="26" t="n"/>
      <c r="F819" s="26" t="n"/>
      <c r="G819" s="27">
        <f>IF(C819="","",IFERROR(VLOOKUP(C819,CodeTable,3,0),1))</f>
        <v/>
      </c>
      <c r="H819" s="27">
        <f>IF(C819="","",IF(E819&lt;&gt;"",E819,IF(IFERROR(VLOOKUP(C819,CodeTable,5,0)&amp;"","")="","All",VLOOKUP(C819,CodeTable,5,0)&amp;"")))</f>
        <v/>
      </c>
      <c r="I819" s="28">
        <f>IF(OR(A819="",C819=""),"",A819&amp;"|"&amp;B819&amp;"|"&amp;(COUNTIFS(FlDate,A819,FlShift,B819,FlCode,"&lt;&gt;",FlOrder,"&lt;"&amp;J819)+COUNTIFS(A$6:A819,A819,B$6:B819,B819,C$6:C819,"&lt;&gt;",J$6:J819,J819)))</f>
        <v/>
      </c>
      <c r="J819" s="28">
        <f>IF(C819="","",IF(D819="","zz","t"&amp;D819))</f>
        <v/>
      </c>
      <c r="K819" s="28">
        <f>IF(OR(A819="",C819=""),"",IF(IFERROR(INDEX(DayStat,A819-DATE(PlanYear,1,1)+1)&amp;"","")&lt;&gt;"",0,1))</f>
        <v/>
      </c>
      <c r="L819" s="28">
        <f>IF(K819="","",K819*IFERROR(VLOOKUP(C819,CodeTable,4,0),0))</f>
        <v/>
      </c>
    </row>
    <row r="820">
      <c r="A820" s="22" t="n"/>
      <c r="B820" s="23" t="n"/>
      <c r="C820" s="24" t="n"/>
      <c r="D820" s="25" t="n"/>
      <c r="E820" s="26" t="n"/>
      <c r="F820" s="26" t="n"/>
      <c r="G820" s="27">
        <f>IF(C820="","",IFERROR(VLOOKUP(C820,CodeTable,3,0),1))</f>
        <v/>
      </c>
      <c r="H820" s="27">
        <f>IF(C820="","",IF(E820&lt;&gt;"",E820,IF(IFERROR(VLOOKUP(C820,CodeTable,5,0)&amp;"","")="","All",VLOOKUP(C820,CodeTable,5,0)&amp;"")))</f>
        <v/>
      </c>
      <c r="I820" s="28">
        <f>IF(OR(A820="",C820=""),"",A820&amp;"|"&amp;B820&amp;"|"&amp;(COUNTIFS(FlDate,A820,FlShift,B820,FlCode,"&lt;&gt;",FlOrder,"&lt;"&amp;J820)+COUNTIFS(A$6:A820,A820,B$6:B820,B820,C$6:C820,"&lt;&gt;",J$6:J820,J820)))</f>
        <v/>
      </c>
      <c r="J820" s="28">
        <f>IF(C820="","",IF(D820="","zz","t"&amp;D820))</f>
        <v/>
      </c>
      <c r="K820" s="28">
        <f>IF(OR(A820="",C820=""),"",IF(IFERROR(INDEX(DayStat,A820-DATE(PlanYear,1,1)+1)&amp;"","")&lt;&gt;"",0,1))</f>
        <v/>
      </c>
      <c r="L820" s="28">
        <f>IF(K820="","",K820*IFERROR(VLOOKUP(C820,CodeTable,4,0),0))</f>
        <v/>
      </c>
    </row>
    <row r="821">
      <c r="A821" s="22" t="n"/>
      <c r="B821" s="23" t="n"/>
      <c r="C821" s="24" t="n"/>
      <c r="D821" s="25" t="n"/>
      <c r="E821" s="26" t="n"/>
      <c r="F821" s="26" t="n"/>
      <c r="G821" s="27">
        <f>IF(C821="","",IFERROR(VLOOKUP(C821,CodeTable,3,0),1))</f>
        <v/>
      </c>
      <c r="H821" s="27">
        <f>IF(C821="","",IF(E821&lt;&gt;"",E821,IF(IFERROR(VLOOKUP(C821,CodeTable,5,0)&amp;"","")="","All",VLOOKUP(C821,CodeTable,5,0)&amp;"")))</f>
        <v/>
      </c>
      <c r="I821" s="28">
        <f>IF(OR(A821="",C821=""),"",A821&amp;"|"&amp;B821&amp;"|"&amp;(COUNTIFS(FlDate,A821,FlShift,B821,FlCode,"&lt;&gt;",FlOrder,"&lt;"&amp;J821)+COUNTIFS(A$6:A821,A821,B$6:B821,B821,C$6:C821,"&lt;&gt;",J$6:J821,J821)))</f>
        <v/>
      </c>
      <c r="J821" s="28">
        <f>IF(C821="","",IF(D821="","zz","t"&amp;D821))</f>
        <v/>
      </c>
      <c r="K821" s="28">
        <f>IF(OR(A821="",C821=""),"",IF(IFERROR(INDEX(DayStat,A821-DATE(PlanYear,1,1)+1)&amp;"","")&lt;&gt;"",0,1))</f>
        <v/>
      </c>
      <c r="L821" s="28">
        <f>IF(K821="","",K821*IFERROR(VLOOKUP(C821,CodeTable,4,0),0))</f>
        <v/>
      </c>
    </row>
    <row r="822">
      <c r="A822" s="22" t="n"/>
      <c r="B822" s="23" t="n"/>
      <c r="C822" s="24" t="n"/>
      <c r="D822" s="25" t="n"/>
      <c r="E822" s="26" t="n"/>
      <c r="F822" s="26" t="n"/>
      <c r="G822" s="27">
        <f>IF(C822="","",IFERROR(VLOOKUP(C822,CodeTable,3,0),1))</f>
        <v/>
      </c>
      <c r="H822" s="27">
        <f>IF(C822="","",IF(E822&lt;&gt;"",E822,IF(IFERROR(VLOOKUP(C822,CodeTable,5,0)&amp;"","")="","All",VLOOKUP(C822,CodeTable,5,0)&amp;"")))</f>
        <v/>
      </c>
      <c r="I822" s="28">
        <f>IF(OR(A822="",C822=""),"",A822&amp;"|"&amp;B822&amp;"|"&amp;(COUNTIFS(FlDate,A822,FlShift,B822,FlCode,"&lt;&gt;",FlOrder,"&lt;"&amp;J822)+COUNTIFS(A$6:A822,A822,B$6:B822,B822,C$6:C822,"&lt;&gt;",J$6:J822,J822)))</f>
        <v/>
      </c>
      <c r="J822" s="28">
        <f>IF(C822="","",IF(D822="","zz","t"&amp;D822))</f>
        <v/>
      </c>
      <c r="K822" s="28">
        <f>IF(OR(A822="",C822=""),"",IF(IFERROR(INDEX(DayStat,A822-DATE(PlanYear,1,1)+1)&amp;"","")&lt;&gt;"",0,1))</f>
        <v/>
      </c>
      <c r="L822" s="28">
        <f>IF(K822="","",K822*IFERROR(VLOOKUP(C822,CodeTable,4,0),0))</f>
        <v/>
      </c>
    </row>
    <row r="823">
      <c r="A823" s="22" t="n"/>
      <c r="B823" s="23" t="n"/>
      <c r="C823" s="24" t="n"/>
      <c r="D823" s="25" t="n"/>
      <c r="E823" s="26" t="n"/>
      <c r="F823" s="26" t="n"/>
      <c r="G823" s="27">
        <f>IF(C823="","",IFERROR(VLOOKUP(C823,CodeTable,3,0),1))</f>
        <v/>
      </c>
      <c r="H823" s="27">
        <f>IF(C823="","",IF(E823&lt;&gt;"",E823,IF(IFERROR(VLOOKUP(C823,CodeTable,5,0)&amp;"","")="","All",VLOOKUP(C823,CodeTable,5,0)&amp;"")))</f>
        <v/>
      </c>
      <c r="I823" s="28">
        <f>IF(OR(A823="",C823=""),"",A823&amp;"|"&amp;B823&amp;"|"&amp;(COUNTIFS(FlDate,A823,FlShift,B823,FlCode,"&lt;&gt;",FlOrder,"&lt;"&amp;J823)+COUNTIFS(A$6:A823,A823,B$6:B823,B823,C$6:C823,"&lt;&gt;",J$6:J823,J823)))</f>
        <v/>
      </c>
      <c r="J823" s="28">
        <f>IF(C823="","",IF(D823="","zz","t"&amp;D823))</f>
        <v/>
      </c>
      <c r="K823" s="28">
        <f>IF(OR(A823="",C823=""),"",IF(IFERROR(INDEX(DayStat,A823-DATE(PlanYear,1,1)+1)&amp;"","")&lt;&gt;"",0,1))</f>
        <v/>
      </c>
      <c r="L823" s="28">
        <f>IF(K823="","",K823*IFERROR(VLOOKUP(C823,CodeTable,4,0),0))</f>
        <v/>
      </c>
    </row>
    <row r="824">
      <c r="A824" s="22" t="n"/>
      <c r="B824" s="23" t="n"/>
      <c r="C824" s="24" t="n"/>
      <c r="D824" s="25" t="n"/>
      <c r="E824" s="26" t="n"/>
      <c r="F824" s="26" t="n"/>
      <c r="G824" s="27">
        <f>IF(C824="","",IFERROR(VLOOKUP(C824,CodeTable,3,0),1))</f>
        <v/>
      </c>
      <c r="H824" s="27">
        <f>IF(C824="","",IF(E824&lt;&gt;"",E824,IF(IFERROR(VLOOKUP(C824,CodeTable,5,0)&amp;"","")="","All",VLOOKUP(C824,CodeTable,5,0)&amp;"")))</f>
        <v/>
      </c>
      <c r="I824" s="28">
        <f>IF(OR(A824="",C824=""),"",A824&amp;"|"&amp;B824&amp;"|"&amp;(COUNTIFS(FlDate,A824,FlShift,B824,FlCode,"&lt;&gt;",FlOrder,"&lt;"&amp;J824)+COUNTIFS(A$6:A824,A824,B$6:B824,B824,C$6:C824,"&lt;&gt;",J$6:J824,J824)))</f>
        <v/>
      </c>
      <c r="J824" s="28">
        <f>IF(C824="","",IF(D824="","zz","t"&amp;D824))</f>
        <v/>
      </c>
      <c r="K824" s="28">
        <f>IF(OR(A824="",C824=""),"",IF(IFERROR(INDEX(DayStat,A824-DATE(PlanYear,1,1)+1)&amp;"","")&lt;&gt;"",0,1))</f>
        <v/>
      </c>
      <c r="L824" s="28">
        <f>IF(K824="","",K824*IFERROR(VLOOKUP(C824,CodeTable,4,0),0))</f>
        <v/>
      </c>
    </row>
    <row r="825">
      <c r="A825" s="22" t="n"/>
      <c r="B825" s="23" t="n"/>
      <c r="C825" s="24" t="n"/>
      <c r="D825" s="25" t="n"/>
      <c r="E825" s="26" t="n"/>
      <c r="F825" s="26" t="n"/>
      <c r="G825" s="27">
        <f>IF(C825="","",IFERROR(VLOOKUP(C825,CodeTable,3,0),1))</f>
        <v/>
      </c>
      <c r="H825" s="27">
        <f>IF(C825="","",IF(E825&lt;&gt;"",E825,IF(IFERROR(VLOOKUP(C825,CodeTable,5,0)&amp;"","")="","All",VLOOKUP(C825,CodeTable,5,0)&amp;"")))</f>
        <v/>
      </c>
      <c r="I825" s="28">
        <f>IF(OR(A825="",C825=""),"",A825&amp;"|"&amp;B825&amp;"|"&amp;(COUNTIFS(FlDate,A825,FlShift,B825,FlCode,"&lt;&gt;",FlOrder,"&lt;"&amp;J825)+COUNTIFS(A$6:A825,A825,B$6:B825,B825,C$6:C825,"&lt;&gt;",J$6:J825,J825)))</f>
        <v/>
      </c>
      <c r="J825" s="28">
        <f>IF(C825="","",IF(D825="","zz","t"&amp;D825))</f>
        <v/>
      </c>
      <c r="K825" s="28">
        <f>IF(OR(A825="",C825=""),"",IF(IFERROR(INDEX(DayStat,A825-DATE(PlanYear,1,1)+1)&amp;"","")&lt;&gt;"",0,1))</f>
        <v/>
      </c>
      <c r="L825" s="28">
        <f>IF(K825="","",K825*IFERROR(VLOOKUP(C825,CodeTable,4,0),0))</f>
        <v/>
      </c>
    </row>
    <row r="826">
      <c r="A826" s="22" t="n"/>
      <c r="B826" s="23" t="n"/>
      <c r="C826" s="24" t="n"/>
      <c r="D826" s="25" t="n"/>
      <c r="E826" s="26" t="n"/>
      <c r="F826" s="26" t="n"/>
      <c r="G826" s="27">
        <f>IF(C826="","",IFERROR(VLOOKUP(C826,CodeTable,3,0),1))</f>
        <v/>
      </c>
      <c r="H826" s="27">
        <f>IF(C826="","",IF(E826&lt;&gt;"",E826,IF(IFERROR(VLOOKUP(C826,CodeTable,5,0)&amp;"","")="","All",VLOOKUP(C826,CodeTable,5,0)&amp;"")))</f>
        <v/>
      </c>
      <c r="I826" s="28">
        <f>IF(OR(A826="",C826=""),"",A826&amp;"|"&amp;B826&amp;"|"&amp;(COUNTIFS(FlDate,A826,FlShift,B826,FlCode,"&lt;&gt;",FlOrder,"&lt;"&amp;J826)+COUNTIFS(A$6:A826,A826,B$6:B826,B826,C$6:C826,"&lt;&gt;",J$6:J826,J826)))</f>
        <v/>
      </c>
      <c r="J826" s="28">
        <f>IF(C826="","",IF(D826="","zz","t"&amp;D826))</f>
        <v/>
      </c>
      <c r="K826" s="28">
        <f>IF(OR(A826="",C826=""),"",IF(IFERROR(INDEX(DayStat,A826-DATE(PlanYear,1,1)+1)&amp;"","")&lt;&gt;"",0,1))</f>
        <v/>
      </c>
      <c r="L826" s="28">
        <f>IF(K826="","",K826*IFERROR(VLOOKUP(C826,CodeTable,4,0),0))</f>
        <v/>
      </c>
    </row>
    <row r="827">
      <c r="A827" s="22" t="n"/>
      <c r="B827" s="23" t="n"/>
      <c r="C827" s="24" t="n"/>
      <c r="D827" s="25" t="n"/>
      <c r="E827" s="26" t="n"/>
      <c r="F827" s="26" t="n"/>
      <c r="G827" s="27">
        <f>IF(C827="","",IFERROR(VLOOKUP(C827,CodeTable,3,0),1))</f>
        <v/>
      </c>
      <c r="H827" s="27">
        <f>IF(C827="","",IF(E827&lt;&gt;"",E827,IF(IFERROR(VLOOKUP(C827,CodeTable,5,0)&amp;"","")="","All",VLOOKUP(C827,CodeTable,5,0)&amp;"")))</f>
        <v/>
      </c>
      <c r="I827" s="28">
        <f>IF(OR(A827="",C827=""),"",A827&amp;"|"&amp;B827&amp;"|"&amp;(COUNTIFS(FlDate,A827,FlShift,B827,FlCode,"&lt;&gt;",FlOrder,"&lt;"&amp;J827)+COUNTIFS(A$6:A827,A827,B$6:B827,B827,C$6:C827,"&lt;&gt;",J$6:J827,J827)))</f>
        <v/>
      </c>
      <c r="J827" s="28">
        <f>IF(C827="","",IF(D827="","zz","t"&amp;D827))</f>
        <v/>
      </c>
      <c r="K827" s="28">
        <f>IF(OR(A827="",C827=""),"",IF(IFERROR(INDEX(DayStat,A827-DATE(PlanYear,1,1)+1)&amp;"","")&lt;&gt;"",0,1))</f>
        <v/>
      </c>
      <c r="L827" s="28">
        <f>IF(K827="","",K827*IFERROR(VLOOKUP(C827,CodeTable,4,0),0))</f>
        <v/>
      </c>
    </row>
    <row r="828">
      <c r="A828" s="22" t="n"/>
      <c r="B828" s="23" t="n"/>
      <c r="C828" s="24" t="n"/>
      <c r="D828" s="25" t="n"/>
      <c r="E828" s="26" t="n"/>
      <c r="F828" s="26" t="n"/>
      <c r="G828" s="27">
        <f>IF(C828="","",IFERROR(VLOOKUP(C828,CodeTable,3,0),1))</f>
        <v/>
      </c>
      <c r="H828" s="27">
        <f>IF(C828="","",IF(E828&lt;&gt;"",E828,IF(IFERROR(VLOOKUP(C828,CodeTable,5,0)&amp;"","")="","All",VLOOKUP(C828,CodeTable,5,0)&amp;"")))</f>
        <v/>
      </c>
      <c r="I828" s="28">
        <f>IF(OR(A828="",C828=""),"",A828&amp;"|"&amp;B828&amp;"|"&amp;(COUNTIFS(FlDate,A828,FlShift,B828,FlCode,"&lt;&gt;",FlOrder,"&lt;"&amp;J828)+COUNTIFS(A$6:A828,A828,B$6:B828,B828,C$6:C828,"&lt;&gt;",J$6:J828,J828)))</f>
        <v/>
      </c>
      <c r="J828" s="28">
        <f>IF(C828="","",IF(D828="","zz","t"&amp;D828))</f>
        <v/>
      </c>
      <c r="K828" s="28">
        <f>IF(OR(A828="",C828=""),"",IF(IFERROR(INDEX(DayStat,A828-DATE(PlanYear,1,1)+1)&amp;"","")&lt;&gt;"",0,1))</f>
        <v/>
      </c>
      <c r="L828" s="28">
        <f>IF(K828="","",K828*IFERROR(VLOOKUP(C828,CodeTable,4,0),0))</f>
        <v/>
      </c>
    </row>
    <row r="829">
      <c r="A829" s="22" t="n"/>
      <c r="B829" s="23" t="n"/>
      <c r="C829" s="24" t="n"/>
      <c r="D829" s="25" t="n"/>
      <c r="E829" s="26" t="n"/>
      <c r="F829" s="26" t="n"/>
      <c r="G829" s="27">
        <f>IF(C829="","",IFERROR(VLOOKUP(C829,CodeTable,3,0),1))</f>
        <v/>
      </c>
      <c r="H829" s="27">
        <f>IF(C829="","",IF(E829&lt;&gt;"",E829,IF(IFERROR(VLOOKUP(C829,CodeTable,5,0)&amp;"","")="","All",VLOOKUP(C829,CodeTable,5,0)&amp;"")))</f>
        <v/>
      </c>
      <c r="I829" s="28">
        <f>IF(OR(A829="",C829=""),"",A829&amp;"|"&amp;B829&amp;"|"&amp;(COUNTIFS(FlDate,A829,FlShift,B829,FlCode,"&lt;&gt;",FlOrder,"&lt;"&amp;J829)+COUNTIFS(A$6:A829,A829,B$6:B829,B829,C$6:C829,"&lt;&gt;",J$6:J829,J829)))</f>
        <v/>
      </c>
      <c r="J829" s="28">
        <f>IF(C829="","",IF(D829="","zz","t"&amp;D829))</f>
        <v/>
      </c>
      <c r="K829" s="28">
        <f>IF(OR(A829="",C829=""),"",IF(IFERROR(INDEX(DayStat,A829-DATE(PlanYear,1,1)+1)&amp;"","")&lt;&gt;"",0,1))</f>
        <v/>
      </c>
      <c r="L829" s="28">
        <f>IF(K829="","",K829*IFERROR(VLOOKUP(C829,CodeTable,4,0),0))</f>
        <v/>
      </c>
    </row>
    <row r="830">
      <c r="A830" s="22" t="n"/>
      <c r="B830" s="23" t="n"/>
      <c r="C830" s="24" t="n"/>
      <c r="D830" s="25" t="n"/>
      <c r="E830" s="26" t="n"/>
      <c r="F830" s="26" t="n"/>
      <c r="G830" s="27">
        <f>IF(C830="","",IFERROR(VLOOKUP(C830,CodeTable,3,0),1))</f>
        <v/>
      </c>
      <c r="H830" s="27">
        <f>IF(C830="","",IF(E830&lt;&gt;"",E830,IF(IFERROR(VLOOKUP(C830,CodeTable,5,0)&amp;"","")="","All",VLOOKUP(C830,CodeTable,5,0)&amp;"")))</f>
        <v/>
      </c>
      <c r="I830" s="28">
        <f>IF(OR(A830="",C830=""),"",A830&amp;"|"&amp;B830&amp;"|"&amp;(COUNTIFS(FlDate,A830,FlShift,B830,FlCode,"&lt;&gt;",FlOrder,"&lt;"&amp;J830)+COUNTIFS(A$6:A830,A830,B$6:B830,B830,C$6:C830,"&lt;&gt;",J$6:J830,J830)))</f>
        <v/>
      </c>
      <c r="J830" s="28">
        <f>IF(C830="","",IF(D830="","zz","t"&amp;D830))</f>
        <v/>
      </c>
      <c r="K830" s="28">
        <f>IF(OR(A830="",C830=""),"",IF(IFERROR(INDEX(DayStat,A830-DATE(PlanYear,1,1)+1)&amp;"","")&lt;&gt;"",0,1))</f>
        <v/>
      </c>
      <c r="L830" s="28">
        <f>IF(K830="","",K830*IFERROR(VLOOKUP(C830,CodeTable,4,0),0))</f>
        <v/>
      </c>
    </row>
    <row r="831">
      <c r="A831" s="22" t="n"/>
      <c r="B831" s="23" t="n"/>
      <c r="C831" s="24" t="n"/>
      <c r="D831" s="25" t="n"/>
      <c r="E831" s="26" t="n"/>
      <c r="F831" s="26" t="n"/>
      <c r="G831" s="27">
        <f>IF(C831="","",IFERROR(VLOOKUP(C831,CodeTable,3,0),1))</f>
        <v/>
      </c>
      <c r="H831" s="27">
        <f>IF(C831="","",IF(E831&lt;&gt;"",E831,IF(IFERROR(VLOOKUP(C831,CodeTable,5,0)&amp;"","")="","All",VLOOKUP(C831,CodeTable,5,0)&amp;"")))</f>
        <v/>
      </c>
      <c r="I831" s="28">
        <f>IF(OR(A831="",C831=""),"",A831&amp;"|"&amp;B831&amp;"|"&amp;(COUNTIFS(FlDate,A831,FlShift,B831,FlCode,"&lt;&gt;",FlOrder,"&lt;"&amp;J831)+COUNTIFS(A$6:A831,A831,B$6:B831,B831,C$6:C831,"&lt;&gt;",J$6:J831,J831)))</f>
        <v/>
      </c>
      <c r="J831" s="28">
        <f>IF(C831="","",IF(D831="","zz","t"&amp;D831))</f>
        <v/>
      </c>
      <c r="K831" s="28">
        <f>IF(OR(A831="",C831=""),"",IF(IFERROR(INDEX(DayStat,A831-DATE(PlanYear,1,1)+1)&amp;"","")&lt;&gt;"",0,1))</f>
        <v/>
      </c>
      <c r="L831" s="28">
        <f>IF(K831="","",K831*IFERROR(VLOOKUP(C831,CodeTable,4,0),0))</f>
        <v/>
      </c>
    </row>
    <row r="832">
      <c r="A832" s="22" t="n"/>
      <c r="B832" s="23" t="n"/>
      <c r="C832" s="24" t="n"/>
      <c r="D832" s="25" t="n"/>
      <c r="E832" s="26" t="n"/>
      <c r="F832" s="26" t="n"/>
      <c r="G832" s="27">
        <f>IF(C832="","",IFERROR(VLOOKUP(C832,CodeTable,3,0),1))</f>
        <v/>
      </c>
      <c r="H832" s="27">
        <f>IF(C832="","",IF(E832&lt;&gt;"",E832,IF(IFERROR(VLOOKUP(C832,CodeTable,5,0)&amp;"","")="","All",VLOOKUP(C832,CodeTable,5,0)&amp;"")))</f>
        <v/>
      </c>
      <c r="I832" s="28">
        <f>IF(OR(A832="",C832=""),"",A832&amp;"|"&amp;B832&amp;"|"&amp;(COUNTIFS(FlDate,A832,FlShift,B832,FlCode,"&lt;&gt;",FlOrder,"&lt;"&amp;J832)+COUNTIFS(A$6:A832,A832,B$6:B832,B832,C$6:C832,"&lt;&gt;",J$6:J832,J832)))</f>
        <v/>
      </c>
      <c r="J832" s="28">
        <f>IF(C832="","",IF(D832="","zz","t"&amp;D832))</f>
        <v/>
      </c>
      <c r="K832" s="28">
        <f>IF(OR(A832="",C832=""),"",IF(IFERROR(INDEX(DayStat,A832-DATE(PlanYear,1,1)+1)&amp;"","")&lt;&gt;"",0,1))</f>
        <v/>
      </c>
      <c r="L832" s="28">
        <f>IF(K832="","",K832*IFERROR(VLOOKUP(C832,CodeTable,4,0),0))</f>
        <v/>
      </c>
    </row>
    <row r="833">
      <c r="A833" s="22" t="n"/>
      <c r="B833" s="23" t="n"/>
      <c r="C833" s="24" t="n"/>
      <c r="D833" s="25" t="n"/>
      <c r="E833" s="26" t="n"/>
      <c r="F833" s="26" t="n"/>
      <c r="G833" s="27">
        <f>IF(C833="","",IFERROR(VLOOKUP(C833,CodeTable,3,0),1))</f>
        <v/>
      </c>
      <c r="H833" s="27">
        <f>IF(C833="","",IF(E833&lt;&gt;"",E833,IF(IFERROR(VLOOKUP(C833,CodeTable,5,0)&amp;"","")="","All",VLOOKUP(C833,CodeTable,5,0)&amp;"")))</f>
        <v/>
      </c>
      <c r="I833" s="28">
        <f>IF(OR(A833="",C833=""),"",A833&amp;"|"&amp;B833&amp;"|"&amp;(COUNTIFS(FlDate,A833,FlShift,B833,FlCode,"&lt;&gt;",FlOrder,"&lt;"&amp;J833)+COUNTIFS(A$6:A833,A833,B$6:B833,B833,C$6:C833,"&lt;&gt;",J$6:J833,J833)))</f>
        <v/>
      </c>
      <c r="J833" s="28">
        <f>IF(C833="","",IF(D833="","zz","t"&amp;D833))</f>
        <v/>
      </c>
      <c r="K833" s="28">
        <f>IF(OR(A833="",C833=""),"",IF(IFERROR(INDEX(DayStat,A833-DATE(PlanYear,1,1)+1)&amp;"","")&lt;&gt;"",0,1))</f>
        <v/>
      </c>
      <c r="L833" s="28">
        <f>IF(K833="","",K833*IFERROR(VLOOKUP(C833,CodeTable,4,0),0))</f>
        <v/>
      </c>
    </row>
    <row r="834">
      <c r="A834" s="22" t="n"/>
      <c r="B834" s="23" t="n"/>
      <c r="C834" s="24" t="n"/>
      <c r="D834" s="25" t="n"/>
      <c r="E834" s="26" t="n"/>
      <c r="F834" s="26" t="n"/>
      <c r="G834" s="27">
        <f>IF(C834="","",IFERROR(VLOOKUP(C834,CodeTable,3,0),1))</f>
        <v/>
      </c>
      <c r="H834" s="27">
        <f>IF(C834="","",IF(E834&lt;&gt;"",E834,IF(IFERROR(VLOOKUP(C834,CodeTable,5,0)&amp;"","")="","All",VLOOKUP(C834,CodeTable,5,0)&amp;"")))</f>
        <v/>
      </c>
      <c r="I834" s="28">
        <f>IF(OR(A834="",C834=""),"",A834&amp;"|"&amp;B834&amp;"|"&amp;(COUNTIFS(FlDate,A834,FlShift,B834,FlCode,"&lt;&gt;",FlOrder,"&lt;"&amp;J834)+COUNTIFS(A$6:A834,A834,B$6:B834,B834,C$6:C834,"&lt;&gt;",J$6:J834,J834)))</f>
        <v/>
      </c>
      <c r="J834" s="28">
        <f>IF(C834="","",IF(D834="","zz","t"&amp;D834))</f>
        <v/>
      </c>
      <c r="K834" s="28">
        <f>IF(OR(A834="",C834=""),"",IF(IFERROR(INDEX(DayStat,A834-DATE(PlanYear,1,1)+1)&amp;"","")&lt;&gt;"",0,1))</f>
        <v/>
      </c>
      <c r="L834" s="28">
        <f>IF(K834="","",K834*IFERROR(VLOOKUP(C834,CodeTable,4,0),0))</f>
        <v/>
      </c>
    </row>
    <row r="835">
      <c r="A835" s="22" t="n"/>
      <c r="B835" s="23" t="n"/>
      <c r="C835" s="24" t="n"/>
      <c r="D835" s="25" t="n"/>
      <c r="E835" s="26" t="n"/>
      <c r="F835" s="26" t="n"/>
      <c r="G835" s="27">
        <f>IF(C835="","",IFERROR(VLOOKUP(C835,CodeTable,3,0),1))</f>
        <v/>
      </c>
      <c r="H835" s="27">
        <f>IF(C835="","",IF(E835&lt;&gt;"",E835,IF(IFERROR(VLOOKUP(C835,CodeTable,5,0)&amp;"","")="","All",VLOOKUP(C835,CodeTable,5,0)&amp;"")))</f>
        <v/>
      </c>
      <c r="I835" s="28">
        <f>IF(OR(A835="",C835=""),"",A835&amp;"|"&amp;B835&amp;"|"&amp;(COUNTIFS(FlDate,A835,FlShift,B835,FlCode,"&lt;&gt;",FlOrder,"&lt;"&amp;J835)+COUNTIFS(A$6:A835,A835,B$6:B835,B835,C$6:C835,"&lt;&gt;",J$6:J835,J835)))</f>
        <v/>
      </c>
      <c r="J835" s="28">
        <f>IF(C835="","",IF(D835="","zz","t"&amp;D835))</f>
        <v/>
      </c>
      <c r="K835" s="28">
        <f>IF(OR(A835="",C835=""),"",IF(IFERROR(INDEX(DayStat,A835-DATE(PlanYear,1,1)+1)&amp;"","")&lt;&gt;"",0,1))</f>
        <v/>
      </c>
      <c r="L835" s="28">
        <f>IF(K835="","",K835*IFERROR(VLOOKUP(C835,CodeTable,4,0),0))</f>
        <v/>
      </c>
    </row>
    <row r="836">
      <c r="A836" s="22" t="n"/>
      <c r="B836" s="23" t="n"/>
      <c r="C836" s="24" t="n"/>
      <c r="D836" s="25" t="n"/>
      <c r="E836" s="26" t="n"/>
      <c r="F836" s="26" t="n"/>
      <c r="G836" s="27">
        <f>IF(C836="","",IFERROR(VLOOKUP(C836,CodeTable,3,0),1))</f>
        <v/>
      </c>
      <c r="H836" s="27">
        <f>IF(C836="","",IF(E836&lt;&gt;"",E836,IF(IFERROR(VLOOKUP(C836,CodeTable,5,0)&amp;"","")="","All",VLOOKUP(C836,CodeTable,5,0)&amp;"")))</f>
        <v/>
      </c>
      <c r="I836" s="28">
        <f>IF(OR(A836="",C836=""),"",A836&amp;"|"&amp;B836&amp;"|"&amp;(COUNTIFS(FlDate,A836,FlShift,B836,FlCode,"&lt;&gt;",FlOrder,"&lt;"&amp;J836)+COUNTIFS(A$6:A836,A836,B$6:B836,B836,C$6:C836,"&lt;&gt;",J$6:J836,J836)))</f>
        <v/>
      </c>
      <c r="J836" s="28">
        <f>IF(C836="","",IF(D836="","zz","t"&amp;D836))</f>
        <v/>
      </c>
      <c r="K836" s="28">
        <f>IF(OR(A836="",C836=""),"",IF(IFERROR(INDEX(DayStat,A836-DATE(PlanYear,1,1)+1)&amp;"","")&lt;&gt;"",0,1))</f>
        <v/>
      </c>
      <c r="L836" s="28">
        <f>IF(K836="","",K836*IFERROR(VLOOKUP(C836,CodeTable,4,0),0))</f>
        <v/>
      </c>
    </row>
    <row r="837">
      <c r="A837" s="22" t="n"/>
      <c r="B837" s="23" t="n"/>
      <c r="C837" s="24" t="n"/>
      <c r="D837" s="25" t="n"/>
      <c r="E837" s="26" t="n"/>
      <c r="F837" s="26" t="n"/>
      <c r="G837" s="27">
        <f>IF(C837="","",IFERROR(VLOOKUP(C837,CodeTable,3,0),1))</f>
        <v/>
      </c>
      <c r="H837" s="27">
        <f>IF(C837="","",IF(E837&lt;&gt;"",E837,IF(IFERROR(VLOOKUP(C837,CodeTable,5,0)&amp;"","")="","All",VLOOKUP(C837,CodeTable,5,0)&amp;"")))</f>
        <v/>
      </c>
      <c r="I837" s="28">
        <f>IF(OR(A837="",C837=""),"",A837&amp;"|"&amp;B837&amp;"|"&amp;(COUNTIFS(FlDate,A837,FlShift,B837,FlCode,"&lt;&gt;",FlOrder,"&lt;"&amp;J837)+COUNTIFS(A$6:A837,A837,B$6:B837,B837,C$6:C837,"&lt;&gt;",J$6:J837,J837)))</f>
        <v/>
      </c>
      <c r="J837" s="28">
        <f>IF(C837="","",IF(D837="","zz","t"&amp;D837))</f>
        <v/>
      </c>
      <c r="K837" s="28">
        <f>IF(OR(A837="",C837=""),"",IF(IFERROR(INDEX(DayStat,A837-DATE(PlanYear,1,1)+1)&amp;"","")&lt;&gt;"",0,1))</f>
        <v/>
      </c>
      <c r="L837" s="28">
        <f>IF(K837="","",K837*IFERROR(VLOOKUP(C837,CodeTable,4,0),0))</f>
        <v/>
      </c>
    </row>
    <row r="838">
      <c r="A838" s="22" t="n"/>
      <c r="B838" s="23" t="n"/>
      <c r="C838" s="24" t="n"/>
      <c r="D838" s="25" t="n"/>
      <c r="E838" s="26" t="n"/>
      <c r="F838" s="26" t="n"/>
      <c r="G838" s="27">
        <f>IF(C838="","",IFERROR(VLOOKUP(C838,CodeTable,3,0),1))</f>
        <v/>
      </c>
      <c r="H838" s="27">
        <f>IF(C838="","",IF(E838&lt;&gt;"",E838,IF(IFERROR(VLOOKUP(C838,CodeTable,5,0)&amp;"","")="","All",VLOOKUP(C838,CodeTable,5,0)&amp;"")))</f>
        <v/>
      </c>
      <c r="I838" s="28">
        <f>IF(OR(A838="",C838=""),"",A838&amp;"|"&amp;B838&amp;"|"&amp;(COUNTIFS(FlDate,A838,FlShift,B838,FlCode,"&lt;&gt;",FlOrder,"&lt;"&amp;J838)+COUNTIFS(A$6:A838,A838,B$6:B838,B838,C$6:C838,"&lt;&gt;",J$6:J838,J838)))</f>
        <v/>
      </c>
      <c r="J838" s="28">
        <f>IF(C838="","",IF(D838="","zz","t"&amp;D838))</f>
        <v/>
      </c>
      <c r="K838" s="28">
        <f>IF(OR(A838="",C838=""),"",IF(IFERROR(INDEX(DayStat,A838-DATE(PlanYear,1,1)+1)&amp;"","")&lt;&gt;"",0,1))</f>
        <v/>
      </c>
      <c r="L838" s="28">
        <f>IF(K838="","",K838*IFERROR(VLOOKUP(C838,CodeTable,4,0),0))</f>
        <v/>
      </c>
    </row>
    <row r="839">
      <c r="A839" s="22" t="n"/>
      <c r="B839" s="23" t="n"/>
      <c r="C839" s="24" t="n"/>
      <c r="D839" s="25" t="n"/>
      <c r="E839" s="26" t="n"/>
      <c r="F839" s="26" t="n"/>
      <c r="G839" s="27">
        <f>IF(C839="","",IFERROR(VLOOKUP(C839,CodeTable,3,0),1))</f>
        <v/>
      </c>
      <c r="H839" s="27">
        <f>IF(C839="","",IF(E839&lt;&gt;"",E839,IF(IFERROR(VLOOKUP(C839,CodeTable,5,0)&amp;"","")="","All",VLOOKUP(C839,CodeTable,5,0)&amp;"")))</f>
        <v/>
      </c>
      <c r="I839" s="28">
        <f>IF(OR(A839="",C839=""),"",A839&amp;"|"&amp;B839&amp;"|"&amp;(COUNTIFS(FlDate,A839,FlShift,B839,FlCode,"&lt;&gt;",FlOrder,"&lt;"&amp;J839)+COUNTIFS(A$6:A839,A839,B$6:B839,B839,C$6:C839,"&lt;&gt;",J$6:J839,J839)))</f>
        <v/>
      </c>
      <c r="J839" s="28">
        <f>IF(C839="","",IF(D839="","zz","t"&amp;D839))</f>
        <v/>
      </c>
      <c r="K839" s="28">
        <f>IF(OR(A839="",C839=""),"",IF(IFERROR(INDEX(DayStat,A839-DATE(PlanYear,1,1)+1)&amp;"","")&lt;&gt;"",0,1))</f>
        <v/>
      </c>
      <c r="L839" s="28">
        <f>IF(K839="","",K839*IFERROR(VLOOKUP(C839,CodeTable,4,0),0))</f>
        <v/>
      </c>
    </row>
    <row r="840">
      <c r="A840" s="22" t="n"/>
      <c r="B840" s="23" t="n"/>
      <c r="C840" s="24" t="n"/>
      <c r="D840" s="25" t="n"/>
      <c r="E840" s="26" t="n"/>
      <c r="F840" s="26" t="n"/>
      <c r="G840" s="27">
        <f>IF(C840="","",IFERROR(VLOOKUP(C840,CodeTable,3,0),1))</f>
        <v/>
      </c>
      <c r="H840" s="27">
        <f>IF(C840="","",IF(E840&lt;&gt;"",E840,IF(IFERROR(VLOOKUP(C840,CodeTable,5,0)&amp;"","")="","All",VLOOKUP(C840,CodeTable,5,0)&amp;"")))</f>
        <v/>
      </c>
      <c r="I840" s="28">
        <f>IF(OR(A840="",C840=""),"",A840&amp;"|"&amp;B840&amp;"|"&amp;(COUNTIFS(FlDate,A840,FlShift,B840,FlCode,"&lt;&gt;",FlOrder,"&lt;"&amp;J840)+COUNTIFS(A$6:A840,A840,B$6:B840,B840,C$6:C840,"&lt;&gt;",J$6:J840,J840)))</f>
        <v/>
      </c>
      <c r="J840" s="28">
        <f>IF(C840="","",IF(D840="","zz","t"&amp;D840))</f>
        <v/>
      </c>
      <c r="K840" s="28">
        <f>IF(OR(A840="",C840=""),"",IF(IFERROR(INDEX(DayStat,A840-DATE(PlanYear,1,1)+1)&amp;"","")&lt;&gt;"",0,1))</f>
        <v/>
      </c>
      <c r="L840" s="28">
        <f>IF(K840="","",K840*IFERROR(VLOOKUP(C840,CodeTable,4,0),0))</f>
        <v/>
      </c>
    </row>
    <row r="841">
      <c r="A841" s="22" t="n"/>
      <c r="B841" s="23" t="n"/>
      <c r="C841" s="24" t="n"/>
      <c r="D841" s="25" t="n"/>
      <c r="E841" s="26" t="n"/>
      <c r="F841" s="26" t="n"/>
      <c r="G841" s="27">
        <f>IF(C841="","",IFERROR(VLOOKUP(C841,CodeTable,3,0),1))</f>
        <v/>
      </c>
      <c r="H841" s="27">
        <f>IF(C841="","",IF(E841&lt;&gt;"",E841,IF(IFERROR(VLOOKUP(C841,CodeTable,5,0)&amp;"","")="","All",VLOOKUP(C841,CodeTable,5,0)&amp;"")))</f>
        <v/>
      </c>
      <c r="I841" s="28">
        <f>IF(OR(A841="",C841=""),"",A841&amp;"|"&amp;B841&amp;"|"&amp;(COUNTIFS(FlDate,A841,FlShift,B841,FlCode,"&lt;&gt;",FlOrder,"&lt;"&amp;J841)+COUNTIFS(A$6:A841,A841,B$6:B841,B841,C$6:C841,"&lt;&gt;",J$6:J841,J841)))</f>
        <v/>
      </c>
      <c r="J841" s="28">
        <f>IF(C841="","",IF(D841="","zz","t"&amp;D841))</f>
        <v/>
      </c>
      <c r="K841" s="28">
        <f>IF(OR(A841="",C841=""),"",IF(IFERROR(INDEX(DayStat,A841-DATE(PlanYear,1,1)+1)&amp;"","")&lt;&gt;"",0,1))</f>
        <v/>
      </c>
      <c r="L841" s="28">
        <f>IF(K841="","",K841*IFERROR(VLOOKUP(C841,CodeTable,4,0),0))</f>
        <v/>
      </c>
    </row>
    <row r="842">
      <c r="A842" s="22" t="n"/>
      <c r="B842" s="23" t="n"/>
      <c r="C842" s="24" t="n"/>
      <c r="D842" s="25" t="n"/>
      <c r="E842" s="26" t="n"/>
      <c r="F842" s="26" t="n"/>
      <c r="G842" s="27">
        <f>IF(C842="","",IFERROR(VLOOKUP(C842,CodeTable,3,0),1))</f>
        <v/>
      </c>
      <c r="H842" s="27">
        <f>IF(C842="","",IF(E842&lt;&gt;"",E842,IF(IFERROR(VLOOKUP(C842,CodeTable,5,0)&amp;"","")="","All",VLOOKUP(C842,CodeTable,5,0)&amp;"")))</f>
        <v/>
      </c>
      <c r="I842" s="28">
        <f>IF(OR(A842="",C842=""),"",A842&amp;"|"&amp;B842&amp;"|"&amp;(COUNTIFS(FlDate,A842,FlShift,B842,FlCode,"&lt;&gt;",FlOrder,"&lt;"&amp;J842)+COUNTIFS(A$6:A842,A842,B$6:B842,B842,C$6:C842,"&lt;&gt;",J$6:J842,J842)))</f>
        <v/>
      </c>
      <c r="J842" s="28">
        <f>IF(C842="","",IF(D842="","zz","t"&amp;D842))</f>
        <v/>
      </c>
      <c r="K842" s="28">
        <f>IF(OR(A842="",C842=""),"",IF(IFERROR(INDEX(DayStat,A842-DATE(PlanYear,1,1)+1)&amp;"","")&lt;&gt;"",0,1))</f>
        <v/>
      </c>
      <c r="L842" s="28">
        <f>IF(K842="","",K842*IFERROR(VLOOKUP(C842,CodeTable,4,0),0))</f>
        <v/>
      </c>
    </row>
    <row r="843">
      <c r="A843" s="22" t="n"/>
      <c r="B843" s="23" t="n"/>
      <c r="C843" s="24" t="n"/>
      <c r="D843" s="25" t="n"/>
      <c r="E843" s="26" t="n"/>
      <c r="F843" s="26" t="n"/>
      <c r="G843" s="27">
        <f>IF(C843="","",IFERROR(VLOOKUP(C843,CodeTable,3,0),1))</f>
        <v/>
      </c>
      <c r="H843" s="27">
        <f>IF(C843="","",IF(E843&lt;&gt;"",E843,IF(IFERROR(VLOOKUP(C843,CodeTable,5,0)&amp;"","")="","All",VLOOKUP(C843,CodeTable,5,0)&amp;"")))</f>
        <v/>
      </c>
      <c r="I843" s="28">
        <f>IF(OR(A843="",C843=""),"",A843&amp;"|"&amp;B843&amp;"|"&amp;(COUNTIFS(FlDate,A843,FlShift,B843,FlCode,"&lt;&gt;",FlOrder,"&lt;"&amp;J843)+COUNTIFS(A$6:A843,A843,B$6:B843,B843,C$6:C843,"&lt;&gt;",J$6:J843,J843)))</f>
        <v/>
      </c>
      <c r="J843" s="28">
        <f>IF(C843="","",IF(D843="","zz","t"&amp;D843))</f>
        <v/>
      </c>
      <c r="K843" s="28">
        <f>IF(OR(A843="",C843=""),"",IF(IFERROR(INDEX(DayStat,A843-DATE(PlanYear,1,1)+1)&amp;"","")&lt;&gt;"",0,1))</f>
        <v/>
      </c>
      <c r="L843" s="28">
        <f>IF(K843="","",K843*IFERROR(VLOOKUP(C843,CodeTable,4,0),0))</f>
        <v/>
      </c>
    </row>
    <row r="844">
      <c r="A844" s="22" t="n"/>
      <c r="B844" s="23" t="n"/>
      <c r="C844" s="24" t="n"/>
      <c r="D844" s="25" t="n"/>
      <c r="E844" s="26" t="n"/>
      <c r="F844" s="26" t="n"/>
      <c r="G844" s="27">
        <f>IF(C844="","",IFERROR(VLOOKUP(C844,CodeTable,3,0),1))</f>
        <v/>
      </c>
      <c r="H844" s="27">
        <f>IF(C844="","",IF(E844&lt;&gt;"",E844,IF(IFERROR(VLOOKUP(C844,CodeTable,5,0)&amp;"","")="","All",VLOOKUP(C844,CodeTable,5,0)&amp;"")))</f>
        <v/>
      </c>
      <c r="I844" s="28">
        <f>IF(OR(A844="",C844=""),"",A844&amp;"|"&amp;B844&amp;"|"&amp;(COUNTIFS(FlDate,A844,FlShift,B844,FlCode,"&lt;&gt;",FlOrder,"&lt;"&amp;J844)+COUNTIFS(A$6:A844,A844,B$6:B844,B844,C$6:C844,"&lt;&gt;",J$6:J844,J844)))</f>
        <v/>
      </c>
      <c r="J844" s="28">
        <f>IF(C844="","",IF(D844="","zz","t"&amp;D844))</f>
        <v/>
      </c>
      <c r="K844" s="28">
        <f>IF(OR(A844="",C844=""),"",IF(IFERROR(INDEX(DayStat,A844-DATE(PlanYear,1,1)+1)&amp;"","")&lt;&gt;"",0,1))</f>
        <v/>
      </c>
      <c r="L844" s="28">
        <f>IF(K844="","",K844*IFERROR(VLOOKUP(C844,CodeTable,4,0),0))</f>
        <v/>
      </c>
    </row>
    <row r="845">
      <c r="A845" s="22" t="n"/>
      <c r="B845" s="23" t="n"/>
      <c r="C845" s="24" t="n"/>
      <c r="D845" s="25" t="n"/>
      <c r="E845" s="26" t="n"/>
      <c r="F845" s="26" t="n"/>
      <c r="G845" s="27">
        <f>IF(C845="","",IFERROR(VLOOKUP(C845,CodeTable,3,0),1))</f>
        <v/>
      </c>
      <c r="H845" s="27">
        <f>IF(C845="","",IF(E845&lt;&gt;"",E845,IF(IFERROR(VLOOKUP(C845,CodeTable,5,0)&amp;"","")="","All",VLOOKUP(C845,CodeTable,5,0)&amp;"")))</f>
        <v/>
      </c>
      <c r="I845" s="28">
        <f>IF(OR(A845="",C845=""),"",A845&amp;"|"&amp;B845&amp;"|"&amp;(COUNTIFS(FlDate,A845,FlShift,B845,FlCode,"&lt;&gt;",FlOrder,"&lt;"&amp;J845)+COUNTIFS(A$6:A845,A845,B$6:B845,B845,C$6:C845,"&lt;&gt;",J$6:J845,J845)))</f>
        <v/>
      </c>
      <c r="J845" s="28">
        <f>IF(C845="","",IF(D845="","zz","t"&amp;D845))</f>
        <v/>
      </c>
      <c r="K845" s="28">
        <f>IF(OR(A845="",C845=""),"",IF(IFERROR(INDEX(DayStat,A845-DATE(PlanYear,1,1)+1)&amp;"","")&lt;&gt;"",0,1))</f>
        <v/>
      </c>
      <c r="L845" s="28">
        <f>IF(K845="","",K845*IFERROR(VLOOKUP(C845,CodeTable,4,0),0))</f>
        <v/>
      </c>
    </row>
    <row r="846">
      <c r="A846" s="22" t="n"/>
      <c r="B846" s="23" t="n"/>
      <c r="C846" s="24" t="n"/>
      <c r="D846" s="25" t="n"/>
      <c r="E846" s="26" t="n"/>
      <c r="F846" s="26" t="n"/>
      <c r="G846" s="27">
        <f>IF(C846="","",IFERROR(VLOOKUP(C846,CodeTable,3,0),1))</f>
        <v/>
      </c>
      <c r="H846" s="27">
        <f>IF(C846="","",IF(E846&lt;&gt;"",E846,IF(IFERROR(VLOOKUP(C846,CodeTable,5,0)&amp;"","")="","All",VLOOKUP(C846,CodeTable,5,0)&amp;"")))</f>
        <v/>
      </c>
      <c r="I846" s="28">
        <f>IF(OR(A846="",C846=""),"",A846&amp;"|"&amp;B846&amp;"|"&amp;(COUNTIFS(FlDate,A846,FlShift,B846,FlCode,"&lt;&gt;",FlOrder,"&lt;"&amp;J846)+COUNTIFS(A$6:A846,A846,B$6:B846,B846,C$6:C846,"&lt;&gt;",J$6:J846,J846)))</f>
        <v/>
      </c>
      <c r="J846" s="28">
        <f>IF(C846="","",IF(D846="","zz","t"&amp;D846))</f>
        <v/>
      </c>
      <c r="K846" s="28">
        <f>IF(OR(A846="",C846=""),"",IF(IFERROR(INDEX(DayStat,A846-DATE(PlanYear,1,1)+1)&amp;"","")&lt;&gt;"",0,1))</f>
        <v/>
      </c>
      <c r="L846" s="28">
        <f>IF(K846="","",K846*IFERROR(VLOOKUP(C846,CodeTable,4,0),0))</f>
        <v/>
      </c>
    </row>
    <row r="847">
      <c r="A847" s="22" t="n"/>
      <c r="B847" s="23" t="n"/>
      <c r="C847" s="24" t="n"/>
      <c r="D847" s="25" t="n"/>
      <c r="E847" s="26" t="n"/>
      <c r="F847" s="26" t="n"/>
      <c r="G847" s="27">
        <f>IF(C847="","",IFERROR(VLOOKUP(C847,CodeTable,3,0),1))</f>
        <v/>
      </c>
      <c r="H847" s="27">
        <f>IF(C847="","",IF(E847&lt;&gt;"",E847,IF(IFERROR(VLOOKUP(C847,CodeTable,5,0)&amp;"","")="","All",VLOOKUP(C847,CodeTable,5,0)&amp;"")))</f>
        <v/>
      </c>
      <c r="I847" s="28">
        <f>IF(OR(A847="",C847=""),"",A847&amp;"|"&amp;B847&amp;"|"&amp;(COUNTIFS(FlDate,A847,FlShift,B847,FlCode,"&lt;&gt;",FlOrder,"&lt;"&amp;J847)+COUNTIFS(A$6:A847,A847,B$6:B847,B847,C$6:C847,"&lt;&gt;",J$6:J847,J847)))</f>
        <v/>
      </c>
      <c r="J847" s="28">
        <f>IF(C847="","",IF(D847="","zz","t"&amp;D847))</f>
        <v/>
      </c>
      <c r="K847" s="28">
        <f>IF(OR(A847="",C847=""),"",IF(IFERROR(INDEX(DayStat,A847-DATE(PlanYear,1,1)+1)&amp;"","")&lt;&gt;"",0,1))</f>
        <v/>
      </c>
      <c r="L847" s="28">
        <f>IF(K847="","",K847*IFERROR(VLOOKUP(C847,CodeTable,4,0),0))</f>
        <v/>
      </c>
    </row>
    <row r="848">
      <c r="A848" s="22" t="n"/>
      <c r="B848" s="23" t="n"/>
      <c r="C848" s="24" t="n"/>
      <c r="D848" s="25" t="n"/>
      <c r="E848" s="26" t="n"/>
      <c r="F848" s="26" t="n"/>
      <c r="G848" s="27">
        <f>IF(C848="","",IFERROR(VLOOKUP(C848,CodeTable,3,0),1))</f>
        <v/>
      </c>
      <c r="H848" s="27">
        <f>IF(C848="","",IF(E848&lt;&gt;"",E848,IF(IFERROR(VLOOKUP(C848,CodeTable,5,0)&amp;"","")="","All",VLOOKUP(C848,CodeTable,5,0)&amp;"")))</f>
        <v/>
      </c>
      <c r="I848" s="28">
        <f>IF(OR(A848="",C848=""),"",A848&amp;"|"&amp;B848&amp;"|"&amp;(COUNTIFS(FlDate,A848,FlShift,B848,FlCode,"&lt;&gt;",FlOrder,"&lt;"&amp;J848)+COUNTIFS(A$6:A848,A848,B$6:B848,B848,C$6:C848,"&lt;&gt;",J$6:J848,J848)))</f>
        <v/>
      </c>
      <c r="J848" s="28">
        <f>IF(C848="","",IF(D848="","zz","t"&amp;D848))</f>
        <v/>
      </c>
      <c r="K848" s="28">
        <f>IF(OR(A848="",C848=""),"",IF(IFERROR(INDEX(DayStat,A848-DATE(PlanYear,1,1)+1)&amp;"","")&lt;&gt;"",0,1))</f>
        <v/>
      </c>
      <c r="L848" s="28">
        <f>IF(K848="","",K848*IFERROR(VLOOKUP(C848,CodeTable,4,0),0))</f>
        <v/>
      </c>
    </row>
    <row r="849">
      <c r="A849" s="22" t="n"/>
      <c r="B849" s="23" t="n"/>
      <c r="C849" s="24" t="n"/>
      <c r="D849" s="25" t="n"/>
      <c r="E849" s="26" t="n"/>
      <c r="F849" s="26" t="n"/>
      <c r="G849" s="27">
        <f>IF(C849="","",IFERROR(VLOOKUP(C849,CodeTable,3,0),1))</f>
        <v/>
      </c>
      <c r="H849" s="27">
        <f>IF(C849="","",IF(E849&lt;&gt;"",E849,IF(IFERROR(VLOOKUP(C849,CodeTable,5,0)&amp;"","")="","All",VLOOKUP(C849,CodeTable,5,0)&amp;"")))</f>
        <v/>
      </c>
      <c r="I849" s="28">
        <f>IF(OR(A849="",C849=""),"",A849&amp;"|"&amp;B849&amp;"|"&amp;(COUNTIFS(FlDate,A849,FlShift,B849,FlCode,"&lt;&gt;",FlOrder,"&lt;"&amp;J849)+COUNTIFS(A$6:A849,A849,B$6:B849,B849,C$6:C849,"&lt;&gt;",J$6:J849,J849)))</f>
        <v/>
      </c>
      <c r="J849" s="28">
        <f>IF(C849="","",IF(D849="","zz","t"&amp;D849))</f>
        <v/>
      </c>
      <c r="K849" s="28">
        <f>IF(OR(A849="",C849=""),"",IF(IFERROR(INDEX(DayStat,A849-DATE(PlanYear,1,1)+1)&amp;"","")&lt;&gt;"",0,1))</f>
        <v/>
      </c>
      <c r="L849" s="28">
        <f>IF(K849="","",K849*IFERROR(VLOOKUP(C849,CodeTable,4,0),0))</f>
        <v/>
      </c>
    </row>
    <row r="850">
      <c r="A850" s="22" t="n"/>
      <c r="B850" s="23" t="n"/>
      <c r="C850" s="24" t="n"/>
      <c r="D850" s="25" t="n"/>
      <c r="E850" s="26" t="n"/>
      <c r="F850" s="26" t="n"/>
      <c r="G850" s="27">
        <f>IF(C850="","",IFERROR(VLOOKUP(C850,CodeTable,3,0),1))</f>
        <v/>
      </c>
      <c r="H850" s="27">
        <f>IF(C850="","",IF(E850&lt;&gt;"",E850,IF(IFERROR(VLOOKUP(C850,CodeTable,5,0)&amp;"","")="","All",VLOOKUP(C850,CodeTable,5,0)&amp;"")))</f>
        <v/>
      </c>
      <c r="I850" s="28">
        <f>IF(OR(A850="",C850=""),"",A850&amp;"|"&amp;B850&amp;"|"&amp;(COUNTIFS(FlDate,A850,FlShift,B850,FlCode,"&lt;&gt;",FlOrder,"&lt;"&amp;J850)+COUNTIFS(A$6:A850,A850,B$6:B850,B850,C$6:C850,"&lt;&gt;",J$6:J850,J850)))</f>
        <v/>
      </c>
      <c r="J850" s="28">
        <f>IF(C850="","",IF(D850="","zz","t"&amp;D850))</f>
        <v/>
      </c>
      <c r="K850" s="28">
        <f>IF(OR(A850="",C850=""),"",IF(IFERROR(INDEX(DayStat,A850-DATE(PlanYear,1,1)+1)&amp;"","")&lt;&gt;"",0,1))</f>
        <v/>
      </c>
      <c r="L850" s="28">
        <f>IF(K850="","",K850*IFERROR(VLOOKUP(C850,CodeTable,4,0),0))</f>
        <v/>
      </c>
    </row>
    <row r="851">
      <c r="A851" s="22" t="n"/>
      <c r="B851" s="23" t="n"/>
      <c r="C851" s="24" t="n"/>
      <c r="D851" s="25" t="n"/>
      <c r="E851" s="26" t="n"/>
      <c r="F851" s="26" t="n"/>
      <c r="G851" s="27">
        <f>IF(C851="","",IFERROR(VLOOKUP(C851,CodeTable,3,0),1))</f>
        <v/>
      </c>
      <c r="H851" s="27">
        <f>IF(C851="","",IF(E851&lt;&gt;"",E851,IF(IFERROR(VLOOKUP(C851,CodeTable,5,0)&amp;"","")="","All",VLOOKUP(C851,CodeTable,5,0)&amp;"")))</f>
        <v/>
      </c>
      <c r="I851" s="28">
        <f>IF(OR(A851="",C851=""),"",A851&amp;"|"&amp;B851&amp;"|"&amp;(COUNTIFS(FlDate,A851,FlShift,B851,FlCode,"&lt;&gt;",FlOrder,"&lt;"&amp;J851)+COUNTIFS(A$6:A851,A851,B$6:B851,B851,C$6:C851,"&lt;&gt;",J$6:J851,J851)))</f>
        <v/>
      </c>
      <c r="J851" s="28">
        <f>IF(C851="","",IF(D851="","zz","t"&amp;D851))</f>
        <v/>
      </c>
      <c r="K851" s="28">
        <f>IF(OR(A851="",C851=""),"",IF(IFERROR(INDEX(DayStat,A851-DATE(PlanYear,1,1)+1)&amp;"","")&lt;&gt;"",0,1))</f>
        <v/>
      </c>
      <c r="L851" s="28">
        <f>IF(K851="","",K851*IFERROR(VLOOKUP(C851,CodeTable,4,0),0))</f>
        <v/>
      </c>
    </row>
    <row r="852">
      <c r="A852" s="22" t="n"/>
      <c r="B852" s="23" t="n"/>
      <c r="C852" s="24" t="n"/>
      <c r="D852" s="25" t="n"/>
      <c r="E852" s="26" t="n"/>
      <c r="F852" s="26" t="n"/>
      <c r="G852" s="27">
        <f>IF(C852="","",IFERROR(VLOOKUP(C852,CodeTable,3,0),1))</f>
        <v/>
      </c>
      <c r="H852" s="27">
        <f>IF(C852="","",IF(E852&lt;&gt;"",E852,IF(IFERROR(VLOOKUP(C852,CodeTable,5,0)&amp;"","")="","All",VLOOKUP(C852,CodeTable,5,0)&amp;"")))</f>
        <v/>
      </c>
      <c r="I852" s="28">
        <f>IF(OR(A852="",C852=""),"",A852&amp;"|"&amp;B852&amp;"|"&amp;(COUNTIFS(FlDate,A852,FlShift,B852,FlCode,"&lt;&gt;",FlOrder,"&lt;"&amp;J852)+COUNTIFS(A$6:A852,A852,B$6:B852,B852,C$6:C852,"&lt;&gt;",J$6:J852,J852)))</f>
        <v/>
      </c>
      <c r="J852" s="28">
        <f>IF(C852="","",IF(D852="","zz","t"&amp;D852))</f>
        <v/>
      </c>
      <c r="K852" s="28">
        <f>IF(OR(A852="",C852=""),"",IF(IFERROR(INDEX(DayStat,A852-DATE(PlanYear,1,1)+1)&amp;"","")&lt;&gt;"",0,1))</f>
        <v/>
      </c>
      <c r="L852" s="28">
        <f>IF(K852="","",K852*IFERROR(VLOOKUP(C852,CodeTable,4,0),0))</f>
        <v/>
      </c>
    </row>
    <row r="853">
      <c r="A853" s="22" t="n"/>
      <c r="B853" s="23" t="n"/>
      <c r="C853" s="24" t="n"/>
      <c r="D853" s="25" t="n"/>
      <c r="E853" s="26" t="n"/>
      <c r="F853" s="26" t="n"/>
      <c r="G853" s="27">
        <f>IF(C853="","",IFERROR(VLOOKUP(C853,CodeTable,3,0),1))</f>
        <v/>
      </c>
      <c r="H853" s="27">
        <f>IF(C853="","",IF(E853&lt;&gt;"",E853,IF(IFERROR(VLOOKUP(C853,CodeTable,5,0)&amp;"","")="","All",VLOOKUP(C853,CodeTable,5,0)&amp;"")))</f>
        <v/>
      </c>
      <c r="I853" s="28">
        <f>IF(OR(A853="",C853=""),"",A853&amp;"|"&amp;B853&amp;"|"&amp;(COUNTIFS(FlDate,A853,FlShift,B853,FlCode,"&lt;&gt;",FlOrder,"&lt;"&amp;J853)+COUNTIFS(A$6:A853,A853,B$6:B853,B853,C$6:C853,"&lt;&gt;",J$6:J853,J853)))</f>
        <v/>
      </c>
      <c r="J853" s="28">
        <f>IF(C853="","",IF(D853="","zz","t"&amp;D853))</f>
        <v/>
      </c>
      <c r="K853" s="28">
        <f>IF(OR(A853="",C853=""),"",IF(IFERROR(INDEX(DayStat,A853-DATE(PlanYear,1,1)+1)&amp;"","")&lt;&gt;"",0,1))</f>
        <v/>
      </c>
      <c r="L853" s="28">
        <f>IF(K853="","",K853*IFERROR(VLOOKUP(C853,CodeTable,4,0),0))</f>
        <v/>
      </c>
    </row>
    <row r="854">
      <c r="A854" s="22" t="n"/>
      <c r="B854" s="23" t="n"/>
      <c r="C854" s="24" t="n"/>
      <c r="D854" s="25" t="n"/>
      <c r="E854" s="26" t="n"/>
      <c r="F854" s="26" t="n"/>
      <c r="G854" s="27">
        <f>IF(C854="","",IFERROR(VLOOKUP(C854,CodeTable,3,0),1))</f>
        <v/>
      </c>
      <c r="H854" s="27">
        <f>IF(C854="","",IF(E854&lt;&gt;"",E854,IF(IFERROR(VLOOKUP(C854,CodeTable,5,0)&amp;"","")="","All",VLOOKUP(C854,CodeTable,5,0)&amp;"")))</f>
        <v/>
      </c>
      <c r="I854" s="28">
        <f>IF(OR(A854="",C854=""),"",A854&amp;"|"&amp;B854&amp;"|"&amp;(COUNTIFS(FlDate,A854,FlShift,B854,FlCode,"&lt;&gt;",FlOrder,"&lt;"&amp;J854)+COUNTIFS(A$6:A854,A854,B$6:B854,B854,C$6:C854,"&lt;&gt;",J$6:J854,J854)))</f>
        <v/>
      </c>
      <c r="J854" s="28">
        <f>IF(C854="","",IF(D854="","zz","t"&amp;D854))</f>
        <v/>
      </c>
      <c r="K854" s="28">
        <f>IF(OR(A854="",C854=""),"",IF(IFERROR(INDEX(DayStat,A854-DATE(PlanYear,1,1)+1)&amp;"","")&lt;&gt;"",0,1))</f>
        <v/>
      </c>
      <c r="L854" s="28">
        <f>IF(K854="","",K854*IFERROR(VLOOKUP(C854,CodeTable,4,0),0))</f>
        <v/>
      </c>
    </row>
    <row r="855">
      <c r="A855" s="22" t="n"/>
      <c r="B855" s="23" t="n"/>
      <c r="C855" s="24" t="n"/>
      <c r="D855" s="25" t="n"/>
      <c r="E855" s="26" t="n"/>
      <c r="F855" s="26" t="n"/>
      <c r="G855" s="27">
        <f>IF(C855="","",IFERROR(VLOOKUP(C855,CodeTable,3,0),1))</f>
        <v/>
      </c>
      <c r="H855" s="27">
        <f>IF(C855="","",IF(E855&lt;&gt;"",E855,IF(IFERROR(VLOOKUP(C855,CodeTable,5,0)&amp;"","")="","All",VLOOKUP(C855,CodeTable,5,0)&amp;"")))</f>
        <v/>
      </c>
      <c r="I855" s="28">
        <f>IF(OR(A855="",C855=""),"",A855&amp;"|"&amp;B855&amp;"|"&amp;(COUNTIFS(FlDate,A855,FlShift,B855,FlCode,"&lt;&gt;",FlOrder,"&lt;"&amp;J855)+COUNTIFS(A$6:A855,A855,B$6:B855,B855,C$6:C855,"&lt;&gt;",J$6:J855,J855)))</f>
        <v/>
      </c>
      <c r="J855" s="28">
        <f>IF(C855="","",IF(D855="","zz","t"&amp;D855))</f>
        <v/>
      </c>
      <c r="K855" s="28">
        <f>IF(OR(A855="",C855=""),"",IF(IFERROR(INDEX(DayStat,A855-DATE(PlanYear,1,1)+1)&amp;"","")&lt;&gt;"",0,1))</f>
        <v/>
      </c>
      <c r="L855" s="28">
        <f>IF(K855="","",K855*IFERROR(VLOOKUP(C855,CodeTable,4,0),0))</f>
        <v/>
      </c>
    </row>
    <row r="856">
      <c r="A856" s="22" t="n"/>
      <c r="B856" s="23" t="n"/>
      <c r="C856" s="24" t="n"/>
      <c r="D856" s="25" t="n"/>
      <c r="E856" s="26" t="n"/>
      <c r="F856" s="26" t="n"/>
      <c r="G856" s="27">
        <f>IF(C856="","",IFERROR(VLOOKUP(C856,CodeTable,3,0),1))</f>
        <v/>
      </c>
      <c r="H856" s="27">
        <f>IF(C856="","",IF(E856&lt;&gt;"",E856,IF(IFERROR(VLOOKUP(C856,CodeTable,5,0)&amp;"","")="","All",VLOOKUP(C856,CodeTable,5,0)&amp;"")))</f>
        <v/>
      </c>
      <c r="I856" s="28">
        <f>IF(OR(A856="",C856=""),"",A856&amp;"|"&amp;B856&amp;"|"&amp;(COUNTIFS(FlDate,A856,FlShift,B856,FlCode,"&lt;&gt;",FlOrder,"&lt;"&amp;J856)+COUNTIFS(A$6:A856,A856,B$6:B856,B856,C$6:C856,"&lt;&gt;",J$6:J856,J856)))</f>
        <v/>
      </c>
      <c r="J856" s="28">
        <f>IF(C856="","",IF(D856="","zz","t"&amp;D856))</f>
        <v/>
      </c>
      <c r="K856" s="28">
        <f>IF(OR(A856="",C856=""),"",IF(IFERROR(INDEX(DayStat,A856-DATE(PlanYear,1,1)+1)&amp;"","")&lt;&gt;"",0,1))</f>
        <v/>
      </c>
      <c r="L856" s="28">
        <f>IF(K856="","",K856*IFERROR(VLOOKUP(C856,CodeTable,4,0),0))</f>
        <v/>
      </c>
    </row>
    <row r="857">
      <c r="A857" s="22" t="n"/>
      <c r="B857" s="23" t="n"/>
      <c r="C857" s="24" t="n"/>
      <c r="D857" s="25" t="n"/>
      <c r="E857" s="26" t="n"/>
      <c r="F857" s="26" t="n"/>
      <c r="G857" s="27">
        <f>IF(C857="","",IFERROR(VLOOKUP(C857,CodeTable,3,0),1))</f>
        <v/>
      </c>
      <c r="H857" s="27">
        <f>IF(C857="","",IF(E857&lt;&gt;"",E857,IF(IFERROR(VLOOKUP(C857,CodeTable,5,0)&amp;"","")="","All",VLOOKUP(C857,CodeTable,5,0)&amp;"")))</f>
        <v/>
      </c>
      <c r="I857" s="28">
        <f>IF(OR(A857="",C857=""),"",A857&amp;"|"&amp;B857&amp;"|"&amp;(COUNTIFS(FlDate,A857,FlShift,B857,FlCode,"&lt;&gt;",FlOrder,"&lt;"&amp;J857)+COUNTIFS(A$6:A857,A857,B$6:B857,B857,C$6:C857,"&lt;&gt;",J$6:J857,J857)))</f>
        <v/>
      </c>
      <c r="J857" s="28">
        <f>IF(C857="","",IF(D857="","zz","t"&amp;D857))</f>
        <v/>
      </c>
      <c r="K857" s="28">
        <f>IF(OR(A857="",C857=""),"",IF(IFERROR(INDEX(DayStat,A857-DATE(PlanYear,1,1)+1)&amp;"","")&lt;&gt;"",0,1))</f>
        <v/>
      </c>
      <c r="L857" s="28">
        <f>IF(K857="","",K857*IFERROR(VLOOKUP(C857,CodeTable,4,0),0))</f>
        <v/>
      </c>
    </row>
    <row r="858">
      <c r="A858" s="22" t="n"/>
      <c r="B858" s="23" t="n"/>
      <c r="C858" s="24" t="n"/>
      <c r="D858" s="25" t="n"/>
      <c r="E858" s="26" t="n"/>
      <c r="F858" s="26" t="n"/>
      <c r="G858" s="27">
        <f>IF(C858="","",IFERROR(VLOOKUP(C858,CodeTable,3,0),1))</f>
        <v/>
      </c>
      <c r="H858" s="27">
        <f>IF(C858="","",IF(E858&lt;&gt;"",E858,IF(IFERROR(VLOOKUP(C858,CodeTable,5,0)&amp;"","")="","All",VLOOKUP(C858,CodeTable,5,0)&amp;"")))</f>
        <v/>
      </c>
      <c r="I858" s="28">
        <f>IF(OR(A858="",C858=""),"",A858&amp;"|"&amp;B858&amp;"|"&amp;(COUNTIFS(FlDate,A858,FlShift,B858,FlCode,"&lt;&gt;",FlOrder,"&lt;"&amp;J858)+COUNTIFS(A$6:A858,A858,B$6:B858,B858,C$6:C858,"&lt;&gt;",J$6:J858,J858)))</f>
        <v/>
      </c>
      <c r="J858" s="28">
        <f>IF(C858="","",IF(D858="","zz","t"&amp;D858))</f>
        <v/>
      </c>
      <c r="K858" s="28">
        <f>IF(OR(A858="",C858=""),"",IF(IFERROR(INDEX(DayStat,A858-DATE(PlanYear,1,1)+1)&amp;"","")&lt;&gt;"",0,1))</f>
        <v/>
      </c>
      <c r="L858" s="28">
        <f>IF(K858="","",K858*IFERROR(VLOOKUP(C858,CodeTable,4,0),0))</f>
        <v/>
      </c>
    </row>
    <row r="859">
      <c r="A859" s="22" t="n"/>
      <c r="B859" s="23" t="n"/>
      <c r="C859" s="24" t="n"/>
      <c r="D859" s="25" t="n"/>
      <c r="E859" s="26" t="n"/>
      <c r="F859" s="26" t="n"/>
      <c r="G859" s="27">
        <f>IF(C859="","",IFERROR(VLOOKUP(C859,CodeTable,3,0),1))</f>
        <v/>
      </c>
      <c r="H859" s="27">
        <f>IF(C859="","",IF(E859&lt;&gt;"",E859,IF(IFERROR(VLOOKUP(C859,CodeTable,5,0)&amp;"","")="","All",VLOOKUP(C859,CodeTable,5,0)&amp;"")))</f>
        <v/>
      </c>
      <c r="I859" s="28">
        <f>IF(OR(A859="",C859=""),"",A859&amp;"|"&amp;B859&amp;"|"&amp;(COUNTIFS(FlDate,A859,FlShift,B859,FlCode,"&lt;&gt;",FlOrder,"&lt;"&amp;J859)+COUNTIFS(A$6:A859,A859,B$6:B859,B859,C$6:C859,"&lt;&gt;",J$6:J859,J859)))</f>
        <v/>
      </c>
      <c r="J859" s="28">
        <f>IF(C859="","",IF(D859="","zz","t"&amp;D859))</f>
        <v/>
      </c>
      <c r="K859" s="28">
        <f>IF(OR(A859="",C859=""),"",IF(IFERROR(INDEX(DayStat,A859-DATE(PlanYear,1,1)+1)&amp;"","")&lt;&gt;"",0,1))</f>
        <v/>
      </c>
      <c r="L859" s="28">
        <f>IF(K859="","",K859*IFERROR(VLOOKUP(C859,CodeTable,4,0),0))</f>
        <v/>
      </c>
    </row>
    <row r="860">
      <c r="A860" s="22" t="n"/>
      <c r="B860" s="23" t="n"/>
      <c r="C860" s="24" t="n"/>
      <c r="D860" s="25" t="n"/>
      <c r="E860" s="26" t="n"/>
      <c r="F860" s="26" t="n"/>
      <c r="G860" s="27">
        <f>IF(C860="","",IFERROR(VLOOKUP(C860,CodeTable,3,0),1))</f>
        <v/>
      </c>
      <c r="H860" s="27">
        <f>IF(C860="","",IF(E860&lt;&gt;"",E860,IF(IFERROR(VLOOKUP(C860,CodeTable,5,0)&amp;"","")="","All",VLOOKUP(C860,CodeTable,5,0)&amp;"")))</f>
        <v/>
      </c>
      <c r="I860" s="28">
        <f>IF(OR(A860="",C860=""),"",A860&amp;"|"&amp;B860&amp;"|"&amp;(COUNTIFS(FlDate,A860,FlShift,B860,FlCode,"&lt;&gt;",FlOrder,"&lt;"&amp;J860)+COUNTIFS(A$6:A860,A860,B$6:B860,B860,C$6:C860,"&lt;&gt;",J$6:J860,J860)))</f>
        <v/>
      </c>
      <c r="J860" s="28">
        <f>IF(C860="","",IF(D860="","zz","t"&amp;D860))</f>
        <v/>
      </c>
      <c r="K860" s="28">
        <f>IF(OR(A860="",C860=""),"",IF(IFERROR(INDEX(DayStat,A860-DATE(PlanYear,1,1)+1)&amp;"","")&lt;&gt;"",0,1))</f>
        <v/>
      </c>
      <c r="L860" s="28">
        <f>IF(K860="","",K860*IFERROR(VLOOKUP(C860,CodeTable,4,0),0))</f>
        <v/>
      </c>
    </row>
    <row r="861">
      <c r="A861" s="22" t="n"/>
      <c r="B861" s="23" t="n"/>
      <c r="C861" s="24" t="n"/>
      <c r="D861" s="25" t="n"/>
      <c r="E861" s="26" t="n"/>
      <c r="F861" s="26" t="n"/>
      <c r="G861" s="27">
        <f>IF(C861="","",IFERROR(VLOOKUP(C861,CodeTable,3,0),1))</f>
        <v/>
      </c>
      <c r="H861" s="27">
        <f>IF(C861="","",IF(E861&lt;&gt;"",E861,IF(IFERROR(VLOOKUP(C861,CodeTable,5,0)&amp;"","")="","All",VLOOKUP(C861,CodeTable,5,0)&amp;"")))</f>
        <v/>
      </c>
      <c r="I861" s="28">
        <f>IF(OR(A861="",C861=""),"",A861&amp;"|"&amp;B861&amp;"|"&amp;(COUNTIFS(FlDate,A861,FlShift,B861,FlCode,"&lt;&gt;",FlOrder,"&lt;"&amp;J861)+COUNTIFS(A$6:A861,A861,B$6:B861,B861,C$6:C861,"&lt;&gt;",J$6:J861,J861)))</f>
        <v/>
      </c>
      <c r="J861" s="28">
        <f>IF(C861="","",IF(D861="","zz","t"&amp;D861))</f>
        <v/>
      </c>
      <c r="K861" s="28">
        <f>IF(OR(A861="",C861=""),"",IF(IFERROR(INDEX(DayStat,A861-DATE(PlanYear,1,1)+1)&amp;"","")&lt;&gt;"",0,1))</f>
        <v/>
      </c>
      <c r="L861" s="28">
        <f>IF(K861="","",K861*IFERROR(VLOOKUP(C861,CodeTable,4,0),0))</f>
        <v/>
      </c>
    </row>
    <row r="862">
      <c r="A862" s="22" t="n"/>
      <c r="B862" s="23" t="n"/>
      <c r="C862" s="24" t="n"/>
      <c r="D862" s="25" t="n"/>
      <c r="E862" s="26" t="n"/>
      <c r="F862" s="26" t="n"/>
      <c r="G862" s="27">
        <f>IF(C862="","",IFERROR(VLOOKUP(C862,CodeTable,3,0),1))</f>
        <v/>
      </c>
      <c r="H862" s="27">
        <f>IF(C862="","",IF(E862&lt;&gt;"",E862,IF(IFERROR(VLOOKUP(C862,CodeTable,5,0)&amp;"","")="","All",VLOOKUP(C862,CodeTable,5,0)&amp;"")))</f>
        <v/>
      </c>
      <c r="I862" s="28">
        <f>IF(OR(A862="",C862=""),"",A862&amp;"|"&amp;B862&amp;"|"&amp;(COUNTIFS(FlDate,A862,FlShift,B862,FlCode,"&lt;&gt;",FlOrder,"&lt;"&amp;J862)+COUNTIFS(A$6:A862,A862,B$6:B862,B862,C$6:C862,"&lt;&gt;",J$6:J862,J862)))</f>
        <v/>
      </c>
      <c r="J862" s="28">
        <f>IF(C862="","",IF(D862="","zz","t"&amp;D862))</f>
        <v/>
      </c>
      <c r="K862" s="28">
        <f>IF(OR(A862="",C862=""),"",IF(IFERROR(INDEX(DayStat,A862-DATE(PlanYear,1,1)+1)&amp;"","")&lt;&gt;"",0,1))</f>
        <v/>
      </c>
      <c r="L862" s="28">
        <f>IF(K862="","",K862*IFERROR(VLOOKUP(C862,CodeTable,4,0),0))</f>
        <v/>
      </c>
    </row>
    <row r="863">
      <c r="A863" s="22" t="n"/>
      <c r="B863" s="23" t="n"/>
      <c r="C863" s="24" t="n"/>
      <c r="D863" s="25" t="n"/>
      <c r="E863" s="26" t="n"/>
      <c r="F863" s="26" t="n"/>
      <c r="G863" s="27">
        <f>IF(C863="","",IFERROR(VLOOKUP(C863,CodeTable,3,0),1))</f>
        <v/>
      </c>
      <c r="H863" s="27">
        <f>IF(C863="","",IF(E863&lt;&gt;"",E863,IF(IFERROR(VLOOKUP(C863,CodeTable,5,0)&amp;"","")="","All",VLOOKUP(C863,CodeTable,5,0)&amp;"")))</f>
        <v/>
      </c>
      <c r="I863" s="28">
        <f>IF(OR(A863="",C863=""),"",A863&amp;"|"&amp;B863&amp;"|"&amp;(COUNTIFS(FlDate,A863,FlShift,B863,FlCode,"&lt;&gt;",FlOrder,"&lt;"&amp;J863)+COUNTIFS(A$6:A863,A863,B$6:B863,B863,C$6:C863,"&lt;&gt;",J$6:J863,J863)))</f>
        <v/>
      </c>
      <c r="J863" s="28">
        <f>IF(C863="","",IF(D863="","zz","t"&amp;D863))</f>
        <v/>
      </c>
      <c r="K863" s="28">
        <f>IF(OR(A863="",C863=""),"",IF(IFERROR(INDEX(DayStat,A863-DATE(PlanYear,1,1)+1)&amp;"","")&lt;&gt;"",0,1))</f>
        <v/>
      </c>
      <c r="L863" s="28">
        <f>IF(K863="","",K863*IFERROR(VLOOKUP(C863,CodeTable,4,0),0))</f>
        <v/>
      </c>
    </row>
    <row r="864">
      <c r="A864" s="22" t="n"/>
      <c r="B864" s="23" t="n"/>
      <c r="C864" s="24" t="n"/>
      <c r="D864" s="25" t="n"/>
      <c r="E864" s="26" t="n"/>
      <c r="F864" s="26" t="n"/>
      <c r="G864" s="27">
        <f>IF(C864="","",IFERROR(VLOOKUP(C864,CodeTable,3,0),1))</f>
        <v/>
      </c>
      <c r="H864" s="27">
        <f>IF(C864="","",IF(E864&lt;&gt;"",E864,IF(IFERROR(VLOOKUP(C864,CodeTable,5,0)&amp;"","")="","All",VLOOKUP(C864,CodeTable,5,0)&amp;"")))</f>
        <v/>
      </c>
      <c r="I864" s="28">
        <f>IF(OR(A864="",C864=""),"",A864&amp;"|"&amp;B864&amp;"|"&amp;(COUNTIFS(FlDate,A864,FlShift,B864,FlCode,"&lt;&gt;",FlOrder,"&lt;"&amp;J864)+COUNTIFS(A$6:A864,A864,B$6:B864,B864,C$6:C864,"&lt;&gt;",J$6:J864,J864)))</f>
        <v/>
      </c>
      <c r="J864" s="28">
        <f>IF(C864="","",IF(D864="","zz","t"&amp;D864))</f>
        <v/>
      </c>
      <c r="K864" s="28">
        <f>IF(OR(A864="",C864=""),"",IF(IFERROR(INDEX(DayStat,A864-DATE(PlanYear,1,1)+1)&amp;"","")&lt;&gt;"",0,1))</f>
        <v/>
      </c>
      <c r="L864" s="28">
        <f>IF(K864="","",K864*IFERROR(VLOOKUP(C864,CodeTable,4,0),0))</f>
        <v/>
      </c>
    </row>
    <row r="865">
      <c r="A865" s="22" t="n"/>
      <c r="B865" s="23" t="n"/>
      <c r="C865" s="24" t="n"/>
      <c r="D865" s="25" t="n"/>
      <c r="E865" s="26" t="n"/>
      <c r="F865" s="26" t="n"/>
      <c r="G865" s="27">
        <f>IF(C865="","",IFERROR(VLOOKUP(C865,CodeTable,3,0),1))</f>
        <v/>
      </c>
      <c r="H865" s="27">
        <f>IF(C865="","",IF(E865&lt;&gt;"",E865,IF(IFERROR(VLOOKUP(C865,CodeTable,5,0)&amp;"","")="","All",VLOOKUP(C865,CodeTable,5,0)&amp;"")))</f>
        <v/>
      </c>
      <c r="I865" s="28">
        <f>IF(OR(A865="",C865=""),"",A865&amp;"|"&amp;B865&amp;"|"&amp;(COUNTIFS(FlDate,A865,FlShift,B865,FlCode,"&lt;&gt;",FlOrder,"&lt;"&amp;J865)+COUNTIFS(A$6:A865,A865,B$6:B865,B865,C$6:C865,"&lt;&gt;",J$6:J865,J865)))</f>
        <v/>
      </c>
      <c r="J865" s="28">
        <f>IF(C865="","",IF(D865="","zz","t"&amp;D865))</f>
        <v/>
      </c>
      <c r="K865" s="28">
        <f>IF(OR(A865="",C865=""),"",IF(IFERROR(INDEX(DayStat,A865-DATE(PlanYear,1,1)+1)&amp;"","")&lt;&gt;"",0,1))</f>
        <v/>
      </c>
      <c r="L865" s="28">
        <f>IF(K865="","",K865*IFERROR(VLOOKUP(C865,CodeTable,4,0),0))</f>
        <v/>
      </c>
    </row>
    <row r="866">
      <c r="A866" s="22" t="n"/>
      <c r="B866" s="23" t="n"/>
      <c r="C866" s="24" t="n"/>
      <c r="D866" s="25" t="n"/>
      <c r="E866" s="26" t="n"/>
      <c r="F866" s="26" t="n"/>
      <c r="G866" s="27">
        <f>IF(C866="","",IFERROR(VLOOKUP(C866,CodeTable,3,0),1))</f>
        <v/>
      </c>
      <c r="H866" s="27">
        <f>IF(C866="","",IF(E866&lt;&gt;"",E866,IF(IFERROR(VLOOKUP(C866,CodeTable,5,0)&amp;"","")="","All",VLOOKUP(C866,CodeTable,5,0)&amp;"")))</f>
        <v/>
      </c>
      <c r="I866" s="28">
        <f>IF(OR(A866="",C866=""),"",A866&amp;"|"&amp;B866&amp;"|"&amp;(COUNTIFS(FlDate,A866,FlShift,B866,FlCode,"&lt;&gt;",FlOrder,"&lt;"&amp;J866)+COUNTIFS(A$6:A866,A866,B$6:B866,B866,C$6:C866,"&lt;&gt;",J$6:J866,J866)))</f>
        <v/>
      </c>
      <c r="J866" s="28">
        <f>IF(C866="","",IF(D866="","zz","t"&amp;D866))</f>
        <v/>
      </c>
      <c r="K866" s="28">
        <f>IF(OR(A866="",C866=""),"",IF(IFERROR(INDEX(DayStat,A866-DATE(PlanYear,1,1)+1)&amp;"","")&lt;&gt;"",0,1))</f>
        <v/>
      </c>
      <c r="L866" s="28">
        <f>IF(K866="","",K866*IFERROR(VLOOKUP(C866,CodeTable,4,0),0))</f>
        <v/>
      </c>
    </row>
    <row r="867">
      <c r="A867" s="22" t="n"/>
      <c r="B867" s="23" t="n"/>
      <c r="C867" s="24" t="n"/>
      <c r="D867" s="25" t="n"/>
      <c r="E867" s="26" t="n"/>
      <c r="F867" s="26" t="n"/>
      <c r="G867" s="27">
        <f>IF(C867="","",IFERROR(VLOOKUP(C867,CodeTable,3,0),1))</f>
        <v/>
      </c>
      <c r="H867" s="27">
        <f>IF(C867="","",IF(E867&lt;&gt;"",E867,IF(IFERROR(VLOOKUP(C867,CodeTable,5,0)&amp;"","")="","All",VLOOKUP(C867,CodeTable,5,0)&amp;"")))</f>
        <v/>
      </c>
      <c r="I867" s="28">
        <f>IF(OR(A867="",C867=""),"",A867&amp;"|"&amp;B867&amp;"|"&amp;(COUNTIFS(FlDate,A867,FlShift,B867,FlCode,"&lt;&gt;",FlOrder,"&lt;"&amp;J867)+COUNTIFS(A$6:A867,A867,B$6:B867,B867,C$6:C867,"&lt;&gt;",J$6:J867,J867)))</f>
        <v/>
      </c>
      <c r="J867" s="28">
        <f>IF(C867="","",IF(D867="","zz","t"&amp;D867))</f>
        <v/>
      </c>
      <c r="K867" s="28">
        <f>IF(OR(A867="",C867=""),"",IF(IFERROR(INDEX(DayStat,A867-DATE(PlanYear,1,1)+1)&amp;"","")&lt;&gt;"",0,1))</f>
        <v/>
      </c>
      <c r="L867" s="28">
        <f>IF(K867="","",K867*IFERROR(VLOOKUP(C867,CodeTable,4,0),0))</f>
        <v/>
      </c>
    </row>
    <row r="868">
      <c r="A868" s="22" t="n"/>
      <c r="B868" s="23" t="n"/>
      <c r="C868" s="24" t="n"/>
      <c r="D868" s="25" t="n"/>
      <c r="E868" s="26" t="n"/>
      <c r="F868" s="26" t="n"/>
      <c r="G868" s="27">
        <f>IF(C868="","",IFERROR(VLOOKUP(C868,CodeTable,3,0),1))</f>
        <v/>
      </c>
      <c r="H868" s="27">
        <f>IF(C868="","",IF(E868&lt;&gt;"",E868,IF(IFERROR(VLOOKUP(C868,CodeTable,5,0)&amp;"","")="","All",VLOOKUP(C868,CodeTable,5,0)&amp;"")))</f>
        <v/>
      </c>
      <c r="I868" s="28">
        <f>IF(OR(A868="",C868=""),"",A868&amp;"|"&amp;B868&amp;"|"&amp;(COUNTIFS(FlDate,A868,FlShift,B868,FlCode,"&lt;&gt;",FlOrder,"&lt;"&amp;J868)+COUNTIFS(A$6:A868,A868,B$6:B868,B868,C$6:C868,"&lt;&gt;",J$6:J868,J868)))</f>
        <v/>
      </c>
      <c r="J868" s="28">
        <f>IF(C868="","",IF(D868="","zz","t"&amp;D868))</f>
        <v/>
      </c>
      <c r="K868" s="28">
        <f>IF(OR(A868="",C868=""),"",IF(IFERROR(INDEX(DayStat,A868-DATE(PlanYear,1,1)+1)&amp;"","")&lt;&gt;"",0,1))</f>
        <v/>
      </c>
      <c r="L868" s="28">
        <f>IF(K868="","",K868*IFERROR(VLOOKUP(C868,CodeTable,4,0),0))</f>
        <v/>
      </c>
    </row>
    <row r="869">
      <c r="A869" s="22" t="n"/>
      <c r="B869" s="23" t="n"/>
      <c r="C869" s="24" t="n"/>
      <c r="D869" s="25" t="n"/>
      <c r="E869" s="26" t="n"/>
      <c r="F869" s="26" t="n"/>
      <c r="G869" s="27">
        <f>IF(C869="","",IFERROR(VLOOKUP(C869,CodeTable,3,0),1))</f>
        <v/>
      </c>
      <c r="H869" s="27">
        <f>IF(C869="","",IF(E869&lt;&gt;"",E869,IF(IFERROR(VLOOKUP(C869,CodeTable,5,0)&amp;"","")="","All",VLOOKUP(C869,CodeTable,5,0)&amp;"")))</f>
        <v/>
      </c>
      <c r="I869" s="28">
        <f>IF(OR(A869="",C869=""),"",A869&amp;"|"&amp;B869&amp;"|"&amp;(COUNTIFS(FlDate,A869,FlShift,B869,FlCode,"&lt;&gt;",FlOrder,"&lt;"&amp;J869)+COUNTIFS(A$6:A869,A869,B$6:B869,B869,C$6:C869,"&lt;&gt;",J$6:J869,J869)))</f>
        <v/>
      </c>
      <c r="J869" s="28">
        <f>IF(C869="","",IF(D869="","zz","t"&amp;D869))</f>
        <v/>
      </c>
      <c r="K869" s="28">
        <f>IF(OR(A869="",C869=""),"",IF(IFERROR(INDEX(DayStat,A869-DATE(PlanYear,1,1)+1)&amp;"","")&lt;&gt;"",0,1))</f>
        <v/>
      </c>
      <c r="L869" s="28">
        <f>IF(K869="","",K869*IFERROR(VLOOKUP(C869,CodeTable,4,0),0))</f>
        <v/>
      </c>
    </row>
    <row r="870">
      <c r="A870" s="22" t="n"/>
      <c r="B870" s="23" t="n"/>
      <c r="C870" s="24" t="n"/>
      <c r="D870" s="25" t="n"/>
      <c r="E870" s="26" t="n"/>
      <c r="F870" s="26" t="n"/>
      <c r="G870" s="27">
        <f>IF(C870="","",IFERROR(VLOOKUP(C870,CodeTable,3,0),1))</f>
        <v/>
      </c>
      <c r="H870" s="27">
        <f>IF(C870="","",IF(E870&lt;&gt;"",E870,IF(IFERROR(VLOOKUP(C870,CodeTable,5,0)&amp;"","")="","All",VLOOKUP(C870,CodeTable,5,0)&amp;"")))</f>
        <v/>
      </c>
      <c r="I870" s="28">
        <f>IF(OR(A870="",C870=""),"",A870&amp;"|"&amp;B870&amp;"|"&amp;(COUNTIFS(FlDate,A870,FlShift,B870,FlCode,"&lt;&gt;",FlOrder,"&lt;"&amp;J870)+COUNTIFS(A$6:A870,A870,B$6:B870,B870,C$6:C870,"&lt;&gt;",J$6:J870,J870)))</f>
        <v/>
      </c>
      <c r="J870" s="28">
        <f>IF(C870="","",IF(D870="","zz","t"&amp;D870))</f>
        <v/>
      </c>
      <c r="K870" s="28">
        <f>IF(OR(A870="",C870=""),"",IF(IFERROR(INDEX(DayStat,A870-DATE(PlanYear,1,1)+1)&amp;"","")&lt;&gt;"",0,1))</f>
        <v/>
      </c>
      <c r="L870" s="28">
        <f>IF(K870="","",K870*IFERROR(VLOOKUP(C870,CodeTable,4,0),0))</f>
        <v/>
      </c>
    </row>
    <row r="871">
      <c r="A871" s="22" t="n"/>
      <c r="B871" s="23" t="n"/>
      <c r="C871" s="24" t="n"/>
      <c r="D871" s="25" t="n"/>
      <c r="E871" s="26" t="n"/>
      <c r="F871" s="26" t="n"/>
      <c r="G871" s="27">
        <f>IF(C871="","",IFERROR(VLOOKUP(C871,CodeTable,3,0),1))</f>
        <v/>
      </c>
      <c r="H871" s="27">
        <f>IF(C871="","",IF(E871&lt;&gt;"",E871,IF(IFERROR(VLOOKUP(C871,CodeTable,5,0)&amp;"","")="","All",VLOOKUP(C871,CodeTable,5,0)&amp;"")))</f>
        <v/>
      </c>
      <c r="I871" s="28">
        <f>IF(OR(A871="",C871=""),"",A871&amp;"|"&amp;B871&amp;"|"&amp;(COUNTIFS(FlDate,A871,FlShift,B871,FlCode,"&lt;&gt;",FlOrder,"&lt;"&amp;J871)+COUNTIFS(A$6:A871,A871,B$6:B871,B871,C$6:C871,"&lt;&gt;",J$6:J871,J871)))</f>
        <v/>
      </c>
      <c r="J871" s="28">
        <f>IF(C871="","",IF(D871="","zz","t"&amp;D871))</f>
        <v/>
      </c>
      <c r="K871" s="28">
        <f>IF(OR(A871="",C871=""),"",IF(IFERROR(INDEX(DayStat,A871-DATE(PlanYear,1,1)+1)&amp;"","")&lt;&gt;"",0,1))</f>
        <v/>
      </c>
      <c r="L871" s="28">
        <f>IF(K871="","",K871*IFERROR(VLOOKUP(C871,CodeTable,4,0),0))</f>
        <v/>
      </c>
    </row>
    <row r="872">
      <c r="A872" s="22" t="n"/>
      <c r="B872" s="23" t="n"/>
      <c r="C872" s="24" t="n"/>
      <c r="D872" s="25" t="n"/>
      <c r="E872" s="26" t="n"/>
      <c r="F872" s="26" t="n"/>
      <c r="G872" s="27">
        <f>IF(C872="","",IFERROR(VLOOKUP(C872,CodeTable,3,0),1))</f>
        <v/>
      </c>
      <c r="H872" s="27">
        <f>IF(C872="","",IF(E872&lt;&gt;"",E872,IF(IFERROR(VLOOKUP(C872,CodeTable,5,0)&amp;"","")="","All",VLOOKUP(C872,CodeTable,5,0)&amp;"")))</f>
        <v/>
      </c>
      <c r="I872" s="28">
        <f>IF(OR(A872="",C872=""),"",A872&amp;"|"&amp;B872&amp;"|"&amp;(COUNTIFS(FlDate,A872,FlShift,B872,FlCode,"&lt;&gt;",FlOrder,"&lt;"&amp;J872)+COUNTIFS(A$6:A872,A872,B$6:B872,B872,C$6:C872,"&lt;&gt;",J$6:J872,J872)))</f>
        <v/>
      </c>
      <c r="J872" s="28">
        <f>IF(C872="","",IF(D872="","zz","t"&amp;D872))</f>
        <v/>
      </c>
      <c r="K872" s="28">
        <f>IF(OR(A872="",C872=""),"",IF(IFERROR(INDEX(DayStat,A872-DATE(PlanYear,1,1)+1)&amp;"","")&lt;&gt;"",0,1))</f>
        <v/>
      </c>
      <c r="L872" s="28">
        <f>IF(K872="","",K872*IFERROR(VLOOKUP(C872,CodeTable,4,0),0))</f>
        <v/>
      </c>
    </row>
    <row r="873">
      <c r="A873" s="22" t="n"/>
      <c r="B873" s="23" t="n"/>
      <c r="C873" s="24" t="n"/>
      <c r="D873" s="25" t="n"/>
      <c r="E873" s="26" t="n"/>
      <c r="F873" s="26" t="n"/>
      <c r="G873" s="27">
        <f>IF(C873="","",IFERROR(VLOOKUP(C873,CodeTable,3,0),1))</f>
        <v/>
      </c>
      <c r="H873" s="27">
        <f>IF(C873="","",IF(E873&lt;&gt;"",E873,IF(IFERROR(VLOOKUP(C873,CodeTable,5,0)&amp;"","")="","All",VLOOKUP(C873,CodeTable,5,0)&amp;"")))</f>
        <v/>
      </c>
      <c r="I873" s="28">
        <f>IF(OR(A873="",C873=""),"",A873&amp;"|"&amp;B873&amp;"|"&amp;(COUNTIFS(FlDate,A873,FlShift,B873,FlCode,"&lt;&gt;",FlOrder,"&lt;"&amp;J873)+COUNTIFS(A$6:A873,A873,B$6:B873,B873,C$6:C873,"&lt;&gt;",J$6:J873,J873)))</f>
        <v/>
      </c>
      <c r="J873" s="28">
        <f>IF(C873="","",IF(D873="","zz","t"&amp;D873))</f>
        <v/>
      </c>
      <c r="K873" s="28">
        <f>IF(OR(A873="",C873=""),"",IF(IFERROR(INDEX(DayStat,A873-DATE(PlanYear,1,1)+1)&amp;"","")&lt;&gt;"",0,1))</f>
        <v/>
      </c>
      <c r="L873" s="28">
        <f>IF(K873="","",K873*IFERROR(VLOOKUP(C873,CodeTable,4,0),0))</f>
        <v/>
      </c>
    </row>
    <row r="874">
      <c r="A874" s="22" t="n"/>
      <c r="B874" s="23" t="n"/>
      <c r="C874" s="24" t="n"/>
      <c r="D874" s="25" t="n"/>
      <c r="E874" s="26" t="n"/>
      <c r="F874" s="26" t="n"/>
      <c r="G874" s="27">
        <f>IF(C874="","",IFERROR(VLOOKUP(C874,CodeTable,3,0),1))</f>
        <v/>
      </c>
      <c r="H874" s="27">
        <f>IF(C874="","",IF(E874&lt;&gt;"",E874,IF(IFERROR(VLOOKUP(C874,CodeTable,5,0)&amp;"","")="","All",VLOOKUP(C874,CodeTable,5,0)&amp;"")))</f>
        <v/>
      </c>
      <c r="I874" s="28">
        <f>IF(OR(A874="",C874=""),"",A874&amp;"|"&amp;B874&amp;"|"&amp;(COUNTIFS(FlDate,A874,FlShift,B874,FlCode,"&lt;&gt;",FlOrder,"&lt;"&amp;J874)+COUNTIFS(A$6:A874,A874,B$6:B874,B874,C$6:C874,"&lt;&gt;",J$6:J874,J874)))</f>
        <v/>
      </c>
      <c r="J874" s="28">
        <f>IF(C874="","",IF(D874="","zz","t"&amp;D874))</f>
        <v/>
      </c>
      <c r="K874" s="28">
        <f>IF(OR(A874="",C874=""),"",IF(IFERROR(INDEX(DayStat,A874-DATE(PlanYear,1,1)+1)&amp;"","")&lt;&gt;"",0,1))</f>
        <v/>
      </c>
      <c r="L874" s="28">
        <f>IF(K874="","",K874*IFERROR(VLOOKUP(C874,CodeTable,4,0),0))</f>
        <v/>
      </c>
    </row>
    <row r="875">
      <c r="A875" s="22" t="n"/>
      <c r="B875" s="23" t="n"/>
      <c r="C875" s="24" t="n"/>
      <c r="D875" s="25" t="n"/>
      <c r="E875" s="26" t="n"/>
      <c r="F875" s="26" t="n"/>
      <c r="G875" s="27">
        <f>IF(C875="","",IFERROR(VLOOKUP(C875,CodeTable,3,0),1))</f>
        <v/>
      </c>
      <c r="H875" s="27">
        <f>IF(C875="","",IF(E875&lt;&gt;"",E875,IF(IFERROR(VLOOKUP(C875,CodeTable,5,0)&amp;"","")="","All",VLOOKUP(C875,CodeTable,5,0)&amp;"")))</f>
        <v/>
      </c>
      <c r="I875" s="28">
        <f>IF(OR(A875="",C875=""),"",A875&amp;"|"&amp;B875&amp;"|"&amp;(COUNTIFS(FlDate,A875,FlShift,B875,FlCode,"&lt;&gt;",FlOrder,"&lt;"&amp;J875)+COUNTIFS(A$6:A875,A875,B$6:B875,B875,C$6:C875,"&lt;&gt;",J$6:J875,J875)))</f>
        <v/>
      </c>
      <c r="J875" s="28">
        <f>IF(C875="","",IF(D875="","zz","t"&amp;D875))</f>
        <v/>
      </c>
      <c r="K875" s="28">
        <f>IF(OR(A875="",C875=""),"",IF(IFERROR(INDEX(DayStat,A875-DATE(PlanYear,1,1)+1)&amp;"","")&lt;&gt;"",0,1))</f>
        <v/>
      </c>
      <c r="L875" s="28">
        <f>IF(K875="","",K875*IFERROR(VLOOKUP(C875,CodeTable,4,0),0))</f>
        <v/>
      </c>
    </row>
    <row r="876">
      <c r="A876" s="22" t="n"/>
      <c r="B876" s="23" t="n"/>
      <c r="C876" s="24" t="n"/>
      <c r="D876" s="25" t="n"/>
      <c r="E876" s="26" t="n"/>
      <c r="F876" s="26" t="n"/>
      <c r="G876" s="27">
        <f>IF(C876="","",IFERROR(VLOOKUP(C876,CodeTable,3,0),1))</f>
        <v/>
      </c>
      <c r="H876" s="27">
        <f>IF(C876="","",IF(E876&lt;&gt;"",E876,IF(IFERROR(VLOOKUP(C876,CodeTable,5,0)&amp;"","")="","All",VLOOKUP(C876,CodeTable,5,0)&amp;"")))</f>
        <v/>
      </c>
      <c r="I876" s="28">
        <f>IF(OR(A876="",C876=""),"",A876&amp;"|"&amp;B876&amp;"|"&amp;(COUNTIFS(FlDate,A876,FlShift,B876,FlCode,"&lt;&gt;",FlOrder,"&lt;"&amp;J876)+COUNTIFS(A$6:A876,A876,B$6:B876,B876,C$6:C876,"&lt;&gt;",J$6:J876,J876)))</f>
        <v/>
      </c>
      <c r="J876" s="28">
        <f>IF(C876="","",IF(D876="","zz","t"&amp;D876))</f>
        <v/>
      </c>
      <c r="K876" s="28">
        <f>IF(OR(A876="",C876=""),"",IF(IFERROR(INDEX(DayStat,A876-DATE(PlanYear,1,1)+1)&amp;"","")&lt;&gt;"",0,1))</f>
        <v/>
      </c>
      <c r="L876" s="28">
        <f>IF(K876="","",K876*IFERROR(VLOOKUP(C876,CodeTable,4,0),0))</f>
        <v/>
      </c>
    </row>
    <row r="877">
      <c r="A877" s="22" t="n"/>
      <c r="B877" s="23" t="n"/>
      <c r="C877" s="24" t="n"/>
      <c r="D877" s="25" t="n"/>
      <c r="E877" s="26" t="n"/>
      <c r="F877" s="26" t="n"/>
      <c r="G877" s="27">
        <f>IF(C877="","",IFERROR(VLOOKUP(C877,CodeTable,3,0),1))</f>
        <v/>
      </c>
      <c r="H877" s="27">
        <f>IF(C877="","",IF(E877&lt;&gt;"",E877,IF(IFERROR(VLOOKUP(C877,CodeTable,5,0)&amp;"","")="","All",VLOOKUP(C877,CodeTable,5,0)&amp;"")))</f>
        <v/>
      </c>
      <c r="I877" s="28">
        <f>IF(OR(A877="",C877=""),"",A877&amp;"|"&amp;B877&amp;"|"&amp;(COUNTIFS(FlDate,A877,FlShift,B877,FlCode,"&lt;&gt;",FlOrder,"&lt;"&amp;J877)+COUNTIFS(A$6:A877,A877,B$6:B877,B877,C$6:C877,"&lt;&gt;",J$6:J877,J877)))</f>
        <v/>
      </c>
      <c r="J877" s="28">
        <f>IF(C877="","",IF(D877="","zz","t"&amp;D877))</f>
        <v/>
      </c>
      <c r="K877" s="28">
        <f>IF(OR(A877="",C877=""),"",IF(IFERROR(INDEX(DayStat,A877-DATE(PlanYear,1,1)+1)&amp;"","")&lt;&gt;"",0,1))</f>
        <v/>
      </c>
      <c r="L877" s="28">
        <f>IF(K877="","",K877*IFERROR(VLOOKUP(C877,CodeTable,4,0),0))</f>
        <v/>
      </c>
    </row>
    <row r="878">
      <c r="A878" s="22" t="n"/>
      <c r="B878" s="23" t="n"/>
      <c r="C878" s="24" t="n"/>
      <c r="D878" s="25" t="n"/>
      <c r="E878" s="26" t="n"/>
      <c r="F878" s="26" t="n"/>
      <c r="G878" s="27">
        <f>IF(C878="","",IFERROR(VLOOKUP(C878,CodeTable,3,0),1))</f>
        <v/>
      </c>
      <c r="H878" s="27">
        <f>IF(C878="","",IF(E878&lt;&gt;"",E878,IF(IFERROR(VLOOKUP(C878,CodeTable,5,0)&amp;"","")="","All",VLOOKUP(C878,CodeTable,5,0)&amp;"")))</f>
        <v/>
      </c>
      <c r="I878" s="28">
        <f>IF(OR(A878="",C878=""),"",A878&amp;"|"&amp;B878&amp;"|"&amp;(COUNTIFS(FlDate,A878,FlShift,B878,FlCode,"&lt;&gt;",FlOrder,"&lt;"&amp;J878)+COUNTIFS(A$6:A878,A878,B$6:B878,B878,C$6:C878,"&lt;&gt;",J$6:J878,J878)))</f>
        <v/>
      </c>
      <c r="J878" s="28">
        <f>IF(C878="","",IF(D878="","zz","t"&amp;D878))</f>
        <v/>
      </c>
      <c r="K878" s="28">
        <f>IF(OR(A878="",C878=""),"",IF(IFERROR(INDEX(DayStat,A878-DATE(PlanYear,1,1)+1)&amp;"","")&lt;&gt;"",0,1))</f>
        <v/>
      </c>
      <c r="L878" s="28">
        <f>IF(K878="","",K878*IFERROR(VLOOKUP(C878,CodeTable,4,0),0))</f>
        <v/>
      </c>
    </row>
    <row r="879">
      <c r="A879" s="22" t="n"/>
      <c r="B879" s="23" t="n"/>
      <c r="C879" s="24" t="n"/>
      <c r="D879" s="25" t="n"/>
      <c r="E879" s="26" t="n"/>
      <c r="F879" s="26" t="n"/>
      <c r="G879" s="27">
        <f>IF(C879="","",IFERROR(VLOOKUP(C879,CodeTable,3,0),1))</f>
        <v/>
      </c>
      <c r="H879" s="27">
        <f>IF(C879="","",IF(E879&lt;&gt;"",E879,IF(IFERROR(VLOOKUP(C879,CodeTable,5,0)&amp;"","")="","All",VLOOKUP(C879,CodeTable,5,0)&amp;"")))</f>
        <v/>
      </c>
      <c r="I879" s="28">
        <f>IF(OR(A879="",C879=""),"",A879&amp;"|"&amp;B879&amp;"|"&amp;(COUNTIFS(FlDate,A879,FlShift,B879,FlCode,"&lt;&gt;",FlOrder,"&lt;"&amp;J879)+COUNTIFS(A$6:A879,A879,B$6:B879,B879,C$6:C879,"&lt;&gt;",J$6:J879,J879)))</f>
        <v/>
      </c>
      <c r="J879" s="28">
        <f>IF(C879="","",IF(D879="","zz","t"&amp;D879))</f>
        <v/>
      </c>
      <c r="K879" s="28">
        <f>IF(OR(A879="",C879=""),"",IF(IFERROR(INDEX(DayStat,A879-DATE(PlanYear,1,1)+1)&amp;"","")&lt;&gt;"",0,1))</f>
        <v/>
      </c>
      <c r="L879" s="28">
        <f>IF(K879="","",K879*IFERROR(VLOOKUP(C879,CodeTable,4,0),0))</f>
        <v/>
      </c>
    </row>
    <row r="880">
      <c r="A880" s="22" t="n"/>
      <c r="B880" s="23" t="n"/>
      <c r="C880" s="24" t="n"/>
      <c r="D880" s="25" t="n"/>
      <c r="E880" s="26" t="n"/>
      <c r="F880" s="26" t="n"/>
      <c r="G880" s="27">
        <f>IF(C880="","",IFERROR(VLOOKUP(C880,CodeTable,3,0),1))</f>
        <v/>
      </c>
      <c r="H880" s="27">
        <f>IF(C880="","",IF(E880&lt;&gt;"",E880,IF(IFERROR(VLOOKUP(C880,CodeTable,5,0)&amp;"","")="","All",VLOOKUP(C880,CodeTable,5,0)&amp;"")))</f>
        <v/>
      </c>
      <c r="I880" s="28">
        <f>IF(OR(A880="",C880=""),"",A880&amp;"|"&amp;B880&amp;"|"&amp;(COUNTIFS(FlDate,A880,FlShift,B880,FlCode,"&lt;&gt;",FlOrder,"&lt;"&amp;J880)+COUNTIFS(A$6:A880,A880,B$6:B880,B880,C$6:C880,"&lt;&gt;",J$6:J880,J880)))</f>
        <v/>
      </c>
      <c r="J880" s="28">
        <f>IF(C880="","",IF(D880="","zz","t"&amp;D880))</f>
        <v/>
      </c>
      <c r="K880" s="28">
        <f>IF(OR(A880="",C880=""),"",IF(IFERROR(INDEX(DayStat,A880-DATE(PlanYear,1,1)+1)&amp;"","")&lt;&gt;"",0,1))</f>
        <v/>
      </c>
      <c r="L880" s="28">
        <f>IF(K880="","",K880*IFERROR(VLOOKUP(C880,CodeTable,4,0),0))</f>
        <v/>
      </c>
    </row>
    <row r="881">
      <c r="A881" s="22" t="n"/>
      <c r="B881" s="23" t="n"/>
      <c r="C881" s="24" t="n"/>
      <c r="D881" s="25" t="n"/>
      <c r="E881" s="26" t="n"/>
      <c r="F881" s="26" t="n"/>
      <c r="G881" s="27">
        <f>IF(C881="","",IFERROR(VLOOKUP(C881,CodeTable,3,0),1))</f>
        <v/>
      </c>
      <c r="H881" s="27">
        <f>IF(C881="","",IF(E881&lt;&gt;"",E881,IF(IFERROR(VLOOKUP(C881,CodeTable,5,0)&amp;"","")="","All",VLOOKUP(C881,CodeTable,5,0)&amp;"")))</f>
        <v/>
      </c>
      <c r="I881" s="28">
        <f>IF(OR(A881="",C881=""),"",A881&amp;"|"&amp;B881&amp;"|"&amp;(COUNTIFS(FlDate,A881,FlShift,B881,FlCode,"&lt;&gt;",FlOrder,"&lt;"&amp;J881)+COUNTIFS(A$6:A881,A881,B$6:B881,B881,C$6:C881,"&lt;&gt;",J$6:J881,J881)))</f>
        <v/>
      </c>
      <c r="J881" s="28">
        <f>IF(C881="","",IF(D881="","zz","t"&amp;D881))</f>
        <v/>
      </c>
      <c r="K881" s="28">
        <f>IF(OR(A881="",C881=""),"",IF(IFERROR(INDEX(DayStat,A881-DATE(PlanYear,1,1)+1)&amp;"","")&lt;&gt;"",0,1))</f>
        <v/>
      </c>
      <c r="L881" s="28">
        <f>IF(K881="","",K881*IFERROR(VLOOKUP(C881,CodeTable,4,0),0))</f>
        <v/>
      </c>
    </row>
    <row r="882">
      <c r="A882" s="22" t="n"/>
      <c r="B882" s="23" t="n"/>
      <c r="C882" s="24" t="n"/>
      <c r="D882" s="25" t="n"/>
      <c r="E882" s="26" t="n"/>
      <c r="F882" s="26" t="n"/>
      <c r="G882" s="27">
        <f>IF(C882="","",IFERROR(VLOOKUP(C882,CodeTable,3,0),1))</f>
        <v/>
      </c>
      <c r="H882" s="27">
        <f>IF(C882="","",IF(E882&lt;&gt;"",E882,IF(IFERROR(VLOOKUP(C882,CodeTable,5,0)&amp;"","")="","All",VLOOKUP(C882,CodeTable,5,0)&amp;"")))</f>
        <v/>
      </c>
      <c r="I882" s="28">
        <f>IF(OR(A882="",C882=""),"",A882&amp;"|"&amp;B882&amp;"|"&amp;(COUNTIFS(FlDate,A882,FlShift,B882,FlCode,"&lt;&gt;",FlOrder,"&lt;"&amp;J882)+COUNTIFS(A$6:A882,A882,B$6:B882,B882,C$6:C882,"&lt;&gt;",J$6:J882,J882)))</f>
        <v/>
      </c>
      <c r="J882" s="28">
        <f>IF(C882="","",IF(D882="","zz","t"&amp;D882))</f>
        <v/>
      </c>
      <c r="K882" s="28">
        <f>IF(OR(A882="",C882=""),"",IF(IFERROR(INDEX(DayStat,A882-DATE(PlanYear,1,1)+1)&amp;"","")&lt;&gt;"",0,1))</f>
        <v/>
      </c>
      <c r="L882" s="28">
        <f>IF(K882="","",K882*IFERROR(VLOOKUP(C882,CodeTable,4,0),0))</f>
        <v/>
      </c>
    </row>
    <row r="883">
      <c r="A883" s="22" t="n"/>
      <c r="B883" s="23" t="n"/>
      <c r="C883" s="24" t="n"/>
      <c r="D883" s="25" t="n"/>
      <c r="E883" s="26" t="n"/>
      <c r="F883" s="26" t="n"/>
      <c r="G883" s="27">
        <f>IF(C883="","",IFERROR(VLOOKUP(C883,CodeTable,3,0),1))</f>
        <v/>
      </c>
      <c r="H883" s="27">
        <f>IF(C883="","",IF(E883&lt;&gt;"",E883,IF(IFERROR(VLOOKUP(C883,CodeTable,5,0)&amp;"","")="","All",VLOOKUP(C883,CodeTable,5,0)&amp;"")))</f>
        <v/>
      </c>
      <c r="I883" s="28">
        <f>IF(OR(A883="",C883=""),"",A883&amp;"|"&amp;B883&amp;"|"&amp;(COUNTIFS(FlDate,A883,FlShift,B883,FlCode,"&lt;&gt;",FlOrder,"&lt;"&amp;J883)+COUNTIFS(A$6:A883,A883,B$6:B883,B883,C$6:C883,"&lt;&gt;",J$6:J883,J883)))</f>
        <v/>
      </c>
      <c r="J883" s="28">
        <f>IF(C883="","",IF(D883="","zz","t"&amp;D883))</f>
        <v/>
      </c>
      <c r="K883" s="28">
        <f>IF(OR(A883="",C883=""),"",IF(IFERROR(INDEX(DayStat,A883-DATE(PlanYear,1,1)+1)&amp;"","")&lt;&gt;"",0,1))</f>
        <v/>
      </c>
      <c r="L883" s="28">
        <f>IF(K883="","",K883*IFERROR(VLOOKUP(C883,CodeTable,4,0),0))</f>
        <v/>
      </c>
    </row>
    <row r="884">
      <c r="A884" s="22" t="n"/>
      <c r="B884" s="23" t="n"/>
      <c r="C884" s="24" t="n"/>
      <c r="D884" s="25" t="n"/>
      <c r="E884" s="26" t="n"/>
      <c r="F884" s="26" t="n"/>
      <c r="G884" s="27">
        <f>IF(C884="","",IFERROR(VLOOKUP(C884,CodeTable,3,0),1))</f>
        <v/>
      </c>
      <c r="H884" s="27">
        <f>IF(C884="","",IF(E884&lt;&gt;"",E884,IF(IFERROR(VLOOKUP(C884,CodeTable,5,0)&amp;"","")="","All",VLOOKUP(C884,CodeTable,5,0)&amp;"")))</f>
        <v/>
      </c>
      <c r="I884" s="28">
        <f>IF(OR(A884="",C884=""),"",A884&amp;"|"&amp;B884&amp;"|"&amp;(COUNTIFS(FlDate,A884,FlShift,B884,FlCode,"&lt;&gt;",FlOrder,"&lt;"&amp;J884)+COUNTIFS(A$6:A884,A884,B$6:B884,B884,C$6:C884,"&lt;&gt;",J$6:J884,J884)))</f>
        <v/>
      </c>
      <c r="J884" s="28">
        <f>IF(C884="","",IF(D884="","zz","t"&amp;D884))</f>
        <v/>
      </c>
      <c r="K884" s="28">
        <f>IF(OR(A884="",C884=""),"",IF(IFERROR(INDEX(DayStat,A884-DATE(PlanYear,1,1)+1)&amp;"","")&lt;&gt;"",0,1))</f>
        <v/>
      </c>
      <c r="L884" s="28">
        <f>IF(K884="","",K884*IFERROR(VLOOKUP(C884,CodeTable,4,0),0))</f>
        <v/>
      </c>
    </row>
    <row r="885">
      <c r="A885" s="22" t="n"/>
      <c r="B885" s="23" t="n"/>
      <c r="C885" s="24" t="n"/>
      <c r="D885" s="25" t="n"/>
      <c r="E885" s="26" t="n"/>
      <c r="F885" s="26" t="n"/>
      <c r="G885" s="27">
        <f>IF(C885="","",IFERROR(VLOOKUP(C885,CodeTable,3,0),1))</f>
        <v/>
      </c>
      <c r="H885" s="27">
        <f>IF(C885="","",IF(E885&lt;&gt;"",E885,IF(IFERROR(VLOOKUP(C885,CodeTable,5,0)&amp;"","")="","All",VLOOKUP(C885,CodeTable,5,0)&amp;"")))</f>
        <v/>
      </c>
      <c r="I885" s="28">
        <f>IF(OR(A885="",C885=""),"",A885&amp;"|"&amp;B885&amp;"|"&amp;(COUNTIFS(FlDate,A885,FlShift,B885,FlCode,"&lt;&gt;",FlOrder,"&lt;"&amp;J885)+COUNTIFS(A$6:A885,A885,B$6:B885,B885,C$6:C885,"&lt;&gt;",J$6:J885,J885)))</f>
        <v/>
      </c>
      <c r="J885" s="28">
        <f>IF(C885="","",IF(D885="","zz","t"&amp;D885))</f>
        <v/>
      </c>
      <c r="K885" s="28">
        <f>IF(OR(A885="",C885=""),"",IF(IFERROR(INDEX(DayStat,A885-DATE(PlanYear,1,1)+1)&amp;"","")&lt;&gt;"",0,1))</f>
        <v/>
      </c>
      <c r="L885" s="28">
        <f>IF(K885="","",K885*IFERROR(VLOOKUP(C885,CodeTable,4,0),0))</f>
        <v/>
      </c>
    </row>
    <row r="886">
      <c r="A886" s="22" t="n"/>
      <c r="B886" s="23" t="n"/>
      <c r="C886" s="24" t="n"/>
      <c r="D886" s="25" t="n"/>
      <c r="E886" s="26" t="n"/>
      <c r="F886" s="26" t="n"/>
      <c r="G886" s="27">
        <f>IF(C886="","",IFERROR(VLOOKUP(C886,CodeTable,3,0),1))</f>
        <v/>
      </c>
      <c r="H886" s="27">
        <f>IF(C886="","",IF(E886&lt;&gt;"",E886,IF(IFERROR(VLOOKUP(C886,CodeTable,5,0)&amp;"","")="","All",VLOOKUP(C886,CodeTable,5,0)&amp;"")))</f>
        <v/>
      </c>
      <c r="I886" s="28">
        <f>IF(OR(A886="",C886=""),"",A886&amp;"|"&amp;B886&amp;"|"&amp;(COUNTIFS(FlDate,A886,FlShift,B886,FlCode,"&lt;&gt;",FlOrder,"&lt;"&amp;J886)+COUNTIFS(A$6:A886,A886,B$6:B886,B886,C$6:C886,"&lt;&gt;",J$6:J886,J886)))</f>
        <v/>
      </c>
      <c r="J886" s="28">
        <f>IF(C886="","",IF(D886="","zz","t"&amp;D886))</f>
        <v/>
      </c>
      <c r="K886" s="28">
        <f>IF(OR(A886="",C886=""),"",IF(IFERROR(INDEX(DayStat,A886-DATE(PlanYear,1,1)+1)&amp;"","")&lt;&gt;"",0,1))</f>
        <v/>
      </c>
      <c r="L886" s="28">
        <f>IF(K886="","",K886*IFERROR(VLOOKUP(C886,CodeTable,4,0),0))</f>
        <v/>
      </c>
    </row>
    <row r="887">
      <c r="A887" s="22" t="n"/>
      <c r="B887" s="23" t="n"/>
      <c r="C887" s="24" t="n"/>
      <c r="D887" s="25" t="n"/>
      <c r="E887" s="26" t="n"/>
      <c r="F887" s="26" t="n"/>
      <c r="G887" s="27">
        <f>IF(C887="","",IFERROR(VLOOKUP(C887,CodeTable,3,0),1))</f>
        <v/>
      </c>
      <c r="H887" s="27">
        <f>IF(C887="","",IF(E887&lt;&gt;"",E887,IF(IFERROR(VLOOKUP(C887,CodeTable,5,0)&amp;"","")="","All",VLOOKUP(C887,CodeTable,5,0)&amp;"")))</f>
        <v/>
      </c>
      <c r="I887" s="28">
        <f>IF(OR(A887="",C887=""),"",A887&amp;"|"&amp;B887&amp;"|"&amp;(COUNTIFS(FlDate,A887,FlShift,B887,FlCode,"&lt;&gt;",FlOrder,"&lt;"&amp;J887)+COUNTIFS(A$6:A887,A887,B$6:B887,B887,C$6:C887,"&lt;&gt;",J$6:J887,J887)))</f>
        <v/>
      </c>
      <c r="J887" s="28">
        <f>IF(C887="","",IF(D887="","zz","t"&amp;D887))</f>
        <v/>
      </c>
      <c r="K887" s="28">
        <f>IF(OR(A887="",C887=""),"",IF(IFERROR(INDEX(DayStat,A887-DATE(PlanYear,1,1)+1)&amp;"","")&lt;&gt;"",0,1))</f>
        <v/>
      </c>
      <c r="L887" s="28">
        <f>IF(K887="","",K887*IFERROR(VLOOKUP(C887,CodeTable,4,0),0))</f>
        <v/>
      </c>
    </row>
    <row r="888">
      <c r="A888" s="22" t="n"/>
      <c r="B888" s="23" t="n"/>
      <c r="C888" s="24" t="n"/>
      <c r="D888" s="25" t="n"/>
      <c r="E888" s="26" t="n"/>
      <c r="F888" s="26" t="n"/>
      <c r="G888" s="27">
        <f>IF(C888="","",IFERROR(VLOOKUP(C888,CodeTable,3,0),1))</f>
        <v/>
      </c>
      <c r="H888" s="27">
        <f>IF(C888="","",IF(E888&lt;&gt;"",E888,IF(IFERROR(VLOOKUP(C888,CodeTable,5,0)&amp;"","")="","All",VLOOKUP(C888,CodeTable,5,0)&amp;"")))</f>
        <v/>
      </c>
      <c r="I888" s="28">
        <f>IF(OR(A888="",C888=""),"",A888&amp;"|"&amp;B888&amp;"|"&amp;(COUNTIFS(FlDate,A888,FlShift,B888,FlCode,"&lt;&gt;",FlOrder,"&lt;"&amp;J888)+COUNTIFS(A$6:A888,A888,B$6:B888,B888,C$6:C888,"&lt;&gt;",J$6:J888,J888)))</f>
        <v/>
      </c>
      <c r="J888" s="28">
        <f>IF(C888="","",IF(D888="","zz","t"&amp;D888))</f>
        <v/>
      </c>
      <c r="K888" s="28">
        <f>IF(OR(A888="",C888=""),"",IF(IFERROR(INDEX(DayStat,A888-DATE(PlanYear,1,1)+1)&amp;"","")&lt;&gt;"",0,1))</f>
        <v/>
      </c>
      <c r="L888" s="28">
        <f>IF(K888="","",K888*IFERROR(VLOOKUP(C888,CodeTable,4,0),0))</f>
        <v/>
      </c>
    </row>
    <row r="889">
      <c r="A889" s="22" t="n"/>
      <c r="B889" s="23" t="n"/>
      <c r="C889" s="24" t="n"/>
      <c r="D889" s="25" t="n"/>
      <c r="E889" s="26" t="n"/>
      <c r="F889" s="26" t="n"/>
      <c r="G889" s="27">
        <f>IF(C889="","",IFERROR(VLOOKUP(C889,CodeTable,3,0),1))</f>
        <v/>
      </c>
      <c r="H889" s="27">
        <f>IF(C889="","",IF(E889&lt;&gt;"",E889,IF(IFERROR(VLOOKUP(C889,CodeTable,5,0)&amp;"","")="","All",VLOOKUP(C889,CodeTable,5,0)&amp;"")))</f>
        <v/>
      </c>
      <c r="I889" s="28">
        <f>IF(OR(A889="",C889=""),"",A889&amp;"|"&amp;B889&amp;"|"&amp;(COUNTIFS(FlDate,A889,FlShift,B889,FlCode,"&lt;&gt;",FlOrder,"&lt;"&amp;J889)+COUNTIFS(A$6:A889,A889,B$6:B889,B889,C$6:C889,"&lt;&gt;",J$6:J889,J889)))</f>
        <v/>
      </c>
      <c r="J889" s="28">
        <f>IF(C889="","",IF(D889="","zz","t"&amp;D889))</f>
        <v/>
      </c>
      <c r="K889" s="28">
        <f>IF(OR(A889="",C889=""),"",IF(IFERROR(INDEX(DayStat,A889-DATE(PlanYear,1,1)+1)&amp;"","")&lt;&gt;"",0,1))</f>
        <v/>
      </c>
      <c r="L889" s="28">
        <f>IF(K889="","",K889*IFERROR(VLOOKUP(C889,CodeTable,4,0),0))</f>
        <v/>
      </c>
    </row>
    <row r="890">
      <c r="A890" s="22" t="n"/>
      <c r="B890" s="23" t="n"/>
      <c r="C890" s="24" t="n"/>
      <c r="D890" s="25" t="n"/>
      <c r="E890" s="26" t="n"/>
      <c r="F890" s="26" t="n"/>
      <c r="G890" s="27">
        <f>IF(C890="","",IFERROR(VLOOKUP(C890,CodeTable,3,0),1))</f>
        <v/>
      </c>
      <c r="H890" s="27">
        <f>IF(C890="","",IF(E890&lt;&gt;"",E890,IF(IFERROR(VLOOKUP(C890,CodeTable,5,0)&amp;"","")="","All",VLOOKUP(C890,CodeTable,5,0)&amp;"")))</f>
        <v/>
      </c>
      <c r="I890" s="28">
        <f>IF(OR(A890="",C890=""),"",A890&amp;"|"&amp;B890&amp;"|"&amp;(COUNTIFS(FlDate,A890,FlShift,B890,FlCode,"&lt;&gt;",FlOrder,"&lt;"&amp;J890)+COUNTIFS(A$6:A890,A890,B$6:B890,B890,C$6:C890,"&lt;&gt;",J$6:J890,J890)))</f>
        <v/>
      </c>
      <c r="J890" s="28">
        <f>IF(C890="","",IF(D890="","zz","t"&amp;D890))</f>
        <v/>
      </c>
      <c r="K890" s="28">
        <f>IF(OR(A890="",C890=""),"",IF(IFERROR(INDEX(DayStat,A890-DATE(PlanYear,1,1)+1)&amp;"","")&lt;&gt;"",0,1))</f>
        <v/>
      </c>
      <c r="L890" s="28">
        <f>IF(K890="","",K890*IFERROR(VLOOKUP(C890,CodeTable,4,0),0))</f>
        <v/>
      </c>
    </row>
    <row r="891">
      <c r="A891" s="22" t="n"/>
      <c r="B891" s="23" t="n"/>
      <c r="C891" s="24" t="n"/>
      <c r="D891" s="25" t="n"/>
      <c r="E891" s="26" t="n"/>
      <c r="F891" s="26" t="n"/>
      <c r="G891" s="27">
        <f>IF(C891="","",IFERROR(VLOOKUP(C891,CodeTable,3,0),1))</f>
        <v/>
      </c>
      <c r="H891" s="27">
        <f>IF(C891="","",IF(E891&lt;&gt;"",E891,IF(IFERROR(VLOOKUP(C891,CodeTable,5,0)&amp;"","")="","All",VLOOKUP(C891,CodeTable,5,0)&amp;"")))</f>
        <v/>
      </c>
      <c r="I891" s="28">
        <f>IF(OR(A891="",C891=""),"",A891&amp;"|"&amp;B891&amp;"|"&amp;(COUNTIFS(FlDate,A891,FlShift,B891,FlCode,"&lt;&gt;",FlOrder,"&lt;"&amp;J891)+COUNTIFS(A$6:A891,A891,B$6:B891,B891,C$6:C891,"&lt;&gt;",J$6:J891,J891)))</f>
        <v/>
      </c>
      <c r="J891" s="28">
        <f>IF(C891="","",IF(D891="","zz","t"&amp;D891))</f>
        <v/>
      </c>
      <c r="K891" s="28">
        <f>IF(OR(A891="",C891=""),"",IF(IFERROR(INDEX(DayStat,A891-DATE(PlanYear,1,1)+1)&amp;"","")&lt;&gt;"",0,1))</f>
        <v/>
      </c>
      <c r="L891" s="28">
        <f>IF(K891="","",K891*IFERROR(VLOOKUP(C891,CodeTable,4,0),0))</f>
        <v/>
      </c>
    </row>
    <row r="892">
      <c r="A892" s="22" t="n"/>
      <c r="B892" s="23" t="n"/>
      <c r="C892" s="24" t="n"/>
      <c r="D892" s="25" t="n"/>
      <c r="E892" s="26" t="n"/>
      <c r="F892" s="26" t="n"/>
      <c r="G892" s="27">
        <f>IF(C892="","",IFERROR(VLOOKUP(C892,CodeTable,3,0),1))</f>
        <v/>
      </c>
      <c r="H892" s="27">
        <f>IF(C892="","",IF(E892&lt;&gt;"",E892,IF(IFERROR(VLOOKUP(C892,CodeTable,5,0)&amp;"","")="","All",VLOOKUP(C892,CodeTable,5,0)&amp;"")))</f>
        <v/>
      </c>
      <c r="I892" s="28">
        <f>IF(OR(A892="",C892=""),"",A892&amp;"|"&amp;B892&amp;"|"&amp;(COUNTIFS(FlDate,A892,FlShift,B892,FlCode,"&lt;&gt;",FlOrder,"&lt;"&amp;J892)+COUNTIFS(A$6:A892,A892,B$6:B892,B892,C$6:C892,"&lt;&gt;",J$6:J892,J892)))</f>
        <v/>
      </c>
      <c r="J892" s="28">
        <f>IF(C892="","",IF(D892="","zz","t"&amp;D892))</f>
        <v/>
      </c>
      <c r="K892" s="28">
        <f>IF(OR(A892="",C892=""),"",IF(IFERROR(INDEX(DayStat,A892-DATE(PlanYear,1,1)+1)&amp;"","")&lt;&gt;"",0,1))</f>
        <v/>
      </c>
      <c r="L892" s="28">
        <f>IF(K892="","",K892*IFERROR(VLOOKUP(C892,CodeTable,4,0),0))</f>
        <v/>
      </c>
    </row>
    <row r="893">
      <c r="A893" s="22" t="n"/>
      <c r="B893" s="23" t="n"/>
      <c r="C893" s="24" t="n"/>
      <c r="D893" s="25" t="n"/>
      <c r="E893" s="26" t="n"/>
      <c r="F893" s="26" t="n"/>
      <c r="G893" s="27">
        <f>IF(C893="","",IFERROR(VLOOKUP(C893,CodeTable,3,0),1))</f>
        <v/>
      </c>
      <c r="H893" s="27">
        <f>IF(C893="","",IF(E893&lt;&gt;"",E893,IF(IFERROR(VLOOKUP(C893,CodeTable,5,0)&amp;"","")="","All",VLOOKUP(C893,CodeTable,5,0)&amp;"")))</f>
        <v/>
      </c>
      <c r="I893" s="28">
        <f>IF(OR(A893="",C893=""),"",A893&amp;"|"&amp;B893&amp;"|"&amp;(COUNTIFS(FlDate,A893,FlShift,B893,FlCode,"&lt;&gt;",FlOrder,"&lt;"&amp;J893)+COUNTIFS(A$6:A893,A893,B$6:B893,B893,C$6:C893,"&lt;&gt;",J$6:J893,J893)))</f>
        <v/>
      </c>
      <c r="J893" s="28">
        <f>IF(C893="","",IF(D893="","zz","t"&amp;D893))</f>
        <v/>
      </c>
      <c r="K893" s="28">
        <f>IF(OR(A893="",C893=""),"",IF(IFERROR(INDEX(DayStat,A893-DATE(PlanYear,1,1)+1)&amp;"","")&lt;&gt;"",0,1))</f>
        <v/>
      </c>
      <c r="L893" s="28">
        <f>IF(K893="","",K893*IFERROR(VLOOKUP(C893,CodeTable,4,0),0))</f>
        <v/>
      </c>
    </row>
    <row r="894">
      <c r="A894" s="22" t="n"/>
      <c r="B894" s="23" t="n"/>
      <c r="C894" s="24" t="n"/>
      <c r="D894" s="25" t="n"/>
      <c r="E894" s="26" t="n"/>
      <c r="F894" s="26" t="n"/>
      <c r="G894" s="27">
        <f>IF(C894="","",IFERROR(VLOOKUP(C894,CodeTable,3,0),1))</f>
        <v/>
      </c>
      <c r="H894" s="27">
        <f>IF(C894="","",IF(E894&lt;&gt;"",E894,IF(IFERROR(VLOOKUP(C894,CodeTable,5,0)&amp;"","")="","All",VLOOKUP(C894,CodeTable,5,0)&amp;"")))</f>
        <v/>
      </c>
      <c r="I894" s="28">
        <f>IF(OR(A894="",C894=""),"",A894&amp;"|"&amp;B894&amp;"|"&amp;(COUNTIFS(FlDate,A894,FlShift,B894,FlCode,"&lt;&gt;",FlOrder,"&lt;"&amp;J894)+COUNTIFS(A$6:A894,A894,B$6:B894,B894,C$6:C894,"&lt;&gt;",J$6:J894,J894)))</f>
        <v/>
      </c>
      <c r="J894" s="28">
        <f>IF(C894="","",IF(D894="","zz","t"&amp;D894))</f>
        <v/>
      </c>
      <c r="K894" s="28">
        <f>IF(OR(A894="",C894=""),"",IF(IFERROR(INDEX(DayStat,A894-DATE(PlanYear,1,1)+1)&amp;"","")&lt;&gt;"",0,1))</f>
        <v/>
      </c>
      <c r="L894" s="28">
        <f>IF(K894="","",K894*IFERROR(VLOOKUP(C894,CodeTable,4,0),0))</f>
        <v/>
      </c>
    </row>
    <row r="895">
      <c r="A895" s="22" t="n"/>
      <c r="B895" s="23" t="n"/>
      <c r="C895" s="24" t="n"/>
      <c r="D895" s="25" t="n"/>
      <c r="E895" s="26" t="n"/>
      <c r="F895" s="26" t="n"/>
      <c r="G895" s="27">
        <f>IF(C895="","",IFERROR(VLOOKUP(C895,CodeTable,3,0),1))</f>
        <v/>
      </c>
      <c r="H895" s="27">
        <f>IF(C895="","",IF(E895&lt;&gt;"",E895,IF(IFERROR(VLOOKUP(C895,CodeTable,5,0)&amp;"","")="","All",VLOOKUP(C895,CodeTable,5,0)&amp;"")))</f>
        <v/>
      </c>
      <c r="I895" s="28">
        <f>IF(OR(A895="",C895=""),"",A895&amp;"|"&amp;B895&amp;"|"&amp;(COUNTIFS(FlDate,A895,FlShift,B895,FlCode,"&lt;&gt;",FlOrder,"&lt;"&amp;J895)+COUNTIFS(A$6:A895,A895,B$6:B895,B895,C$6:C895,"&lt;&gt;",J$6:J895,J895)))</f>
        <v/>
      </c>
      <c r="J895" s="28">
        <f>IF(C895="","",IF(D895="","zz","t"&amp;D895))</f>
        <v/>
      </c>
      <c r="K895" s="28">
        <f>IF(OR(A895="",C895=""),"",IF(IFERROR(INDEX(DayStat,A895-DATE(PlanYear,1,1)+1)&amp;"","")&lt;&gt;"",0,1))</f>
        <v/>
      </c>
      <c r="L895" s="28">
        <f>IF(K895="","",K895*IFERROR(VLOOKUP(C895,CodeTable,4,0),0))</f>
        <v/>
      </c>
    </row>
    <row r="896">
      <c r="A896" s="22" t="n"/>
      <c r="B896" s="23" t="n"/>
      <c r="C896" s="24" t="n"/>
      <c r="D896" s="25" t="n"/>
      <c r="E896" s="26" t="n"/>
      <c r="F896" s="26" t="n"/>
      <c r="G896" s="27">
        <f>IF(C896="","",IFERROR(VLOOKUP(C896,CodeTable,3,0),1))</f>
        <v/>
      </c>
      <c r="H896" s="27">
        <f>IF(C896="","",IF(E896&lt;&gt;"",E896,IF(IFERROR(VLOOKUP(C896,CodeTable,5,0)&amp;"","")="","All",VLOOKUP(C896,CodeTable,5,0)&amp;"")))</f>
        <v/>
      </c>
      <c r="I896" s="28">
        <f>IF(OR(A896="",C896=""),"",A896&amp;"|"&amp;B896&amp;"|"&amp;(COUNTIFS(FlDate,A896,FlShift,B896,FlCode,"&lt;&gt;",FlOrder,"&lt;"&amp;J896)+COUNTIFS(A$6:A896,A896,B$6:B896,B896,C$6:C896,"&lt;&gt;",J$6:J896,J896)))</f>
        <v/>
      </c>
      <c r="J896" s="28">
        <f>IF(C896="","",IF(D896="","zz","t"&amp;D896))</f>
        <v/>
      </c>
      <c r="K896" s="28">
        <f>IF(OR(A896="",C896=""),"",IF(IFERROR(INDEX(DayStat,A896-DATE(PlanYear,1,1)+1)&amp;"","")&lt;&gt;"",0,1))</f>
        <v/>
      </c>
      <c r="L896" s="28">
        <f>IF(K896="","",K896*IFERROR(VLOOKUP(C896,CodeTable,4,0),0))</f>
        <v/>
      </c>
    </row>
    <row r="897">
      <c r="A897" s="22" t="n"/>
      <c r="B897" s="23" t="n"/>
      <c r="C897" s="24" t="n"/>
      <c r="D897" s="25" t="n"/>
      <c r="E897" s="26" t="n"/>
      <c r="F897" s="26" t="n"/>
      <c r="G897" s="27">
        <f>IF(C897="","",IFERROR(VLOOKUP(C897,CodeTable,3,0),1))</f>
        <v/>
      </c>
      <c r="H897" s="27">
        <f>IF(C897="","",IF(E897&lt;&gt;"",E897,IF(IFERROR(VLOOKUP(C897,CodeTable,5,0)&amp;"","")="","All",VLOOKUP(C897,CodeTable,5,0)&amp;"")))</f>
        <v/>
      </c>
      <c r="I897" s="28">
        <f>IF(OR(A897="",C897=""),"",A897&amp;"|"&amp;B897&amp;"|"&amp;(COUNTIFS(FlDate,A897,FlShift,B897,FlCode,"&lt;&gt;",FlOrder,"&lt;"&amp;J897)+COUNTIFS(A$6:A897,A897,B$6:B897,B897,C$6:C897,"&lt;&gt;",J$6:J897,J897)))</f>
        <v/>
      </c>
      <c r="J897" s="28">
        <f>IF(C897="","",IF(D897="","zz","t"&amp;D897))</f>
        <v/>
      </c>
      <c r="K897" s="28">
        <f>IF(OR(A897="",C897=""),"",IF(IFERROR(INDEX(DayStat,A897-DATE(PlanYear,1,1)+1)&amp;"","")&lt;&gt;"",0,1))</f>
        <v/>
      </c>
      <c r="L897" s="28">
        <f>IF(K897="","",K897*IFERROR(VLOOKUP(C897,CodeTable,4,0),0))</f>
        <v/>
      </c>
    </row>
    <row r="898">
      <c r="A898" s="22" t="n"/>
      <c r="B898" s="23" t="n"/>
      <c r="C898" s="24" t="n"/>
      <c r="D898" s="25" t="n"/>
      <c r="E898" s="26" t="n"/>
      <c r="F898" s="26" t="n"/>
      <c r="G898" s="27">
        <f>IF(C898="","",IFERROR(VLOOKUP(C898,CodeTable,3,0),1))</f>
        <v/>
      </c>
      <c r="H898" s="27">
        <f>IF(C898="","",IF(E898&lt;&gt;"",E898,IF(IFERROR(VLOOKUP(C898,CodeTable,5,0)&amp;"","")="","All",VLOOKUP(C898,CodeTable,5,0)&amp;"")))</f>
        <v/>
      </c>
      <c r="I898" s="28">
        <f>IF(OR(A898="",C898=""),"",A898&amp;"|"&amp;B898&amp;"|"&amp;(COUNTIFS(FlDate,A898,FlShift,B898,FlCode,"&lt;&gt;",FlOrder,"&lt;"&amp;J898)+COUNTIFS(A$6:A898,A898,B$6:B898,B898,C$6:C898,"&lt;&gt;",J$6:J898,J898)))</f>
        <v/>
      </c>
      <c r="J898" s="28">
        <f>IF(C898="","",IF(D898="","zz","t"&amp;D898))</f>
        <v/>
      </c>
      <c r="K898" s="28">
        <f>IF(OR(A898="",C898=""),"",IF(IFERROR(INDEX(DayStat,A898-DATE(PlanYear,1,1)+1)&amp;"","")&lt;&gt;"",0,1))</f>
        <v/>
      </c>
      <c r="L898" s="28">
        <f>IF(K898="","",K898*IFERROR(VLOOKUP(C898,CodeTable,4,0),0))</f>
        <v/>
      </c>
    </row>
    <row r="899">
      <c r="A899" s="22" t="n"/>
      <c r="B899" s="23" t="n"/>
      <c r="C899" s="24" t="n"/>
      <c r="D899" s="25" t="n"/>
      <c r="E899" s="26" t="n"/>
      <c r="F899" s="26" t="n"/>
      <c r="G899" s="27">
        <f>IF(C899="","",IFERROR(VLOOKUP(C899,CodeTable,3,0),1))</f>
        <v/>
      </c>
      <c r="H899" s="27">
        <f>IF(C899="","",IF(E899&lt;&gt;"",E899,IF(IFERROR(VLOOKUP(C899,CodeTable,5,0)&amp;"","")="","All",VLOOKUP(C899,CodeTable,5,0)&amp;"")))</f>
        <v/>
      </c>
      <c r="I899" s="28">
        <f>IF(OR(A899="",C899=""),"",A899&amp;"|"&amp;B899&amp;"|"&amp;(COUNTIFS(FlDate,A899,FlShift,B899,FlCode,"&lt;&gt;",FlOrder,"&lt;"&amp;J899)+COUNTIFS(A$6:A899,A899,B$6:B899,B899,C$6:C899,"&lt;&gt;",J$6:J899,J899)))</f>
        <v/>
      </c>
      <c r="J899" s="28">
        <f>IF(C899="","",IF(D899="","zz","t"&amp;D899))</f>
        <v/>
      </c>
      <c r="K899" s="28">
        <f>IF(OR(A899="",C899=""),"",IF(IFERROR(INDEX(DayStat,A899-DATE(PlanYear,1,1)+1)&amp;"","")&lt;&gt;"",0,1))</f>
        <v/>
      </c>
      <c r="L899" s="28">
        <f>IF(K899="","",K899*IFERROR(VLOOKUP(C899,CodeTable,4,0),0))</f>
        <v/>
      </c>
    </row>
    <row r="900">
      <c r="A900" s="22" t="n"/>
      <c r="B900" s="23" t="n"/>
      <c r="C900" s="24" t="n"/>
      <c r="D900" s="25" t="n"/>
      <c r="E900" s="26" t="n"/>
      <c r="F900" s="26" t="n"/>
      <c r="G900" s="27">
        <f>IF(C900="","",IFERROR(VLOOKUP(C900,CodeTable,3,0),1))</f>
        <v/>
      </c>
      <c r="H900" s="27">
        <f>IF(C900="","",IF(E900&lt;&gt;"",E900,IF(IFERROR(VLOOKUP(C900,CodeTable,5,0)&amp;"","")="","All",VLOOKUP(C900,CodeTable,5,0)&amp;"")))</f>
        <v/>
      </c>
      <c r="I900" s="28">
        <f>IF(OR(A900="",C900=""),"",A900&amp;"|"&amp;B900&amp;"|"&amp;(COUNTIFS(FlDate,A900,FlShift,B900,FlCode,"&lt;&gt;",FlOrder,"&lt;"&amp;J900)+COUNTIFS(A$6:A900,A900,B$6:B900,B900,C$6:C900,"&lt;&gt;",J$6:J900,J900)))</f>
        <v/>
      </c>
      <c r="J900" s="28">
        <f>IF(C900="","",IF(D900="","zz","t"&amp;D900))</f>
        <v/>
      </c>
      <c r="K900" s="28">
        <f>IF(OR(A900="",C900=""),"",IF(IFERROR(INDEX(DayStat,A900-DATE(PlanYear,1,1)+1)&amp;"","")&lt;&gt;"",0,1))</f>
        <v/>
      </c>
      <c r="L900" s="28">
        <f>IF(K900="","",K900*IFERROR(VLOOKUP(C900,CodeTable,4,0),0))</f>
        <v/>
      </c>
    </row>
    <row r="901">
      <c r="A901" s="22" t="n"/>
      <c r="B901" s="23" t="n"/>
      <c r="C901" s="24" t="n"/>
      <c r="D901" s="25" t="n"/>
      <c r="E901" s="26" t="n"/>
      <c r="F901" s="26" t="n"/>
      <c r="G901" s="27">
        <f>IF(C901="","",IFERROR(VLOOKUP(C901,CodeTable,3,0),1))</f>
        <v/>
      </c>
      <c r="H901" s="27">
        <f>IF(C901="","",IF(E901&lt;&gt;"",E901,IF(IFERROR(VLOOKUP(C901,CodeTable,5,0)&amp;"","")="","All",VLOOKUP(C901,CodeTable,5,0)&amp;"")))</f>
        <v/>
      </c>
      <c r="I901" s="28">
        <f>IF(OR(A901="",C901=""),"",A901&amp;"|"&amp;B901&amp;"|"&amp;(COUNTIFS(FlDate,A901,FlShift,B901,FlCode,"&lt;&gt;",FlOrder,"&lt;"&amp;J901)+COUNTIFS(A$6:A901,A901,B$6:B901,B901,C$6:C901,"&lt;&gt;",J$6:J901,J901)))</f>
        <v/>
      </c>
      <c r="J901" s="28">
        <f>IF(C901="","",IF(D901="","zz","t"&amp;D901))</f>
        <v/>
      </c>
      <c r="K901" s="28">
        <f>IF(OR(A901="",C901=""),"",IF(IFERROR(INDEX(DayStat,A901-DATE(PlanYear,1,1)+1)&amp;"","")&lt;&gt;"",0,1))</f>
        <v/>
      </c>
      <c r="L901" s="28">
        <f>IF(K901="","",K901*IFERROR(VLOOKUP(C901,CodeTable,4,0),0))</f>
        <v/>
      </c>
    </row>
    <row r="902">
      <c r="A902" s="22" t="n"/>
      <c r="B902" s="23" t="n"/>
      <c r="C902" s="24" t="n"/>
      <c r="D902" s="25" t="n"/>
      <c r="E902" s="26" t="n"/>
      <c r="F902" s="26" t="n"/>
      <c r="G902" s="27">
        <f>IF(C902="","",IFERROR(VLOOKUP(C902,CodeTable,3,0),1))</f>
        <v/>
      </c>
      <c r="H902" s="27">
        <f>IF(C902="","",IF(E902&lt;&gt;"",E902,IF(IFERROR(VLOOKUP(C902,CodeTable,5,0)&amp;"","")="","All",VLOOKUP(C902,CodeTable,5,0)&amp;"")))</f>
        <v/>
      </c>
      <c r="I902" s="28">
        <f>IF(OR(A902="",C902=""),"",A902&amp;"|"&amp;B902&amp;"|"&amp;(COUNTIFS(FlDate,A902,FlShift,B902,FlCode,"&lt;&gt;",FlOrder,"&lt;"&amp;J902)+COUNTIFS(A$6:A902,A902,B$6:B902,B902,C$6:C902,"&lt;&gt;",J$6:J902,J902)))</f>
        <v/>
      </c>
      <c r="J902" s="28">
        <f>IF(C902="","",IF(D902="","zz","t"&amp;D902))</f>
        <v/>
      </c>
      <c r="K902" s="28">
        <f>IF(OR(A902="",C902=""),"",IF(IFERROR(INDEX(DayStat,A902-DATE(PlanYear,1,1)+1)&amp;"","")&lt;&gt;"",0,1))</f>
        <v/>
      </c>
      <c r="L902" s="28">
        <f>IF(K902="","",K902*IFERROR(VLOOKUP(C902,CodeTable,4,0),0))</f>
        <v/>
      </c>
    </row>
    <row r="903">
      <c r="A903" s="22" t="n"/>
      <c r="B903" s="23" t="n"/>
      <c r="C903" s="24" t="n"/>
      <c r="D903" s="25" t="n"/>
      <c r="E903" s="26" t="n"/>
      <c r="F903" s="26" t="n"/>
      <c r="G903" s="27">
        <f>IF(C903="","",IFERROR(VLOOKUP(C903,CodeTable,3,0),1))</f>
        <v/>
      </c>
      <c r="H903" s="27">
        <f>IF(C903="","",IF(E903&lt;&gt;"",E903,IF(IFERROR(VLOOKUP(C903,CodeTable,5,0)&amp;"","")="","All",VLOOKUP(C903,CodeTable,5,0)&amp;"")))</f>
        <v/>
      </c>
      <c r="I903" s="28">
        <f>IF(OR(A903="",C903=""),"",A903&amp;"|"&amp;B903&amp;"|"&amp;(COUNTIFS(FlDate,A903,FlShift,B903,FlCode,"&lt;&gt;",FlOrder,"&lt;"&amp;J903)+COUNTIFS(A$6:A903,A903,B$6:B903,B903,C$6:C903,"&lt;&gt;",J$6:J903,J903)))</f>
        <v/>
      </c>
      <c r="J903" s="28">
        <f>IF(C903="","",IF(D903="","zz","t"&amp;D903))</f>
        <v/>
      </c>
      <c r="K903" s="28">
        <f>IF(OR(A903="",C903=""),"",IF(IFERROR(INDEX(DayStat,A903-DATE(PlanYear,1,1)+1)&amp;"","")&lt;&gt;"",0,1))</f>
        <v/>
      </c>
      <c r="L903" s="28">
        <f>IF(K903="","",K903*IFERROR(VLOOKUP(C903,CodeTable,4,0),0))</f>
        <v/>
      </c>
    </row>
    <row r="904">
      <c r="A904" s="22" t="n"/>
      <c r="B904" s="23" t="n"/>
      <c r="C904" s="24" t="n"/>
      <c r="D904" s="25" t="n"/>
      <c r="E904" s="26" t="n"/>
      <c r="F904" s="26" t="n"/>
      <c r="G904" s="27">
        <f>IF(C904="","",IFERROR(VLOOKUP(C904,CodeTable,3,0),1))</f>
        <v/>
      </c>
      <c r="H904" s="27">
        <f>IF(C904="","",IF(E904&lt;&gt;"",E904,IF(IFERROR(VLOOKUP(C904,CodeTable,5,0)&amp;"","")="","All",VLOOKUP(C904,CodeTable,5,0)&amp;"")))</f>
        <v/>
      </c>
      <c r="I904" s="28">
        <f>IF(OR(A904="",C904=""),"",A904&amp;"|"&amp;B904&amp;"|"&amp;(COUNTIFS(FlDate,A904,FlShift,B904,FlCode,"&lt;&gt;",FlOrder,"&lt;"&amp;J904)+COUNTIFS(A$6:A904,A904,B$6:B904,B904,C$6:C904,"&lt;&gt;",J$6:J904,J904)))</f>
        <v/>
      </c>
      <c r="J904" s="28">
        <f>IF(C904="","",IF(D904="","zz","t"&amp;D904))</f>
        <v/>
      </c>
      <c r="K904" s="28">
        <f>IF(OR(A904="",C904=""),"",IF(IFERROR(INDEX(DayStat,A904-DATE(PlanYear,1,1)+1)&amp;"","")&lt;&gt;"",0,1))</f>
        <v/>
      </c>
      <c r="L904" s="28">
        <f>IF(K904="","",K904*IFERROR(VLOOKUP(C904,CodeTable,4,0),0))</f>
        <v/>
      </c>
    </row>
    <row r="905">
      <c r="A905" s="22" t="n"/>
      <c r="B905" s="23" t="n"/>
      <c r="C905" s="24" t="n"/>
      <c r="D905" s="25" t="n"/>
      <c r="E905" s="26" t="n"/>
      <c r="F905" s="26" t="n"/>
      <c r="G905" s="27">
        <f>IF(C905="","",IFERROR(VLOOKUP(C905,CodeTable,3,0),1))</f>
        <v/>
      </c>
      <c r="H905" s="27">
        <f>IF(C905="","",IF(E905&lt;&gt;"",E905,IF(IFERROR(VLOOKUP(C905,CodeTable,5,0)&amp;"","")="","All",VLOOKUP(C905,CodeTable,5,0)&amp;"")))</f>
        <v/>
      </c>
      <c r="I905" s="28">
        <f>IF(OR(A905="",C905=""),"",A905&amp;"|"&amp;B905&amp;"|"&amp;(COUNTIFS(FlDate,A905,FlShift,B905,FlCode,"&lt;&gt;",FlOrder,"&lt;"&amp;J905)+COUNTIFS(A$6:A905,A905,B$6:B905,B905,C$6:C905,"&lt;&gt;",J$6:J905,J905)))</f>
        <v/>
      </c>
      <c r="J905" s="28">
        <f>IF(C905="","",IF(D905="","zz","t"&amp;D905))</f>
        <v/>
      </c>
      <c r="K905" s="28">
        <f>IF(OR(A905="",C905=""),"",IF(IFERROR(INDEX(DayStat,A905-DATE(PlanYear,1,1)+1)&amp;"","")&lt;&gt;"",0,1))</f>
        <v/>
      </c>
      <c r="L905" s="28">
        <f>IF(K905="","",K905*IFERROR(VLOOKUP(C905,CodeTable,4,0),0))</f>
        <v/>
      </c>
    </row>
    <row r="906">
      <c r="A906" s="22" t="n"/>
      <c r="B906" s="23" t="n"/>
      <c r="C906" s="24" t="n"/>
      <c r="D906" s="25" t="n"/>
      <c r="E906" s="26" t="n"/>
      <c r="F906" s="26" t="n"/>
      <c r="G906" s="27">
        <f>IF(C906="","",IFERROR(VLOOKUP(C906,CodeTable,3,0),1))</f>
        <v/>
      </c>
      <c r="H906" s="27">
        <f>IF(C906="","",IF(E906&lt;&gt;"",E906,IF(IFERROR(VLOOKUP(C906,CodeTable,5,0)&amp;"","")="","All",VLOOKUP(C906,CodeTable,5,0)&amp;"")))</f>
        <v/>
      </c>
      <c r="I906" s="28">
        <f>IF(OR(A906="",C906=""),"",A906&amp;"|"&amp;B906&amp;"|"&amp;(COUNTIFS(FlDate,A906,FlShift,B906,FlCode,"&lt;&gt;",FlOrder,"&lt;"&amp;J906)+COUNTIFS(A$6:A906,A906,B$6:B906,B906,C$6:C906,"&lt;&gt;",J$6:J906,J906)))</f>
        <v/>
      </c>
      <c r="J906" s="28">
        <f>IF(C906="","",IF(D906="","zz","t"&amp;D906))</f>
        <v/>
      </c>
      <c r="K906" s="28">
        <f>IF(OR(A906="",C906=""),"",IF(IFERROR(INDEX(DayStat,A906-DATE(PlanYear,1,1)+1)&amp;"","")&lt;&gt;"",0,1))</f>
        <v/>
      </c>
      <c r="L906" s="28">
        <f>IF(K906="","",K906*IFERROR(VLOOKUP(C906,CodeTable,4,0),0))</f>
        <v/>
      </c>
    </row>
    <row r="907">
      <c r="A907" s="22" t="n"/>
      <c r="B907" s="23" t="n"/>
      <c r="C907" s="24" t="n"/>
      <c r="D907" s="25" t="n"/>
      <c r="E907" s="26" t="n"/>
      <c r="F907" s="26" t="n"/>
      <c r="G907" s="27">
        <f>IF(C907="","",IFERROR(VLOOKUP(C907,CodeTable,3,0),1))</f>
        <v/>
      </c>
      <c r="H907" s="27">
        <f>IF(C907="","",IF(E907&lt;&gt;"",E907,IF(IFERROR(VLOOKUP(C907,CodeTable,5,0)&amp;"","")="","All",VLOOKUP(C907,CodeTable,5,0)&amp;"")))</f>
        <v/>
      </c>
      <c r="I907" s="28">
        <f>IF(OR(A907="",C907=""),"",A907&amp;"|"&amp;B907&amp;"|"&amp;(COUNTIFS(FlDate,A907,FlShift,B907,FlCode,"&lt;&gt;",FlOrder,"&lt;"&amp;J907)+COUNTIFS(A$6:A907,A907,B$6:B907,B907,C$6:C907,"&lt;&gt;",J$6:J907,J907)))</f>
        <v/>
      </c>
      <c r="J907" s="28">
        <f>IF(C907="","",IF(D907="","zz","t"&amp;D907))</f>
        <v/>
      </c>
      <c r="K907" s="28">
        <f>IF(OR(A907="",C907=""),"",IF(IFERROR(INDEX(DayStat,A907-DATE(PlanYear,1,1)+1)&amp;"","")&lt;&gt;"",0,1))</f>
        <v/>
      </c>
      <c r="L907" s="28">
        <f>IF(K907="","",K907*IFERROR(VLOOKUP(C907,CodeTable,4,0),0))</f>
        <v/>
      </c>
    </row>
    <row r="908">
      <c r="A908" s="22" t="n"/>
      <c r="B908" s="23" t="n"/>
      <c r="C908" s="24" t="n"/>
      <c r="D908" s="25" t="n"/>
      <c r="E908" s="26" t="n"/>
      <c r="F908" s="26" t="n"/>
      <c r="G908" s="27">
        <f>IF(C908="","",IFERROR(VLOOKUP(C908,CodeTable,3,0),1))</f>
        <v/>
      </c>
      <c r="H908" s="27">
        <f>IF(C908="","",IF(E908&lt;&gt;"",E908,IF(IFERROR(VLOOKUP(C908,CodeTable,5,0)&amp;"","")="","All",VLOOKUP(C908,CodeTable,5,0)&amp;"")))</f>
        <v/>
      </c>
      <c r="I908" s="28">
        <f>IF(OR(A908="",C908=""),"",A908&amp;"|"&amp;B908&amp;"|"&amp;(COUNTIFS(FlDate,A908,FlShift,B908,FlCode,"&lt;&gt;",FlOrder,"&lt;"&amp;J908)+COUNTIFS(A$6:A908,A908,B$6:B908,B908,C$6:C908,"&lt;&gt;",J$6:J908,J908)))</f>
        <v/>
      </c>
      <c r="J908" s="28">
        <f>IF(C908="","",IF(D908="","zz","t"&amp;D908))</f>
        <v/>
      </c>
      <c r="K908" s="28">
        <f>IF(OR(A908="",C908=""),"",IF(IFERROR(INDEX(DayStat,A908-DATE(PlanYear,1,1)+1)&amp;"","")&lt;&gt;"",0,1))</f>
        <v/>
      </c>
      <c r="L908" s="28">
        <f>IF(K908="","",K908*IFERROR(VLOOKUP(C908,CodeTable,4,0),0))</f>
        <v/>
      </c>
    </row>
    <row r="909">
      <c r="A909" s="22" t="n"/>
      <c r="B909" s="23" t="n"/>
      <c r="C909" s="24" t="n"/>
      <c r="D909" s="25" t="n"/>
      <c r="E909" s="26" t="n"/>
      <c r="F909" s="26" t="n"/>
      <c r="G909" s="27">
        <f>IF(C909="","",IFERROR(VLOOKUP(C909,CodeTable,3,0),1))</f>
        <v/>
      </c>
      <c r="H909" s="27">
        <f>IF(C909="","",IF(E909&lt;&gt;"",E909,IF(IFERROR(VLOOKUP(C909,CodeTable,5,0)&amp;"","")="","All",VLOOKUP(C909,CodeTable,5,0)&amp;"")))</f>
        <v/>
      </c>
      <c r="I909" s="28">
        <f>IF(OR(A909="",C909=""),"",A909&amp;"|"&amp;B909&amp;"|"&amp;(COUNTIFS(FlDate,A909,FlShift,B909,FlCode,"&lt;&gt;",FlOrder,"&lt;"&amp;J909)+COUNTIFS(A$6:A909,A909,B$6:B909,B909,C$6:C909,"&lt;&gt;",J$6:J909,J909)))</f>
        <v/>
      </c>
      <c r="J909" s="28">
        <f>IF(C909="","",IF(D909="","zz","t"&amp;D909))</f>
        <v/>
      </c>
      <c r="K909" s="28">
        <f>IF(OR(A909="",C909=""),"",IF(IFERROR(INDEX(DayStat,A909-DATE(PlanYear,1,1)+1)&amp;"","")&lt;&gt;"",0,1))</f>
        <v/>
      </c>
      <c r="L909" s="28">
        <f>IF(K909="","",K909*IFERROR(VLOOKUP(C909,CodeTable,4,0),0))</f>
        <v/>
      </c>
    </row>
    <row r="910">
      <c r="A910" s="22" t="n"/>
      <c r="B910" s="23" t="n"/>
      <c r="C910" s="24" t="n"/>
      <c r="D910" s="25" t="n"/>
      <c r="E910" s="26" t="n"/>
      <c r="F910" s="26" t="n"/>
      <c r="G910" s="27">
        <f>IF(C910="","",IFERROR(VLOOKUP(C910,CodeTable,3,0),1))</f>
        <v/>
      </c>
      <c r="H910" s="27">
        <f>IF(C910="","",IF(E910&lt;&gt;"",E910,IF(IFERROR(VLOOKUP(C910,CodeTable,5,0)&amp;"","")="","All",VLOOKUP(C910,CodeTable,5,0)&amp;"")))</f>
        <v/>
      </c>
      <c r="I910" s="28">
        <f>IF(OR(A910="",C910=""),"",A910&amp;"|"&amp;B910&amp;"|"&amp;(COUNTIFS(FlDate,A910,FlShift,B910,FlCode,"&lt;&gt;",FlOrder,"&lt;"&amp;J910)+COUNTIFS(A$6:A910,A910,B$6:B910,B910,C$6:C910,"&lt;&gt;",J$6:J910,J910)))</f>
        <v/>
      </c>
      <c r="J910" s="28">
        <f>IF(C910="","",IF(D910="","zz","t"&amp;D910))</f>
        <v/>
      </c>
      <c r="K910" s="28">
        <f>IF(OR(A910="",C910=""),"",IF(IFERROR(INDEX(DayStat,A910-DATE(PlanYear,1,1)+1)&amp;"","")&lt;&gt;"",0,1))</f>
        <v/>
      </c>
      <c r="L910" s="28">
        <f>IF(K910="","",K910*IFERROR(VLOOKUP(C910,CodeTable,4,0),0))</f>
        <v/>
      </c>
    </row>
    <row r="911">
      <c r="A911" s="22" t="n"/>
      <c r="B911" s="23" t="n"/>
      <c r="C911" s="24" t="n"/>
      <c r="D911" s="25" t="n"/>
      <c r="E911" s="26" t="n"/>
      <c r="F911" s="26" t="n"/>
      <c r="G911" s="27">
        <f>IF(C911="","",IFERROR(VLOOKUP(C911,CodeTable,3,0),1))</f>
        <v/>
      </c>
      <c r="H911" s="27">
        <f>IF(C911="","",IF(E911&lt;&gt;"",E911,IF(IFERROR(VLOOKUP(C911,CodeTable,5,0)&amp;"","")="","All",VLOOKUP(C911,CodeTable,5,0)&amp;"")))</f>
        <v/>
      </c>
      <c r="I911" s="28">
        <f>IF(OR(A911="",C911=""),"",A911&amp;"|"&amp;B911&amp;"|"&amp;(COUNTIFS(FlDate,A911,FlShift,B911,FlCode,"&lt;&gt;",FlOrder,"&lt;"&amp;J911)+COUNTIFS(A$6:A911,A911,B$6:B911,B911,C$6:C911,"&lt;&gt;",J$6:J911,J911)))</f>
        <v/>
      </c>
      <c r="J911" s="28">
        <f>IF(C911="","",IF(D911="","zz","t"&amp;D911))</f>
        <v/>
      </c>
      <c r="K911" s="28">
        <f>IF(OR(A911="",C911=""),"",IF(IFERROR(INDEX(DayStat,A911-DATE(PlanYear,1,1)+1)&amp;"","")&lt;&gt;"",0,1))</f>
        <v/>
      </c>
      <c r="L911" s="28">
        <f>IF(K911="","",K911*IFERROR(VLOOKUP(C911,CodeTable,4,0),0))</f>
        <v/>
      </c>
    </row>
    <row r="912">
      <c r="A912" s="22" t="n"/>
      <c r="B912" s="23" t="n"/>
      <c r="C912" s="24" t="n"/>
      <c r="D912" s="25" t="n"/>
      <c r="E912" s="26" t="n"/>
      <c r="F912" s="26" t="n"/>
      <c r="G912" s="27">
        <f>IF(C912="","",IFERROR(VLOOKUP(C912,CodeTable,3,0),1))</f>
        <v/>
      </c>
      <c r="H912" s="27">
        <f>IF(C912="","",IF(E912&lt;&gt;"",E912,IF(IFERROR(VLOOKUP(C912,CodeTable,5,0)&amp;"","")="","All",VLOOKUP(C912,CodeTable,5,0)&amp;"")))</f>
        <v/>
      </c>
      <c r="I912" s="28">
        <f>IF(OR(A912="",C912=""),"",A912&amp;"|"&amp;B912&amp;"|"&amp;(COUNTIFS(FlDate,A912,FlShift,B912,FlCode,"&lt;&gt;",FlOrder,"&lt;"&amp;J912)+COUNTIFS(A$6:A912,A912,B$6:B912,B912,C$6:C912,"&lt;&gt;",J$6:J912,J912)))</f>
        <v/>
      </c>
      <c r="J912" s="28">
        <f>IF(C912="","",IF(D912="","zz","t"&amp;D912))</f>
        <v/>
      </c>
      <c r="K912" s="28">
        <f>IF(OR(A912="",C912=""),"",IF(IFERROR(INDEX(DayStat,A912-DATE(PlanYear,1,1)+1)&amp;"","")&lt;&gt;"",0,1))</f>
        <v/>
      </c>
      <c r="L912" s="28">
        <f>IF(K912="","",K912*IFERROR(VLOOKUP(C912,CodeTable,4,0),0))</f>
        <v/>
      </c>
    </row>
    <row r="913">
      <c r="A913" s="22" t="n"/>
      <c r="B913" s="23" t="n"/>
      <c r="C913" s="24" t="n"/>
      <c r="D913" s="25" t="n"/>
      <c r="E913" s="26" t="n"/>
      <c r="F913" s="26" t="n"/>
      <c r="G913" s="27">
        <f>IF(C913="","",IFERROR(VLOOKUP(C913,CodeTable,3,0),1))</f>
        <v/>
      </c>
      <c r="H913" s="27">
        <f>IF(C913="","",IF(E913&lt;&gt;"",E913,IF(IFERROR(VLOOKUP(C913,CodeTable,5,0)&amp;"","")="","All",VLOOKUP(C913,CodeTable,5,0)&amp;"")))</f>
        <v/>
      </c>
      <c r="I913" s="28">
        <f>IF(OR(A913="",C913=""),"",A913&amp;"|"&amp;B913&amp;"|"&amp;(COUNTIFS(FlDate,A913,FlShift,B913,FlCode,"&lt;&gt;",FlOrder,"&lt;"&amp;J913)+COUNTIFS(A$6:A913,A913,B$6:B913,B913,C$6:C913,"&lt;&gt;",J$6:J913,J913)))</f>
        <v/>
      </c>
      <c r="J913" s="28">
        <f>IF(C913="","",IF(D913="","zz","t"&amp;D913))</f>
        <v/>
      </c>
      <c r="K913" s="28">
        <f>IF(OR(A913="",C913=""),"",IF(IFERROR(INDEX(DayStat,A913-DATE(PlanYear,1,1)+1)&amp;"","")&lt;&gt;"",0,1))</f>
        <v/>
      </c>
      <c r="L913" s="28">
        <f>IF(K913="","",K913*IFERROR(VLOOKUP(C913,CodeTable,4,0),0))</f>
        <v/>
      </c>
    </row>
    <row r="914">
      <c r="A914" s="22" t="n"/>
      <c r="B914" s="23" t="n"/>
      <c r="C914" s="24" t="n"/>
      <c r="D914" s="25" t="n"/>
      <c r="E914" s="26" t="n"/>
      <c r="F914" s="26" t="n"/>
      <c r="G914" s="27">
        <f>IF(C914="","",IFERROR(VLOOKUP(C914,CodeTable,3,0),1))</f>
        <v/>
      </c>
      <c r="H914" s="27">
        <f>IF(C914="","",IF(E914&lt;&gt;"",E914,IF(IFERROR(VLOOKUP(C914,CodeTable,5,0)&amp;"","")="","All",VLOOKUP(C914,CodeTable,5,0)&amp;"")))</f>
        <v/>
      </c>
      <c r="I914" s="28">
        <f>IF(OR(A914="",C914=""),"",A914&amp;"|"&amp;B914&amp;"|"&amp;(COUNTIFS(FlDate,A914,FlShift,B914,FlCode,"&lt;&gt;",FlOrder,"&lt;"&amp;J914)+COUNTIFS(A$6:A914,A914,B$6:B914,B914,C$6:C914,"&lt;&gt;",J$6:J914,J914)))</f>
        <v/>
      </c>
      <c r="J914" s="28">
        <f>IF(C914="","",IF(D914="","zz","t"&amp;D914))</f>
        <v/>
      </c>
      <c r="K914" s="28">
        <f>IF(OR(A914="",C914=""),"",IF(IFERROR(INDEX(DayStat,A914-DATE(PlanYear,1,1)+1)&amp;"","")&lt;&gt;"",0,1))</f>
        <v/>
      </c>
      <c r="L914" s="28">
        <f>IF(K914="","",K914*IFERROR(VLOOKUP(C914,CodeTable,4,0),0))</f>
        <v/>
      </c>
    </row>
    <row r="915">
      <c r="A915" s="22" t="n"/>
      <c r="B915" s="23" t="n"/>
      <c r="C915" s="24" t="n"/>
      <c r="D915" s="25" t="n"/>
      <c r="E915" s="26" t="n"/>
      <c r="F915" s="26" t="n"/>
      <c r="G915" s="27">
        <f>IF(C915="","",IFERROR(VLOOKUP(C915,CodeTable,3,0),1))</f>
        <v/>
      </c>
      <c r="H915" s="27">
        <f>IF(C915="","",IF(E915&lt;&gt;"",E915,IF(IFERROR(VLOOKUP(C915,CodeTable,5,0)&amp;"","")="","All",VLOOKUP(C915,CodeTable,5,0)&amp;"")))</f>
        <v/>
      </c>
      <c r="I915" s="28">
        <f>IF(OR(A915="",C915=""),"",A915&amp;"|"&amp;B915&amp;"|"&amp;(COUNTIFS(FlDate,A915,FlShift,B915,FlCode,"&lt;&gt;",FlOrder,"&lt;"&amp;J915)+COUNTIFS(A$6:A915,A915,B$6:B915,B915,C$6:C915,"&lt;&gt;",J$6:J915,J915)))</f>
        <v/>
      </c>
      <c r="J915" s="28">
        <f>IF(C915="","",IF(D915="","zz","t"&amp;D915))</f>
        <v/>
      </c>
      <c r="K915" s="28">
        <f>IF(OR(A915="",C915=""),"",IF(IFERROR(INDEX(DayStat,A915-DATE(PlanYear,1,1)+1)&amp;"","")&lt;&gt;"",0,1))</f>
        <v/>
      </c>
      <c r="L915" s="28">
        <f>IF(K915="","",K915*IFERROR(VLOOKUP(C915,CodeTable,4,0),0))</f>
        <v/>
      </c>
    </row>
    <row r="916">
      <c r="A916" s="22" t="n"/>
      <c r="B916" s="23" t="n"/>
      <c r="C916" s="24" t="n"/>
      <c r="D916" s="25" t="n"/>
      <c r="E916" s="26" t="n"/>
      <c r="F916" s="26" t="n"/>
      <c r="G916" s="27">
        <f>IF(C916="","",IFERROR(VLOOKUP(C916,CodeTable,3,0),1))</f>
        <v/>
      </c>
      <c r="H916" s="27">
        <f>IF(C916="","",IF(E916&lt;&gt;"",E916,IF(IFERROR(VLOOKUP(C916,CodeTable,5,0)&amp;"","")="","All",VLOOKUP(C916,CodeTable,5,0)&amp;"")))</f>
        <v/>
      </c>
      <c r="I916" s="28">
        <f>IF(OR(A916="",C916=""),"",A916&amp;"|"&amp;B916&amp;"|"&amp;(COUNTIFS(FlDate,A916,FlShift,B916,FlCode,"&lt;&gt;",FlOrder,"&lt;"&amp;J916)+COUNTIFS(A$6:A916,A916,B$6:B916,B916,C$6:C916,"&lt;&gt;",J$6:J916,J916)))</f>
        <v/>
      </c>
      <c r="J916" s="28">
        <f>IF(C916="","",IF(D916="","zz","t"&amp;D916))</f>
        <v/>
      </c>
      <c r="K916" s="28">
        <f>IF(OR(A916="",C916=""),"",IF(IFERROR(INDEX(DayStat,A916-DATE(PlanYear,1,1)+1)&amp;"","")&lt;&gt;"",0,1))</f>
        <v/>
      </c>
      <c r="L916" s="28">
        <f>IF(K916="","",K916*IFERROR(VLOOKUP(C916,CodeTable,4,0),0))</f>
        <v/>
      </c>
    </row>
    <row r="917">
      <c r="A917" s="22" t="n"/>
      <c r="B917" s="23" t="n"/>
      <c r="C917" s="24" t="n"/>
      <c r="D917" s="25" t="n"/>
      <c r="E917" s="26" t="n"/>
      <c r="F917" s="26" t="n"/>
      <c r="G917" s="27">
        <f>IF(C917="","",IFERROR(VLOOKUP(C917,CodeTable,3,0),1))</f>
        <v/>
      </c>
      <c r="H917" s="27">
        <f>IF(C917="","",IF(E917&lt;&gt;"",E917,IF(IFERROR(VLOOKUP(C917,CodeTable,5,0)&amp;"","")="","All",VLOOKUP(C917,CodeTable,5,0)&amp;"")))</f>
        <v/>
      </c>
      <c r="I917" s="28">
        <f>IF(OR(A917="",C917=""),"",A917&amp;"|"&amp;B917&amp;"|"&amp;(COUNTIFS(FlDate,A917,FlShift,B917,FlCode,"&lt;&gt;",FlOrder,"&lt;"&amp;J917)+COUNTIFS(A$6:A917,A917,B$6:B917,B917,C$6:C917,"&lt;&gt;",J$6:J917,J917)))</f>
        <v/>
      </c>
      <c r="J917" s="28">
        <f>IF(C917="","",IF(D917="","zz","t"&amp;D917))</f>
        <v/>
      </c>
      <c r="K917" s="28">
        <f>IF(OR(A917="",C917=""),"",IF(IFERROR(INDEX(DayStat,A917-DATE(PlanYear,1,1)+1)&amp;"","")&lt;&gt;"",0,1))</f>
        <v/>
      </c>
      <c r="L917" s="28">
        <f>IF(K917="","",K917*IFERROR(VLOOKUP(C917,CodeTable,4,0),0))</f>
        <v/>
      </c>
    </row>
    <row r="918">
      <c r="A918" s="22" t="n"/>
      <c r="B918" s="23" t="n"/>
      <c r="C918" s="24" t="n"/>
      <c r="D918" s="25" t="n"/>
      <c r="E918" s="26" t="n"/>
      <c r="F918" s="26" t="n"/>
      <c r="G918" s="27">
        <f>IF(C918="","",IFERROR(VLOOKUP(C918,CodeTable,3,0),1))</f>
        <v/>
      </c>
      <c r="H918" s="27">
        <f>IF(C918="","",IF(E918&lt;&gt;"",E918,IF(IFERROR(VLOOKUP(C918,CodeTable,5,0)&amp;"","")="","All",VLOOKUP(C918,CodeTable,5,0)&amp;"")))</f>
        <v/>
      </c>
      <c r="I918" s="28">
        <f>IF(OR(A918="",C918=""),"",A918&amp;"|"&amp;B918&amp;"|"&amp;(COUNTIFS(FlDate,A918,FlShift,B918,FlCode,"&lt;&gt;",FlOrder,"&lt;"&amp;J918)+COUNTIFS(A$6:A918,A918,B$6:B918,B918,C$6:C918,"&lt;&gt;",J$6:J918,J918)))</f>
        <v/>
      </c>
      <c r="J918" s="28">
        <f>IF(C918="","",IF(D918="","zz","t"&amp;D918))</f>
        <v/>
      </c>
      <c r="K918" s="28">
        <f>IF(OR(A918="",C918=""),"",IF(IFERROR(INDEX(DayStat,A918-DATE(PlanYear,1,1)+1)&amp;"","")&lt;&gt;"",0,1))</f>
        <v/>
      </c>
      <c r="L918" s="28">
        <f>IF(K918="","",K918*IFERROR(VLOOKUP(C918,CodeTable,4,0),0))</f>
        <v/>
      </c>
    </row>
    <row r="919">
      <c r="A919" s="22" t="n"/>
      <c r="B919" s="23" t="n"/>
      <c r="C919" s="24" t="n"/>
      <c r="D919" s="25" t="n"/>
      <c r="E919" s="26" t="n"/>
      <c r="F919" s="26" t="n"/>
      <c r="G919" s="27">
        <f>IF(C919="","",IFERROR(VLOOKUP(C919,CodeTable,3,0),1))</f>
        <v/>
      </c>
      <c r="H919" s="27">
        <f>IF(C919="","",IF(E919&lt;&gt;"",E919,IF(IFERROR(VLOOKUP(C919,CodeTable,5,0)&amp;"","")="","All",VLOOKUP(C919,CodeTable,5,0)&amp;"")))</f>
        <v/>
      </c>
      <c r="I919" s="28">
        <f>IF(OR(A919="",C919=""),"",A919&amp;"|"&amp;B919&amp;"|"&amp;(COUNTIFS(FlDate,A919,FlShift,B919,FlCode,"&lt;&gt;",FlOrder,"&lt;"&amp;J919)+COUNTIFS(A$6:A919,A919,B$6:B919,B919,C$6:C919,"&lt;&gt;",J$6:J919,J919)))</f>
        <v/>
      </c>
      <c r="J919" s="28">
        <f>IF(C919="","",IF(D919="","zz","t"&amp;D919))</f>
        <v/>
      </c>
      <c r="K919" s="28">
        <f>IF(OR(A919="",C919=""),"",IF(IFERROR(INDEX(DayStat,A919-DATE(PlanYear,1,1)+1)&amp;"","")&lt;&gt;"",0,1))</f>
        <v/>
      </c>
      <c r="L919" s="28">
        <f>IF(K919="","",K919*IFERROR(VLOOKUP(C919,CodeTable,4,0),0))</f>
        <v/>
      </c>
    </row>
    <row r="920">
      <c r="A920" s="22" t="n"/>
      <c r="B920" s="23" t="n"/>
      <c r="C920" s="24" t="n"/>
      <c r="D920" s="25" t="n"/>
      <c r="E920" s="26" t="n"/>
      <c r="F920" s="26" t="n"/>
      <c r="G920" s="27">
        <f>IF(C920="","",IFERROR(VLOOKUP(C920,CodeTable,3,0),1))</f>
        <v/>
      </c>
      <c r="H920" s="27">
        <f>IF(C920="","",IF(E920&lt;&gt;"",E920,IF(IFERROR(VLOOKUP(C920,CodeTable,5,0)&amp;"","")="","All",VLOOKUP(C920,CodeTable,5,0)&amp;"")))</f>
        <v/>
      </c>
      <c r="I920" s="28">
        <f>IF(OR(A920="",C920=""),"",A920&amp;"|"&amp;B920&amp;"|"&amp;(COUNTIFS(FlDate,A920,FlShift,B920,FlCode,"&lt;&gt;",FlOrder,"&lt;"&amp;J920)+COUNTIFS(A$6:A920,A920,B$6:B920,B920,C$6:C920,"&lt;&gt;",J$6:J920,J920)))</f>
        <v/>
      </c>
      <c r="J920" s="28">
        <f>IF(C920="","",IF(D920="","zz","t"&amp;D920))</f>
        <v/>
      </c>
      <c r="K920" s="28">
        <f>IF(OR(A920="",C920=""),"",IF(IFERROR(INDEX(DayStat,A920-DATE(PlanYear,1,1)+1)&amp;"","")&lt;&gt;"",0,1))</f>
        <v/>
      </c>
      <c r="L920" s="28">
        <f>IF(K920="","",K920*IFERROR(VLOOKUP(C920,CodeTable,4,0),0))</f>
        <v/>
      </c>
    </row>
    <row r="921">
      <c r="A921" s="22" t="n"/>
      <c r="B921" s="23" t="n"/>
      <c r="C921" s="24" t="n"/>
      <c r="D921" s="25" t="n"/>
      <c r="E921" s="26" t="n"/>
      <c r="F921" s="26" t="n"/>
      <c r="G921" s="27">
        <f>IF(C921="","",IFERROR(VLOOKUP(C921,CodeTable,3,0),1))</f>
        <v/>
      </c>
      <c r="H921" s="27">
        <f>IF(C921="","",IF(E921&lt;&gt;"",E921,IF(IFERROR(VLOOKUP(C921,CodeTable,5,0)&amp;"","")="","All",VLOOKUP(C921,CodeTable,5,0)&amp;"")))</f>
        <v/>
      </c>
      <c r="I921" s="28">
        <f>IF(OR(A921="",C921=""),"",A921&amp;"|"&amp;B921&amp;"|"&amp;(COUNTIFS(FlDate,A921,FlShift,B921,FlCode,"&lt;&gt;",FlOrder,"&lt;"&amp;J921)+COUNTIFS(A$6:A921,A921,B$6:B921,B921,C$6:C921,"&lt;&gt;",J$6:J921,J921)))</f>
        <v/>
      </c>
      <c r="J921" s="28">
        <f>IF(C921="","",IF(D921="","zz","t"&amp;D921))</f>
        <v/>
      </c>
      <c r="K921" s="28">
        <f>IF(OR(A921="",C921=""),"",IF(IFERROR(INDEX(DayStat,A921-DATE(PlanYear,1,1)+1)&amp;"","")&lt;&gt;"",0,1))</f>
        <v/>
      </c>
      <c r="L921" s="28">
        <f>IF(K921="","",K921*IFERROR(VLOOKUP(C921,CodeTable,4,0),0))</f>
        <v/>
      </c>
    </row>
    <row r="922">
      <c r="A922" s="22" t="n"/>
      <c r="B922" s="23" t="n"/>
      <c r="C922" s="24" t="n"/>
      <c r="D922" s="25" t="n"/>
      <c r="E922" s="26" t="n"/>
      <c r="F922" s="26" t="n"/>
      <c r="G922" s="27">
        <f>IF(C922="","",IFERROR(VLOOKUP(C922,CodeTable,3,0),1))</f>
        <v/>
      </c>
      <c r="H922" s="27">
        <f>IF(C922="","",IF(E922&lt;&gt;"",E922,IF(IFERROR(VLOOKUP(C922,CodeTable,5,0)&amp;"","")="","All",VLOOKUP(C922,CodeTable,5,0)&amp;"")))</f>
        <v/>
      </c>
      <c r="I922" s="28">
        <f>IF(OR(A922="",C922=""),"",A922&amp;"|"&amp;B922&amp;"|"&amp;(COUNTIFS(FlDate,A922,FlShift,B922,FlCode,"&lt;&gt;",FlOrder,"&lt;"&amp;J922)+COUNTIFS(A$6:A922,A922,B$6:B922,B922,C$6:C922,"&lt;&gt;",J$6:J922,J922)))</f>
        <v/>
      </c>
      <c r="J922" s="28">
        <f>IF(C922="","",IF(D922="","zz","t"&amp;D922))</f>
        <v/>
      </c>
      <c r="K922" s="28">
        <f>IF(OR(A922="",C922=""),"",IF(IFERROR(INDEX(DayStat,A922-DATE(PlanYear,1,1)+1)&amp;"","")&lt;&gt;"",0,1))</f>
        <v/>
      </c>
      <c r="L922" s="28">
        <f>IF(K922="","",K922*IFERROR(VLOOKUP(C922,CodeTable,4,0),0))</f>
        <v/>
      </c>
    </row>
    <row r="923">
      <c r="A923" s="22" t="n"/>
      <c r="B923" s="23" t="n"/>
      <c r="C923" s="24" t="n"/>
      <c r="D923" s="25" t="n"/>
      <c r="E923" s="26" t="n"/>
      <c r="F923" s="26" t="n"/>
      <c r="G923" s="27">
        <f>IF(C923="","",IFERROR(VLOOKUP(C923,CodeTable,3,0),1))</f>
        <v/>
      </c>
      <c r="H923" s="27">
        <f>IF(C923="","",IF(E923&lt;&gt;"",E923,IF(IFERROR(VLOOKUP(C923,CodeTable,5,0)&amp;"","")="","All",VLOOKUP(C923,CodeTable,5,0)&amp;"")))</f>
        <v/>
      </c>
      <c r="I923" s="28">
        <f>IF(OR(A923="",C923=""),"",A923&amp;"|"&amp;B923&amp;"|"&amp;(COUNTIFS(FlDate,A923,FlShift,B923,FlCode,"&lt;&gt;",FlOrder,"&lt;"&amp;J923)+COUNTIFS(A$6:A923,A923,B$6:B923,B923,C$6:C923,"&lt;&gt;",J$6:J923,J923)))</f>
        <v/>
      </c>
      <c r="J923" s="28">
        <f>IF(C923="","",IF(D923="","zz","t"&amp;D923))</f>
        <v/>
      </c>
      <c r="K923" s="28">
        <f>IF(OR(A923="",C923=""),"",IF(IFERROR(INDEX(DayStat,A923-DATE(PlanYear,1,1)+1)&amp;"","")&lt;&gt;"",0,1))</f>
        <v/>
      </c>
      <c r="L923" s="28">
        <f>IF(K923="","",K923*IFERROR(VLOOKUP(C923,CodeTable,4,0),0))</f>
        <v/>
      </c>
    </row>
    <row r="924">
      <c r="A924" s="22" t="n"/>
      <c r="B924" s="23" t="n"/>
      <c r="C924" s="24" t="n"/>
      <c r="D924" s="25" t="n"/>
      <c r="E924" s="26" t="n"/>
      <c r="F924" s="26" t="n"/>
      <c r="G924" s="27">
        <f>IF(C924="","",IFERROR(VLOOKUP(C924,CodeTable,3,0),1))</f>
        <v/>
      </c>
      <c r="H924" s="27">
        <f>IF(C924="","",IF(E924&lt;&gt;"",E924,IF(IFERROR(VLOOKUP(C924,CodeTable,5,0)&amp;"","")="","All",VLOOKUP(C924,CodeTable,5,0)&amp;"")))</f>
        <v/>
      </c>
      <c r="I924" s="28">
        <f>IF(OR(A924="",C924=""),"",A924&amp;"|"&amp;B924&amp;"|"&amp;(COUNTIFS(FlDate,A924,FlShift,B924,FlCode,"&lt;&gt;",FlOrder,"&lt;"&amp;J924)+COUNTIFS(A$6:A924,A924,B$6:B924,B924,C$6:C924,"&lt;&gt;",J$6:J924,J924)))</f>
        <v/>
      </c>
      <c r="J924" s="28">
        <f>IF(C924="","",IF(D924="","zz","t"&amp;D924))</f>
        <v/>
      </c>
      <c r="K924" s="28">
        <f>IF(OR(A924="",C924=""),"",IF(IFERROR(INDEX(DayStat,A924-DATE(PlanYear,1,1)+1)&amp;"","")&lt;&gt;"",0,1))</f>
        <v/>
      </c>
      <c r="L924" s="28">
        <f>IF(K924="","",K924*IFERROR(VLOOKUP(C924,CodeTable,4,0),0))</f>
        <v/>
      </c>
    </row>
    <row r="925">
      <c r="A925" s="22" t="n"/>
      <c r="B925" s="23" t="n"/>
      <c r="C925" s="24" t="n"/>
      <c r="D925" s="25" t="n"/>
      <c r="E925" s="26" t="n"/>
      <c r="F925" s="26" t="n"/>
      <c r="G925" s="27">
        <f>IF(C925="","",IFERROR(VLOOKUP(C925,CodeTable,3,0),1))</f>
        <v/>
      </c>
      <c r="H925" s="27">
        <f>IF(C925="","",IF(E925&lt;&gt;"",E925,IF(IFERROR(VLOOKUP(C925,CodeTable,5,0)&amp;"","")="","All",VLOOKUP(C925,CodeTable,5,0)&amp;"")))</f>
        <v/>
      </c>
      <c r="I925" s="28">
        <f>IF(OR(A925="",C925=""),"",A925&amp;"|"&amp;B925&amp;"|"&amp;(COUNTIFS(FlDate,A925,FlShift,B925,FlCode,"&lt;&gt;",FlOrder,"&lt;"&amp;J925)+COUNTIFS(A$6:A925,A925,B$6:B925,B925,C$6:C925,"&lt;&gt;",J$6:J925,J925)))</f>
        <v/>
      </c>
      <c r="J925" s="28">
        <f>IF(C925="","",IF(D925="","zz","t"&amp;D925))</f>
        <v/>
      </c>
      <c r="K925" s="28">
        <f>IF(OR(A925="",C925=""),"",IF(IFERROR(INDEX(DayStat,A925-DATE(PlanYear,1,1)+1)&amp;"","")&lt;&gt;"",0,1))</f>
        <v/>
      </c>
      <c r="L925" s="28">
        <f>IF(K925="","",K925*IFERROR(VLOOKUP(C925,CodeTable,4,0),0))</f>
        <v/>
      </c>
    </row>
    <row r="926">
      <c r="A926" s="22" t="n"/>
      <c r="B926" s="23" t="n"/>
      <c r="C926" s="24" t="n"/>
      <c r="D926" s="25" t="n"/>
      <c r="E926" s="26" t="n"/>
      <c r="F926" s="26" t="n"/>
      <c r="G926" s="27">
        <f>IF(C926="","",IFERROR(VLOOKUP(C926,CodeTable,3,0),1))</f>
        <v/>
      </c>
      <c r="H926" s="27">
        <f>IF(C926="","",IF(E926&lt;&gt;"",E926,IF(IFERROR(VLOOKUP(C926,CodeTable,5,0)&amp;"","")="","All",VLOOKUP(C926,CodeTable,5,0)&amp;"")))</f>
        <v/>
      </c>
      <c r="I926" s="28">
        <f>IF(OR(A926="",C926=""),"",A926&amp;"|"&amp;B926&amp;"|"&amp;(COUNTIFS(FlDate,A926,FlShift,B926,FlCode,"&lt;&gt;",FlOrder,"&lt;"&amp;J926)+COUNTIFS(A$6:A926,A926,B$6:B926,B926,C$6:C926,"&lt;&gt;",J$6:J926,J926)))</f>
        <v/>
      </c>
      <c r="J926" s="28">
        <f>IF(C926="","",IF(D926="","zz","t"&amp;D926))</f>
        <v/>
      </c>
      <c r="K926" s="28">
        <f>IF(OR(A926="",C926=""),"",IF(IFERROR(INDEX(DayStat,A926-DATE(PlanYear,1,1)+1)&amp;"","")&lt;&gt;"",0,1))</f>
        <v/>
      </c>
      <c r="L926" s="28">
        <f>IF(K926="","",K926*IFERROR(VLOOKUP(C926,CodeTable,4,0),0))</f>
        <v/>
      </c>
    </row>
    <row r="927">
      <c r="A927" s="22" t="n"/>
      <c r="B927" s="23" t="n"/>
      <c r="C927" s="24" t="n"/>
      <c r="D927" s="25" t="n"/>
      <c r="E927" s="26" t="n"/>
      <c r="F927" s="26" t="n"/>
      <c r="G927" s="27">
        <f>IF(C927="","",IFERROR(VLOOKUP(C927,CodeTable,3,0),1))</f>
        <v/>
      </c>
      <c r="H927" s="27">
        <f>IF(C927="","",IF(E927&lt;&gt;"",E927,IF(IFERROR(VLOOKUP(C927,CodeTable,5,0)&amp;"","")="","All",VLOOKUP(C927,CodeTable,5,0)&amp;"")))</f>
        <v/>
      </c>
      <c r="I927" s="28">
        <f>IF(OR(A927="",C927=""),"",A927&amp;"|"&amp;B927&amp;"|"&amp;(COUNTIFS(FlDate,A927,FlShift,B927,FlCode,"&lt;&gt;",FlOrder,"&lt;"&amp;J927)+COUNTIFS(A$6:A927,A927,B$6:B927,B927,C$6:C927,"&lt;&gt;",J$6:J927,J927)))</f>
        <v/>
      </c>
      <c r="J927" s="28">
        <f>IF(C927="","",IF(D927="","zz","t"&amp;D927))</f>
        <v/>
      </c>
      <c r="K927" s="28">
        <f>IF(OR(A927="",C927=""),"",IF(IFERROR(INDEX(DayStat,A927-DATE(PlanYear,1,1)+1)&amp;"","")&lt;&gt;"",0,1))</f>
        <v/>
      </c>
      <c r="L927" s="28">
        <f>IF(K927="","",K927*IFERROR(VLOOKUP(C927,CodeTable,4,0),0))</f>
        <v/>
      </c>
    </row>
    <row r="928">
      <c r="A928" s="22" t="n"/>
      <c r="B928" s="23" t="n"/>
      <c r="C928" s="24" t="n"/>
      <c r="D928" s="25" t="n"/>
      <c r="E928" s="26" t="n"/>
      <c r="F928" s="26" t="n"/>
      <c r="G928" s="27">
        <f>IF(C928="","",IFERROR(VLOOKUP(C928,CodeTable,3,0),1))</f>
        <v/>
      </c>
      <c r="H928" s="27">
        <f>IF(C928="","",IF(E928&lt;&gt;"",E928,IF(IFERROR(VLOOKUP(C928,CodeTable,5,0)&amp;"","")="","All",VLOOKUP(C928,CodeTable,5,0)&amp;"")))</f>
        <v/>
      </c>
      <c r="I928" s="28">
        <f>IF(OR(A928="",C928=""),"",A928&amp;"|"&amp;B928&amp;"|"&amp;(COUNTIFS(FlDate,A928,FlShift,B928,FlCode,"&lt;&gt;",FlOrder,"&lt;"&amp;J928)+COUNTIFS(A$6:A928,A928,B$6:B928,B928,C$6:C928,"&lt;&gt;",J$6:J928,J928)))</f>
        <v/>
      </c>
      <c r="J928" s="28">
        <f>IF(C928="","",IF(D928="","zz","t"&amp;D928))</f>
        <v/>
      </c>
      <c r="K928" s="28">
        <f>IF(OR(A928="",C928=""),"",IF(IFERROR(INDEX(DayStat,A928-DATE(PlanYear,1,1)+1)&amp;"","")&lt;&gt;"",0,1))</f>
        <v/>
      </c>
      <c r="L928" s="28">
        <f>IF(K928="","",K928*IFERROR(VLOOKUP(C928,CodeTable,4,0),0))</f>
        <v/>
      </c>
    </row>
    <row r="929">
      <c r="A929" s="22" t="n"/>
      <c r="B929" s="23" t="n"/>
      <c r="C929" s="24" t="n"/>
      <c r="D929" s="25" t="n"/>
      <c r="E929" s="26" t="n"/>
      <c r="F929" s="26" t="n"/>
      <c r="G929" s="27">
        <f>IF(C929="","",IFERROR(VLOOKUP(C929,CodeTable,3,0),1))</f>
        <v/>
      </c>
      <c r="H929" s="27">
        <f>IF(C929="","",IF(E929&lt;&gt;"",E929,IF(IFERROR(VLOOKUP(C929,CodeTable,5,0)&amp;"","")="","All",VLOOKUP(C929,CodeTable,5,0)&amp;"")))</f>
        <v/>
      </c>
      <c r="I929" s="28">
        <f>IF(OR(A929="",C929=""),"",A929&amp;"|"&amp;B929&amp;"|"&amp;(COUNTIFS(FlDate,A929,FlShift,B929,FlCode,"&lt;&gt;",FlOrder,"&lt;"&amp;J929)+COUNTIFS(A$6:A929,A929,B$6:B929,B929,C$6:C929,"&lt;&gt;",J$6:J929,J929)))</f>
        <v/>
      </c>
      <c r="J929" s="28">
        <f>IF(C929="","",IF(D929="","zz","t"&amp;D929))</f>
        <v/>
      </c>
      <c r="K929" s="28">
        <f>IF(OR(A929="",C929=""),"",IF(IFERROR(INDEX(DayStat,A929-DATE(PlanYear,1,1)+1)&amp;"","")&lt;&gt;"",0,1))</f>
        <v/>
      </c>
      <c r="L929" s="28">
        <f>IF(K929="","",K929*IFERROR(VLOOKUP(C929,CodeTable,4,0),0))</f>
        <v/>
      </c>
    </row>
    <row r="930">
      <c r="A930" s="22" t="n"/>
      <c r="B930" s="23" t="n"/>
      <c r="C930" s="24" t="n"/>
      <c r="D930" s="25" t="n"/>
      <c r="E930" s="26" t="n"/>
      <c r="F930" s="26" t="n"/>
      <c r="G930" s="27">
        <f>IF(C930="","",IFERROR(VLOOKUP(C930,CodeTable,3,0),1))</f>
        <v/>
      </c>
      <c r="H930" s="27">
        <f>IF(C930="","",IF(E930&lt;&gt;"",E930,IF(IFERROR(VLOOKUP(C930,CodeTable,5,0)&amp;"","")="","All",VLOOKUP(C930,CodeTable,5,0)&amp;"")))</f>
        <v/>
      </c>
      <c r="I930" s="28">
        <f>IF(OR(A930="",C930=""),"",A930&amp;"|"&amp;B930&amp;"|"&amp;(COUNTIFS(FlDate,A930,FlShift,B930,FlCode,"&lt;&gt;",FlOrder,"&lt;"&amp;J930)+COUNTIFS(A$6:A930,A930,B$6:B930,B930,C$6:C930,"&lt;&gt;",J$6:J930,J930)))</f>
        <v/>
      </c>
      <c r="J930" s="28">
        <f>IF(C930="","",IF(D930="","zz","t"&amp;D930))</f>
        <v/>
      </c>
      <c r="K930" s="28">
        <f>IF(OR(A930="",C930=""),"",IF(IFERROR(INDEX(DayStat,A930-DATE(PlanYear,1,1)+1)&amp;"","")&lt;&gt;"",0,1))</f>
        <v/>
      </c>
      <c r="L930" s="28">
        <f>IF(K930="","",K930*IFERROR(VLOOKUP(C930,CodeTable,4,0),0))</f>
        <v/>
      </c>
    </row>
    <row r="931">
      <c r="A931" s="22" t="n"/>
      <c r="B931" s="23" t="n"/>
      <c r="C931" s="24" t="n"/>
      <c r="D931" s="25" t="n"/>
      <c r="E931" s="26" t="n"/>
      <c r="F931" s="26" t="n"/>
      <c r="G931" s="27">
        <f>IF(C931="","",IFERROR(VLOOKUP(C931,CodeTable,3,0),1))</f>
        <v/>
      </c>
      <c r="H931" s="27">
        <f>IF(C931="","",IF(E931&lt;&gt;"",E931,IF(IFERROR(VLOOKUP(C931,CodeTable,5,0)&amp;"","")="","All",VLOOKUP(C931,CodeTable,5,0)&amp;"")))</f>
        <v/>
      </c>
      <c r="I931" s="28">
        <f>IF(OR(A931="",C931=""),"",A931&amp;"|"&amp;B931&amp;"|"&amp;(COUNTIFS(FlDate,A931,FlShift,B931,FlCode,"&lt;&gt;",FlOrder,"&lt;"&amp;J931)+COUNTIFS(A$6:A931,A931,B$6:B931,B931,C$6:C931,"&lt;&gt;",J$6:J931,J931)))</f>
        <v/>
      </c>
      <c r="J931" s="28">
        <f>IF(C931="","",IF(D931="","zz","t"&amp;D931))</f>
        <v/>
      </c>
      <c r="K931" s="28">
        <f>IF(OR(A931="",C931=""),"",IF(IFERROR(INDEX(DayStat,A931-DATE(PlanYear,1,1)+1)&amp;"","")&lt;&gt;"",0,1))</f>
        <v/>
      </c>
      <c r="L931" s="28">
        <f>IF(K931="","",K931*IFERROR(VLOOKUP(C931,CodeTable,4,0),0))</f>
        <v/>
      </c>
    </row>
    <row r="932">
      <c r="A932" s="22" t="n"/>
      <c r="B932" s="23" t="n"/>
      <c r="C932" s="24" t="n"/>
      <c r="D932" s="25" t="n"/>
      <c r="E932" s="26" t="n"/>
      <c r="F932" s="26" t="n"/>
      <c r="G932" s="27">
        <f>IF(C932="","",IFERROR(VLOOKUP(C932,CodeTable,3,0),1))</f>
        <v/>
      </c>
      <c r="H932" s="27">
        <f>IF(C932="","",IF(E932&lt;&gt;"",E932,IF(IFERROR(VLOOKUP(C932,CodeTable,5,0)&amp;"","")="","All",VLOOKUP(C932,CodeTable,5,0)&amp;"")))</f>
        <v/>
      </c>
      <c r="I932" s="28">
        <f>IF(OR(A932="",C932=""),"",A932&amp;"|"&amp;B932&amp;"|"&amp;(COUNTIFS(FlDate,A932,FlShift,B932,FlCode,"&lt;&gt;",FlOrder,"&lt;"&amp;J932)+COUNTIFS(A$6:A932,A932,B$6:B932,B932,C$6:C932,"&lt;&gt;",J$6:J932,J932)))</f>
        <v/>
      </c>
      <c r="J932" s="28">
        <f>IF(C932="","",IF(D932="","zz","t"&amp;D932))</f>
        <v/>
      </c>
      <c r="K932" s="28">
        <f>IF(OR(A932="",C932=""),"",IF(IFERROR(INDEX(DayStat,A932-DATE(PlanYear,1,1)+1)&amp;"","")&lt;&gt;"",0,1))</f>
        <v/>
      </c>
      <c r="L932" s="28">
        <f>IF(K932="","",K932*IFERROR(VLOOKUP(C932,CodeTable,4,0),0))</f>
        <v/>
      </c>
    </row>
    <row r="933">
      <c r="A933" s="22" t="n"/>
      <c r="B933" s="23" t="n"/>
      <c r="C933" s="24" t="n"/>
      <c r="D933" s="25" t="n"/>
      <c r="E933" s="26" t="n"/>
      <c r="F933" s="26" t="n"/>
      <c r="G933" s="27">
        <f>IF(C933="","",IFERROR(VLOOKUP(C933,CodeTable,3,0),1))</f>
        <v/>
      </c>
      <c r="H933" s="27">
        <f>IF(C933="","",IF(E933&lt;&gt;"",E933,IF(IFERROR(VLOOKUP(C933,CodeTable,5,0)&amp;"","")="","All",VLOOKUP(C933,CodeTable,5,0)&amp;"")))</f>
        <v/>
      </c>
      <c r="I933" s="28">
        <f>IF(OR(A933="",C933=""),"",A933&amp;"|"&amp;B933&amp;"|"&amp;(COUNTIFS(FlDate,A933,FlShift,B933,FlCode,"&lt;&gt;",FlOrder,"&lt;"&amp;J933)+COUNTIFS(A$6:A933,A933,B$6:B933,B933,C$6:C933,"&lt;&gt;",J$6:J933,J933)))</f>
        <v/>
      </c>
      <c r="J933" s="28">
        <f>IF(C933="","",IF(D933="","zz","t"&amp;D933))</f>
        <v/>
      </c>
      <c r="K933" s="28">
        <f>IF(OR(A933="",C933=""),"",IF(IFERROR(INDEX(DayStat,A933-DATE(PlanYear,1,1)+1)&amp;"","")&lt;&gt;"",0,1))</f>
        <v/>
      </c>
      <c r="L933" s="28">
        <f>IF(K933="","",K933*IFERROR(VLOOKUP(C933,CodeTable,4,0),0))</f>
        <v/>
      </c>
    </row>
    <row r="934">
      <c r="A934" s="22" t="n"/>
      <c r="B934" s="23" t="n"/>
      <c r="C934" s="24" t="n"/>
      <c r="D934" s="25" t="n"/>
      <c r="E934" s="26" t="n"/>
      <c r="F934" s="26" t="n"/>
      <c r="G934" s="27">
        <f>IF(C934="","",IFERROR(VLOOKUP(C934,CodeTable,3,0),1))</f>
        <v/>
      </c>
      <c r="H934" s="27">
        <f>IF(C934="","",IF(E934&lt;&gt;"",E934,IF(IFERROR(VLOOKUP(C934,CodeTable,5,0)&amp;"","")="","All",VLOOKUP(C934,CodeTable,5,0)&amp;"")))</f>
        <v/>
      </c>
      <c r="I934" s="28">
        <f>IF(OR(A934="",C934=""),"",A934&amp;"|"&amp;B934&amp;"|"&amp;(COUNTIFS(FlDate,A934,FlShift,B934,FlCode,"&lt;&gt;",FlOrder,"&lt;"&amp;J934)+COUNTIFS(A$6:A934,A934,B$6:B934,B934,C$6:C934,"&lt;&gt;",J$6:J934,J934)))</f>
        <v/>
      </c>
      <c r="J934" s="28">
        <f>IF(C934="","",IF(D934="","zz","t"&amp;D934))</f>
        <v/>
      </c>
      <c r="K934" s="28">
        <f>IF(OR(A934="",C934=""),"",IF(IFERROR(INDEX(DayStat,A934-DATE(PlanYear,1,1)+1)&amp;"","")&lt;&gt;"",0,1))</f>
        <v/>
      </c>
      <c r="L934" s="28">
        <f>IF(K934="","",K934*IFERROR(VLOOKUP(C934,CodeTable,4,0),0))</f>
        <v/>
      </c>
    </row>
    <row r="935">
      <c r="A935" s="22" t="n"/>
      <c r="B935" s="23" t="n"/>
      <c r="C935" s="24" t="n"/>
      <c r="D935" s="25" t="n"/>
      <c r="E935" s="26" t="n"/>
      <c r="F935" s="26" t="n"/>
      <c r="G935" s="27">
        <f>IF(C935="","",IFERROR(VLOOKUP(C935,CodeTable,3,0),1))</f>
        <v/>
      </c>
      <c r="H935" s="27">
        <f>IF(C935="","",IF(E935&lt;&gt;"",E935,IF(IFERROR(VLOOKUP(C935,CodeTable,5,0)&amp;"","")="","All",VLOOKUP(C935,CodeTable,5,0)&amp;"")))</f>
        <v/>
      </c>
      <c r="I935" s="28">
        <f>IF(OR(A935="",C935=""),"",A935&amp;"|"&amp;B935&amp;"|"&amp;(COUNTIFS(FlDate,A935,FlShift,B935,FlCode,"&lt;&gt;",FlOrder,"&lt;"&amp;J935)+COUNTIFS(A$6:A935,A935,B$6:B935,B935,C$6:C935,"&lt;&gt;",J$6:J935,J935)))</f>
        <v/>
      </c>
      <c r="J935" s="28">
        <f>IF(C935="","",IF(D935="","zz","t"&amp;D935))</f>
        <v/>
      </c>
      <c r="K935" s="28">
        <f>IF(OR(A935="",C935=""),"",IF(IFERROR(INDEX(DayStat,A935-DATE(PlanYear,1,1)+1)&amp;"","")&lt;&gt;"",0,1))</f>
        <v/>
      </c>
      <c r="L935" s="28">
        <f>IF(K935="","",K935*IFERROR(VLOOKUP(C935,CodeTable,4,0),0))</f>
        <v/>
      </c>
    </row>
    <row r="936">
      <c r="A936" s="22" t="n"/>
      <c r="B936" s="23" t="n"/>
      <c r="C936" s="24" t="n"/>
      <c r="D936" s="25" t="n"/>
      <c r="E936" s="26" t="n"/>
      <c r="F936" s="26" t="n"/>
      <c r="G936" s="27">
        <f>IF(C936="","",IFERROR(VLOOKUP(C936,CodeTable,3,0),1))</f>
        <v/>
      </c>
      <c r="H936" s="27">
        <f>IF(C936="","",IF(E936&lt;&gt;"",E936,IF(IFERROR(VLOOKUP(C936,CodeTable,5,0)&amp;"","")="","All",VLOOKUP(C936,CodeTable,5,0)&amp;"")))</f>
        <v/>
      </c>
      <c r="I936" s="28">
        <f>IF(OR(A936="",C936=""),"",A936&amp;"|"&amp;B936&amp;"|"&amp;(COUNTIFS(FlDate,A936,FlShift,B936,FlCode,"&lt;&gt;",FlOrder,"&lt;"&amp;J936)+COUNTIFS(A$6:A936,A936,B$6:B936,B936,C$6:C936,"&lt;&gt;",J$6:J936,J936)))</f>
        <v/>
      </c>
      <c r="J936" s="28">
        <f>IF(C936="","",IF(D936="","zz","t"&amp;D936))</f>
        <v/>
      </c>
      <c r="K936" s="28">
        <f>IF(OR(A936="",C936=""),"",IF(IFERROR(INDEX(DayStat,A936-DATE(PlanYear,1,1)+1)&amp;"","")&lt;&gt;"",0,1))</f>
        <v/>
      </c>
      <c r="L936" s="28">
        <f>IF(K936="","",K936*IFERROR(VLOOKUP(C936,CodeTable,4,0),0))</f>
        <v/>
      </c>
    </row>
    <row r="937">
      <c r="A937" s="22" t="n"/>
      <c r="B937" s="23" t="n"/>
      <c r="C937" s="24" t="n"/>
      <c r="D937" s="25" t="n"/>
      <c r="E937" s="26" t="n"/>
      <c r="F937" s="26" t="n"/>
      <c r="G937" s="27">
        <f>IF(C937="","",IFERROR(VLOOKUP(C937,CodeTable,3,0),1))</f>
        <v/>
      </c>
      <c r="H937" s="27">
        <f>IF(C937="","",IF(E937&lt;&gt;"",E937,IF(IFERROR(VLOOKUP(C937,CodeTable,5,0)&amp;"","")="","All",VLOOKUP(C937,CodeTable,5,0)&amp;"")))</f>
        <v/>
      </c>
      <c r="I937" s="28">
        <f>IF(OR(A937="",C937=""),"",A937&amp;"|"&amp;B937&amp;"|"&amp;(COUNTIFS(FlDate,A937,FlShift,B937,FlCode,"&lt;&gt;",FlOrder,"&lt;"&amp;J937)+COUNTIFS(A$6:A937,A937,B$6:B937,B937,C$6:C937,"&lt;&gt;",J$6:J937,J937)))</f>
        <v/>
      </c>
      <c r="J937" s="28">
        <f>IF(C937="","",IF(D937="","zz","t"&amp;D937))</f>
        <v/>
      </c>
      <c r="K937" s="28">
        <f>IF(OR(A937="",C937=""),"",IF(IFERROR(INDEX(DayStat,A937-DATE(PlanYear,1,1)+1)&amp;"","")&lt;&gt;"",0,1))</f>
        <v/>
      </c>
      <c r="L937" s="28">
        <f>IF(K937="","",K937*IFERROR(VLOOKUP(C937,CodeTable,4,0),0))</f>
        <v/>
      </c>
    </row>
    <row r="938">
      <c r="A938" s="22" t="n"/>
      <c r="B938" s="23" t="n"/>
      <c r="C938" s="24" t="n"/>
      <c r="D938" s="25" t="n"/>
      <c r="E938" s="26" t="n"/>
      <c r="F938" s="26" t="n"/>
      <c r="G938" s="27">
        <f>IF(C938="","",IFERROR(VLOOKUP(C938,CodeTable,3,0),1))</f>
        <v/>
      </c>
      <c r="H938" s="27">
        <f>IF(C938="","",IF(E938&lt;&gt;"",E938,IF(IFERROR(VLOOKUP(C938,CodeTable,5,0)&amp;"","")="","All",VLOOKUP(C938,CodeTable,5,0)&amp;"")))</f>
        <v/>
      </c>
      <c r="I938" s="28">
        <f>IF(OR(A938="",C938=""),"",A938&amp;"|"&amp;B938&amp;"|"&amp;(COUNTIFS(FlDate,A938,FlShift,B938,FlCode,"&lt;&gt;",FlOrder,"&lt;"&amp;J938)+COUNTIFS(A$6:A938,A938,B$6:B938,B938,C$6:C938,"&lt;&gt;",J$6:J938,J938)))</f>
        <v/>
      </c>
      <c r="J938" s="28">
        <f>IF(C938="","",IF(D938="","zz","t"&amp;D938))</f>
        <v/>
      </c>
      <c r="K938" s="28">
        <f>IF(OR(A938="",C938=""),"",IF(IFERROR(INDEX(DayStat,A938-DATE(PlanYear,1,1)+1)&amp;"","")&lt;&gt;"",0,1))</f>
        <v/>
      </c>
      <c r="L938" s="28">
        <f>IF(K938="","",K938*IFERROR(VLOOKUP(C938,CodeTable,4,0),0))</f>
        <v/>
      </c>
    </row>
    <row r="939">
      <c r="A939" s="22" t="n"/>
      <c r="B939" s="23" t="n"/>
      <c r="C939" s="24" t="n"/>
      <c r="D939" s="25" t="n"/>
      <c r="E939" s="26" t="n"/>
      <c r="F939" s="26" t="n"/>
      <c r="G939" s="27">
        <f>IF(C939="","",IFERROR(VLOOKUP(C939,CodeTable,3,0),1))</f>
        <v/>
      </c>
      <c r="H939" s="27">
        <f>IF(C939="","",IF(E939&lt;&gt;"",E939,IF(IFERROR(VLOOKUP(C939,CodeTable,5,0)&amp;"","")="","All",VLOOKUP(C939,CodeTable,5,0)&amp;"")))</f>
        <v/>
      </c>
      <c r="I939" s="28">
        <f>IF(OR(A939="",C939=""),"",A939&amp;"|"&amp;B939&amp;"|"&amp;(COUNTIFS(FlDate,A939,FlShift,B939,FlCode,"&lt;&gt;",FlOrder,"&lt;"&amp;J939)+COUNTIFS(A$6:A939,A939,B$6:B939,B939,C$6:C939,"&lt;&gt;",J$6:J939,J939)))</f>
        <v/>
      </c>
      <c r="J939" s="28">
        <f>IF(C939="","",IF(D939="","zz","t"&amp;D939))</f>
        <v/>
      </c>
      <c r="K939" s="28">
        <f>IF(OR(A939="",C939=""),"",IF(IFERROR(INDEX(DayStat,A939-DATE(PlanYear,1,1)+1)&amp;"","")&lt;&gt;"",0,1))</f>
        <v/>
      </c>
      <c r="L939" s="28">
        <f>IF(K939="","",K939*IFERROR(VLOOKUP(C939,CodeTable,4,0),0))</f>
        <v/>
      </c>
    </row>
    <row r="940">
      <c r="A940" s="22" t="n"/>
      <c r="B940" s="23" t="n"/>
      <c r="C940" s="24" t="n"/>
      <c r="D940" s="25" t="n"/>
      <c r="E940" s="26" t="n"/>
      <c r="F940" s="26" t="n"/>
      <c r="G940" s="27">
        <f>IF(C940="","",IFERROR(VLOOKUP(C940,CodeTable,3,0),1))</f>
        <v/>
      </c>
      <c r="H940" s="27">
        <f>IF(C940="","",IF(E940&lt;&gt;"",E940,IF(IFERROR(VLOOKUP(C940,CodeTable,5,0)&amp;"","")="","All",VLOOKUP(C940,CodeTable,5,0)&amp;"")))</f>
        <v/>
      </c>
      <c r="I940" s="28">
        <f>IF(OR(A940="",C940=""),"",A940&amp;"|"&amp;B940&amp;"|"&amp;(COUNTIFS(FlDate,A940,FlShift,B940,FlCode,"&lt;&gt;",FlOrder,"&lt;"&amp;J940)+COUNTIFS(A$6:A940,A940,B$6:B940,B940,C$6:C940,"&lt;&gt;",J$6:J940,J940)))</f>
        <v/>
      </c>
      <c r="J940" s="28">
        <f>IF(C940="","",IF(D940="","zz","t"&amp;D940))</f>
        <v/>
      </c>
      <c r="K940" s="28">
        <f>IF(OR(A940="",C940=""),"",IF(IFERROR(INDEX(DayStat,A940-DATE(PlanYear,1,1)+1)&amp;"","")&lt;&gt;"",0,1))</f>
        <v/>
      </c>
      <c r="L940" s="28">
        <f>IF(K940="","",K940*IFERROR(VLOOKUP(C940,CodeTable,4,0),0))</f>
        <v/>
      </c>
    </row>
    <row r="941">
      <c r="A941" s="22" t="n"/>
      <c r="B941" s="23" t="n"/>
      <c r="C941" s="24" t="n"/>
      <c r="D941" s="25" t="n"/>
      <c r="E941" s="26" t="n"/>
      <c r="F941" s="26" t="n"/>
      <c r="G941" s="27">
        <f>IF(C941="","",IFERROR(VLOOKUP(C941,CodeTable,3,0),1))</f>
        <v/>
      </c>
      <c r="H941" s="27">
        <f>IF(C941="","",IF(E941&lt;&gt;"",E941,IF(IFERROR(VLOOKUP(C941,CodeTable,5,0)&amp;"","")="","All",VLOOKUP(C941,CodeTable,5,0)&amp;"")))</f>
        <v/>
      </c>
      <c r="I941" s="28">
        <f>IF(OR(A941="",C941=""),"",A941&amp;"|"&amp;B941&amp;"|"&amp;(COUNTIFS(FlDate,A941,FlShift,B941,FlCode,"&lt;&gt;",FlOrder,"&lt;"&amp;J941)+COUNTIFS(A$6:A941,A941,B$6:B941,B941,C$6:C941,"&lt;&gt;",J$6:J941,J941)))</f>
        <v/>
      </c>
      <c r="J941" s="28">
        <f>IF(C941="","",IF(D941="","zz","t"&amp;D941))</f>
        <v/>
      </c>
      <c r="K941" s="28">
        <f>IF(OR(A941="",C941=""),"",IF(IFERROR(INDEX(DayStat,A941-DATE(PlanYear,1,1)+1)&amp;"","")&lt;&gt;"",0,1))</f>
        <v/>
      </c>
      <c r="L941" s="28">
        <f>IF(K941="","",K941*IFERROR(VLOOKUP(C941,CodeTable,4,0),0))</f>
        <v/>
      </c>
    </row>
    <row r="942">
      <c r="A942" s="22" t="n"/>
      <c r="B942" s="23" t="n"/>
      <c r="C942" s="24" t="n"/>
      <c r="D942" s="25" t="n"/>
      <c r="E942" s="26" t="n"/>
      <c r="F942" s="26" t="n"/>
      <c r="G942" s="27">
        <f>IF(C942="","",IFERROR(VLOOKUP(C942,CodeTable,3,0),1))</f>
        <v/>
      </c>
      <c r="H942" s="27">
        <f>IF(C942="","",IF(E942&lt;&gt;"",E942,IF(IFERROR(VLOOKUP(C942,CodeTable,5,0)&amp;"","")="","All",VLOOKUP(C942,CodeTable,5,0)&amp;"")))</f>
        <v/>
      </c>
      <c r="I942" s="28">
        <f>IF(OR(A942="",C942=""),"",A942&amp;"|"&amp;B942&amp;"|"&amp;(COUNTIFS(FlDate,A942,FlShift,B942,FlCode,"&lt;&gt;",FlOrder,"&lt;"&amp;J942)+COUNTIFS(A$6:A942,A942,B$6:B942,B942,C$6:C942,"&lt;&gt;",J$6:J942,J942)))</f>
        <v/>
      </c>
      <c r="J942" s="28">
        <f>IF(C942="","",IF(D942="","zz","t"&amp;D942))</f>
        <v/>
      </c>
      <c r="K942" s="28">
        <f>IF(OR(A942="",C942=""),"",IF(IFERROR(INDEX(DayStat,A942-DATE(PlanYear,1,1)+1)&amp;"","")&lt;&gt;"",0,1))</f>
        <v/>
      </c>
      <c r="L942" s="28">
        <f>IF(K942="","",K942*IFERROR(VLOOKUP(C942,CodeTable,4,0),0))</f>
        <v/>
      </c>
    </row>
    <row r="943">
      <c r="A943" s="22" t="n"/>
      <c r="B943" s="23" t="n"/>
      <c r="C943" s="24" t="n"/>
      <c r="D943" s="25" t="n"/>
      <c r="E943" s="26" t="n"/>
      <c r="F943" s="26" t="n"/>
      <c r="G943" s="27">
        <f>IF(C943="","",IFERROR(VLOOKUP(C943,CodeTable,3,0),1))</f>
        <v/>
      </c>
      <c r="H943" s="27">
        <f>IF(C943="","",IF(E943&lt;&gt;"",E943,IF(IFERROR(VLOOKUP(C943,CodeTable,5,0)&amp;"","")="","All",VLOOKUP(C943,CodeTable,5,0)&amp;"")))</f>
        <v/>
      </c>
      <c r="I943" s="28">
        <f>IF(OR(A943="",C943=""),"",A943&amp;"|"&amp;B943&amp;"|"&amp;(COUNTIFS(FlDate,A943,FlShift,B943,FlCode,"&lt;&gt;",FlOrder,"&lt;"&amp;J943)+COUNTIFS(A$6:A943,A943,B$6:B943,B943,C$6:C943,"&lt;&gt;",J$6:J943,J943)))</f>
        <v/>
      </c>
      <c r="J943" s="28">
        <f>IF(C943="","",IF(D943="","zz","t"&amp;D943))</f>
        <v/>
      </c>
      <c r="K943" s="28">
        <f>IF(OR(A943="",C943=""),"",IF(IFERROR(INDEX(DayStat,A943-DATE(PlanYear,1,1)+1)&amp;"","")&lt;&gt;"",0,1))</f>
        <v/>
      </c>
      <c r="L943" s="28">
        <f>IF(K943="","",K943*IFERROR(VLOOKUP(C943,CodeTable,4,0),0))</f>
        <v/>
      </c>
    </row>
    <row r="944">
      <c r="A944" s="22" t="n"/>
      <c r="B944" s="23" t="n"/>
      <c r="C944" s="24" t="n"/>
      <c r="D944" s="25" t="n"/>
      <c r="E944" s="26" t="n"/>
      <c r="F944" s="26" t="n"/>
      <c r="G944" s="27">
        <f>IF(C944="","",IFERROR(VLOOKUP(C944,CodeTable,3,0),1))</f>
        <v/>
      </c>
      <c r="H944" s="27">
        <f>IF(C944="","",IF(E944&lt;&gt;"",E944,IF(IFERROR(VLOOKUP(C944,CodeTable,5,0)&amp;"","")="","All",VLOOKUP(C944,CodeTable,5,0)&amp;"")))</f>
        <v/>
      </c>
      <c r="I944" s="28">
        <f>IF(OR(A944="",C944=""),"",A944&amp;"|"&amp;B944&amp;"|"&amp;(COUNTIFS(FlDate,A944,FlShift,B944,FlCode,"&lt;&gt;",FlOrder,"&lt;"&amp;J944)+COUNTIFS(A$6:A944,A944,B$6:B944,B944,C$6:C944,"&lt;&gt;",J$6:J944,J944)))</f>
        <v/>
      </c>
      <c r="J944" s="28">
        <f>IF(C944="","",IF(D944="","zz","t"&amp;D944))</f>
        <v/>
      </c>
      <c r="K944" s="28">
        <f>IF(OR(A944="",C944=""),"",IF(IFERROR(INDEX(DayStat,A944-DATE(PlanYear,1,1)+1)&amp;"","")&lt;&gt;"",0,1))</f>
        <v/>
      </c>
      <c r="L944" s="28">
        <f>IF(K944="","",K944*IFERROR(VLOOKUP(C944,CodeTable,4,0),0))</f>
        <v/>
      </c>
    </row>
    <row r="945">
      <c r="A945" s="22" t="n"/>
      <c r="B945" s="23" t="n"/>
      <c r="C945" s="24" t="n"/>
      <c r="D945" s="25" t="n"/>
      <c r="E945" s="26" t="n"/>
      <c r="F945" s="26" t="n"/>
      <c r="G945" s="27">
        <f>IF(C945="","",IFERROR(VLOOKUP(C945,CodeTable,3,0),1))</f>
        <v/>
      </c>
      <c r="H945" s="27">
        <f>IF(C945="","",IF(E945&lt;&gt;"",E945,IF(IFERROR(VLOOKUP(C945,CodeTable,5,0)&amp;"","")="","All",VLOOKUP(C945,CodeTable,5,0)&amp;"")))</f>
        <v/>
      </c>
      <c r="I945" s="28">
        <f>IF(OR(A945="",C945=""),"",A945&amp;"|"&amp;B945&amp;"|"&amp;(COUNTIFS(FlDate,A945,FlShift,B945,FlCode,"&lt;&gt;",FlOrder,"&lt;"&amp;J945)+COUNTIFS(A$6:A945,A945,B$6:B945,B945,C$6:C945,"&lt;&gt;",J$6:J945,J945)))</f>
        <v/>
      </c>
      <c r="J945" s="28">
        <f>IF(C945="","",IF(D945="","zz","t"&amp;D945))</f>
        <v/>
      </c>
      <c r="K945" s="28">
        <f>IF(OR(A945="",C945=""),"",IF(IFERROR(INDEX(DayStat,A945-DATE(PlanYear,1,1)+1)&amp;"","")&lt;&gt;"",0,1))</f>
        <v/>
      </c>
      <c r="L945" s="28">
        <f>IF(K945="","",K945*IFERROR(VLOOKUP(C945,CodeTable,4,0),0))</f>
        <v/>
      </c>
    </row>
    <row r="946">
      <c r="A946" s="22" t="n"/>
      <c r="B946" s="23" t="n"/>
      <c r="C946" s="24" t="n"/>
      <c r="D946" s="25" t="n"/>
      <c r="E946" s="26" t="n"/>
      <c r="F946" s="26" t="n"/>
      <c r="G946" s="27">
        <f>IF(C946="","",IFERROR(VLOOKUP(C946,CodeTable,3,0),1))</f>
        <v/>
      </c>
      <c r="H946" s="27">
        <f>IF(C946="","",IF(E946&lt;&gt;"",E946,IF(IFERROR(VLOOKUP(C946,CodeTable,5,0)&amp;"","")="","All",VLOOKUP(C946,CodeTable,5,0)&amp;"")))</f>
        <v/>
      </c>
      <c r="I946" s="28">
        <f>IF(OR(A946="",C946=""),"",A946&amp;"|"&amp;B946&amp;"|"&amp;(COUNTIFS(FlDate,A946,FlShift,B946,FlCode,"&lt;&gt;",FlOrder,"&lt;"&amp;J946)+COUNTIFS(A$6:A946,A946,B$6:B946,B946,C$6:C946,"&lt;&gt;",J$6:J946,J946)))</f>
        <v/>
      </c>
      <c r="J946" s="28">
        <f>IF(C946="","",IF(D946="","zz","t"&amp;D946))</f>
        <v/>
      </c>
      <c r="K946" s="28">
        <f>IF(OR(A946="",C946=""),"",IF(IFERROR(INDEX(DayStat,A946-DATE(PlanYear,1,1)+1)&amp;"","")&lt;&gt;"",0,1))</f>
        <v/>
      </c>
      <c r="L946" s="28">
        <f>IF(K946="","",K946*IFERROR(VLOOKUP(C946,CodeTable,4,0),0))</f>
        <v/>
      </c>
    </row>
    <row r="947">
      <c r="A947" s="22" t="n"/>
      <c r="B947" s="23" t="n"/>
      <c r="C947" s="24" t="n"/>
      <c r="D947" s="25" t="n"/>
      <c r="E947" s="26" t="n"/>
      <c r="F947" s="26" t="n"/>
      <c r="G947" s="27">
        <f>IF(C947="","",IFERROR(VLOOKUP(C947,CodeTable,3,0),1))</f>
        <v/>
      </c>
      <c r="H947" s="27">
        <f>IF(C947="","",IF(E947&lt;&gt;"",E947,IF(IFERROR(VLOOKUP(C947,CodeTable,5,0)&amp;"","")="","All",VLOOKUP(C947,CodeTable,5,0)&amp;"")))</f>
        <v/>
      </c>
      <c r="I947" s="28">
        <f>IF(OR(A947="",C947=""),"",A947&amp;"|"&amp;B947&amp;"|"&amp;(COUNTIFS(FlDate,A947,FlShift,B947,FlCode,"&lt;&gt;",FlOrder,"&lt;"&amp;J947)+COUNTIFS(A$6:A947,A947,B$6:B947,B947,C$6:C947,"&lt;&gt;",J$6:J947,J947)))</f>
        <v/>
      </c>
      <c r="J947" s="28">
        <f>IF(C947="","",IF(D947="","zz","t"&amp;D947))</f>
        <v/>
      </c>
      <c r="K947" s="28">
        <f>IF(OR(A947="",C947=""),"",IF(IFERROR(INDEX(DayStat,A947-DATE(PlanYear,1,1)+1)&amp;"","")&lt;&gt;"",0,1))</f>
        <v/>
      </c>
      <c r="L947" s="28">
        <f>IF(K947="","",K947*IFERROR(VLOOKUP(C947,CodeTable,4,0),0))</f>
        <v/>
      </c>
    </row>
    <row r="948">
      <c r="A948" s="22" t="n"/>
      <c r="B948" s="23" t="n"/>
      <c r="C948" s="24" t="n"/>
      <c r="D948" s="25" t="n"/>
      <c r="E948" s="26" t="n"/>
      <c r="F948" s="26" t="n"/>
      <c r="G948" s="27">
        <f>IF(C948="","",IFERROR(VLOOKUP(C948,CodeTable,3,0),1))</f>
        <v/>
      </c>
      <c r="H948" s="27">
        <f>IF(C948="","",IF(E948&lt;&gt;"",E948,IF(IFERROR(VLOOKUP(C948,CodeTable,5,0)&amp;"","")="","All",VLOOKUP(C948,CodeTable,5,0)&amp;"")))</f>
        <v/>
      </c>
      <c r="I948" s="28">
        <f>IF(OR(A948="",C948=""),"",A948&amp;"|"&amp;B948&amp;"|"&amp;(COUNTIFS(FlDate,A948,FlShift,B948,FlCode,"&lt;&gt;",FlOrder,"&lt;"&amp;J948)+COUNTIFS(A$6:A948,A948,B$6:B948,B948,C$6:C948,"&lt;&gt;",J$6:J948,J948)))</f>
        <v/>
      </c>
      <c r="J948" s="28">
        <f>IF(C948="","",IF(D948="","zz","t"&amp;D948))</f>
        <v/>
      </c>
      <c r="K948" s="28">
        <f>IF(OR(A948="",C948=""),"",IF(IFERROR(INDEX(DayStat,A948-DATE(PlanYear,1,1)+1)&amp;"","")&lt;&gt;"",0,1))</f>
        <v/>
      </c>
      <c r="L948" s="28">
        <f>IF(K948="","",K948*IFERROR(VLOOKUP(C948,CodeTable,4,0),0))</f>
        <v/>
      </c>
    </row>
    <row r="949">
      <c r="A949" s="22" t="n"/>
      <c r="B949" s="23" t="n"/>
      <c r="C949" s="24" t="n"/>
      <c r="D949" s="25" t="n"/>
      <c r="E949" s="26" t="n"/>
      <c r="F949" s="26" t="n"/>
      <c r="G949" s="27">
        <f>IF(C949="","",IFERROR(VLOOKUP(C949,CodeTable,3,0),1))</f>
        <v/>
      </c>
      <c r="H949" s="27">
        <f>IF(C949="","",IF(E949&lt;&gt;"",E949,IF(IFERROR(VLOOKUP(C949,CodeTable,5,0)&amp;"","")="","All",VLOOKUP(C949,CodeTable,5,0)&amp;"")))</f>
        <v/>
      </c>
      <c r="I949" s="28">
        <f>IF(OR(A949="",C949=""),"",A949&amp;"|"&amp;B949&amp;"|"&amp;(COUNTIFS(FlDate,A949,FlShift,B949,FlCode,"&lt;&gt;",FlOrder,"&lt;"&amp;J949)+COUNTIFS(A$6:A949,A949,B$6:B949,B949,C$6:C949,"&lt;&gt;",J$6:J949,J949)))</f>
        <v/>
      </c>
      <c r="J949" s="28">
        <f>IF(C949="","",IF(D949="","zz","t"&amp;D949))</f>
        <v/>
      </c>
      <c r="K949" s="28">
        <f>IF(OR(A949="",C949=""),"",IF(IFERROR(INDEX(DayStat,A949-DATE(PlanYear,1,1)+1)&amp;"","")&lt;&gt;"",0,1))</f>
        <v/>
      </c>
      <c r="L949" s="28">
        <f>IF(K949="","",K949*IFERROR(VLOOKUP(C949,CodeTable,4,0),0))</f>
        <v/>
      </c>
    </row>
    <row r="950">
      <c r="A950" s="22" t="n"/>
      <c r="B950" s="23" t="n"/>
      <c r="C950" s="24" t="n"/>
      <c r="D950" s="25" t="n"/>
      <c r="E950" s="26" t="n"/>
      <c r="F950" s="26" t="n"/>
      <c r="G950" s="27">
        <f>IF(C950="","",IFERROR(VLOOKUP(C950,CodeTable,3,0),1))</f>
        <v/>
      </c>
      <c r="H950" s="27">
        <f>IF(C950="","",IF(E950&lt;&gt;"",E950,IF(IFERROR(VLOOKUP(C950,CodeTable,5,0)&amp;"","")="","All",VLOOKUP(C950,CodeTable,5,0)&amp;"")))</f>
        <v/>
      </c>
      <c r="I950" s="28">
        <f>IF(OR(A950="",C950=""),"",A950&amp;"|"&amp;B950&amp;"|"&amp;(COUNTIFS(FlDate,A950,FlShift,B950,FlCode,"&lt;&gt;",FlOrder,"&lt;"&amp;J950)+COUNTIFS(A$6:A950,A950,B$6:B950,B950,C$6:C950,"&lt;&gt;",J$6:J950,J950)))</f>
        <v/>
      </c>
      <c r="J950" s="28">
        <f>IF(C950="","",IF(D950="","zz","t"&amp;D950))</f>
        <v/>
      </c>
      <c r="K950" s="28">
        <f>IF(OR(A950="",C950=""),"",IF(IFERROR(INDEX(DayStat,A950-DATE(PlanYear,1,1)+1)&amp;"","")&lt;&gt;"",0,1))</f>
        <v/>
      </c>
      <c r="L950" s="28">
        <f>IF(K950="","",K950*IFERROR(VLOOKUP(C950,CodeTable,4,0),0))</f>
        <v/>
      </c>
    </row>
    <row r="951">
      <c r="A951" s="22" t="n"/>
      <c r="B951" s="23" t="n"/>
      <c r="C951" s="24" t="n"/>
      <c r="D951" s="25" t="n"/>
      <c r="E951" s="26" t="n"/>
      <c r="F951" s="26" t="n"/>
      <c r="G951" s="27">
        <f>IF(C951="","",IFERROR(VLOOKUP(C951,CodeTable,3,0),1))</f>
        <v/>
      </c>
      <c r="H951" s="27">
        <f>IF(C951="","",IF(E951&lt;&gt;"",E951,IF(IFERROR(VLOOKUP(C951,CodeTable,5,0)&amp;"","")="","All",VLOOKUP(C951,CodeTable,5,0)&amp;"")))</f>
        <v/>
      </c>
      <c r="I951" s="28">
        <f>IF(OR(A951="",C951=""),"",A951&amp;"|"&amp;B951&amp;"|"&amp;(COUNTIFS(FlDate,A951,FlShift,B951,FlCode,"&lt;&gt;",FlOrder,"&lt;"&amp;J951)+COUNTIFS(A$6:A951,A951,B$6:B951,B951,C$6:C951,"&lt;&gt;",J$6:J951,J951)))</f>
        <v/>
      </c>
      <c r="J951" s="28">
        <f>IF(C951="","",IF(D951="","zz","t"&amp;D951))</f>
        <v/>
      </c>
      <c r="K951" s="28">
        <f>IF(OR(A951="",C951=""),"",IF(IFERROR(INDEX(DayStat,A951-DATE(PlanYear,1,1)+1)&amp;"","")&lt;&gt;"",0,1))</f>
        <v/>
      </c>
      <c r="L951" s="28">
        <f>IF(K951="","",K951*IFERROR(VLOOKUP(C951,CodeTable,4,0),0))</f>
        <v/>
      </c>
    </row>
    <row r="952">
      <c r="A952" s="22" t="n"/>
      <c r="B952" s="23" t="n"/>
      <c r="C952" s="24" t="n"/>
      <c r="D952" s="25" t="n"/>
      <c r="E952" s="26" t="n"/>
      <c r="F952" s="26" t="n"/>
      <c r="G952" s="27">
        <f>IF(C952="","",IFERROR(VLOOKUP(C952,CodeTable,3,0),1))</f>
        <v/>
      </c>
      <c r="H952" s="27">
        <f>IF(C952="","",IF(E952&lt;&gt;"",E952,IF(IFERROR(VLOOKUP(C952,CodeTable,5,0)&amp;"","")="","All",VLOOKUP(C952,CodeTable,5,0)&amp;"")))</f>
        <v/>
      </c>
      <c r="I952" s="28">
        <f>IF(OR(A952="",C952=""),"",A952&amp;"|"&amp;B952&amp;"|"&amp;(COUNTIFS(FlDate,A952,FlShift,B952,FlCode,"&lt;&gt;",FlOrder,"&lt;"&amp;J952)+COUNTIFS(A$6:A952,A952,B$6:B952,B952,C$6:C952,"&lt;&gt;",J$6:J952,J952)))</f>
        <v/>
      </c>
      <c r="J952" s="28">
        <f>IF(C952="","",IF(D952="","zz","t"&amp;D952))</f>
        <v/>
      </c>
      <c r="K952" s="28">
        <f>IF(OR(A952="",C952=""),"",IF(IFERROR(INDEX(DayStat,A952-DATE(PlanYear,1,1)+1)&amp;"","")&lt;&gt;"",0,1))</f>
        <v/>
      </c>
      <c r="L952" s="28">
        <f>IF(K952="","",K952*IFERROR(VLOOKUP(C952,CodeTable,4,0),0))</f>
        <v/>
      </c>
    </row>
    <row r="953">
      <c r="A953" s="22" t="n"/>
      <c r="B953" s="23" t="n"/>
      <c r="C953" s="24" t="n"/>
      <c r="D953" s="25" t="n"/>
      <c r="E953" s="26" t="n"/>
      <c r="F953" s="26" t="n"/>
      <c r="G953" s="27">
        <f>IF(C953="","",IFERROR(VLOOKUP(C953,CodeTable,3,0),1))</f>
        <v/>
      </c>
      <c r="H953" s="27">
        <f>IF(C953="","",IF(E953&lt;&gt;"",E953,IF(IFERROR(VLOOKUP(C953,CodeTable,5,0)&amp;"","")="","All",VLOOKUP(C953,CodeTable,5,0)&amp;"")))</f>
        <v/>
      </c>
      <c r="I953" s="28">
        <f>IF(OR(A953="",C953=""),"",A953&amp;"|"&amp;B953&amp;"|"&amp;(COUNTIFS(FlDate,A953,FlShift,B953,FlCode,"&lt;&gt;",FlOrder,"&lt;"&amp;J953)+COUNTIFS(A$6:A953,A953,B$6:B953,B953,C$6:C953,"&lt;&gt;",J$6:J953,J953)))</f>
        <v/>
      </c>
      <c r="J953" s="28">
        <f>IF(C953="","",IF(D953="","zz","t"&amp;D953))</f>
        <v/>
      </c>
      <c r="K953" s="28">
        <f>IF(OR(A953="",C953=""),"",IF(IFERROR(INDEX(DayStat,A953-DATE(PlanYear,1,1)+1)&amp;"","")&lt;&gt;"",0,1))</f>
        <v/>
      </c>
      <c r="L953" s="28">
        <f>IF(K953="","",K953*IFERROR(VLOOKUP(C953,CodeTable,4,0),0))</f>
        <v/>
      </c>
    </row>
    <row r="954">
      <c r="A954" s="22" t="n"/>
      <c r="B954" s="23" t="n"/>
      <c r="C954" s="24" t="n"/>
      <c r="D954" s="25" t="n"/>
      <c r="E954" s="26" t="n"/>
      <c r="F954" s="26" t="n"/>
      <c r="G954" s="27">
        <f>IF(C954="","",IFERROR(VLOOKUP(C954,CodeTable,3,0),1))</f>
        <v/>
      </c>
      <c r="H954" s="27">
        <f>IF(C954="","",IF(E954&lt;&gt;"",E954,IF(IFERROR(VLOOKUP(C954,CodeTable,5,0)&amp;"","")="","All",VLOOKUP(C954,CodeTable,5,0)&amp;"")))</f>
        <v/>
      </c>
      <c r="I954" s="28">
        <f>IF(OR(A954="",C954=""),"",A954&amp;"|"&amp;B954&amp;"|"&amp;(COUNTIFS(FlDate,A954,FlShift,B954,FlCode,"&lt;&gt;",FlOrder,"&lt;"&amp;J954)+COUNTIFS(A$6:A954,A954,B$6:B954,B954,C$6:C954,"&lt;&gt;",J$6:J954,J954)))</f>
        <v/>
      </c>
      <c r="J954" s="28">
        <f>IF(C954="","",IF(D954="","zz","t"&amp;D954))</f>
        <v/>
      </c>
      <c r="K954" s="28">
        <f>IF(OR(A954="",C954=""),"",IF(IFERROR(INDEX(DayStat,A954-DATE(PlanYear,1,1)+1)&amp;"","")&lt;&gt;"",0,1))</f>
        <v/>
      </c>
      <c r="L954" s="28">
        <f>IF(K954="","",K954*IFERROR(VLOOKUP(C954,CodeTable,4,0),0))</f>
        <v/>
      </c>
    </row>
    <row r="955">
      <c r="A955" s="22" t="n"/>
      <c r="B955" s="23" t="n"/>
      <c r="C955" s="24" t="n"/>
      <c r="D955" s="25" t="n"/>
      <c r="E955" s="26" t="n"/>
      <c r="F955" s="26" t="n"/>
      <c r="G955" s="27">
        <f>IF(C955="","",IFERROR(VLOOKUP(C955,CodeTable,3,0),1))</f>
        <v/>
      </c>
      <c r="H955" s="27">
        <f>IF(C955="","",IF(E955&lt;&gt;"",E955,IF(IFERROR(VLOOKUP(C955,CodeTable,5,0)&amp;"","")="","All",VLOOKUP(C955,CodeTable,5,0)&amp;"")))</f>
        <v/>
      </c>
      <c r="I955" s="28">
        <f>IF(OR(A955="",C955=""),"",A955&amp;"|"&amp;B955&amp;"|"&amp;(COUNTIFS(FlDate,A955,FlShift,B955,FlCode,"&lt;&gt;",FlOrder,"&lt;"&amp;J955)+COUNTIFS(A$6:A955,A955,B$6:B955,B955,C$6:C955,"&lt;&gt;",J$6:J955,J955)))</f>
        <v/>
      </c>
      <c r="J955" s="28">
        <f>IF(C955="","",IF(D955="","zz","t"&amp;D955))</f>
        <v/>
      </c>
      <c r="K955" s="28">
        <f>IF(OR(A955="",C955=""),"",IF(IFERROR(INDEX(DayStat,A955-DATE(PlanYear,1,1)+1)&amp;"","")&lt;&gt;"",0,1))</f>
        <v/>
      </c>
      <c r="L955" s="28">
        <f>IF(K955="","",K955*IFERROR(VLOOKUP(C955,CodeTable,4,0),0))</f>
        <v/>
      </c>
    </row>
    <row r="956">
      <c r="A956" s="22" t="n"/>
      <c r="B956" s="23" t="n"/>
      <c r="C956" s="24" t="n"/>
      <c r="D956" s="25" t="n"/>
      <c r="E956" s="26" t="n"/>
      <c r="F956" s="26" t="n"/>
      <c r="G956" s="27">
        <f>IF(C956="","",IFERROR(VLOOKUP(C956,CodeTable,3,0),1))</f>
        <v/>
      </c>
      <c r="H956" s="27">
        <f>IF(C956="","",IF(E956&lt;&gt;"",E956,IF(IFERROR(VLOOKUP(C956,CodeTable,5,0)&amp;"","")="","All",VLOOKUP(C956,CodeTable,5,0)&amp;"")))</f>
        <v/>
      </c>
      <c r="I956" s="28">
        <f>IF(OR(A956="",C956=""),"",A956&amp;"|"&amp;B956&amp;"|"&amp;(COUNTIFS(FlDate,A956,FlShift,B956,FlCode,"&lt;&gt;",FlOrder,"&lt;"&amp;J956)+COUNTIFS(A$6:A956,A956,B$6:B956,B956,C$6:C956,"&lt;&gt;",J$6:J956,J956)))</f>
        <v/>
      </c>
      <c r="J956" s="28">
        <f>IF(C956="","",IF(D956="","zz","t"&amp;D956))</f>
        <v/>
      </c>
      <c r="K956" s="28">
        <f>IF(OR(A956="",C956=""),"",IF(IFERROR(INDEX(DayStat,A956-DATE(PlanYear,1,1)+1)&amp;"","")&lt;&gt;"",0,1))</f>
        <v/>
      </c>
      <c r="L956" s="28">
        <f>IF(K956="","",K956*IFERROR(VLOOKUP(C956,CodeTable,4,0),0))</f>
        <v/>
      </c>
    </row>
    <row r="957">
      <c r="A957" s="22" t="n"/>
      <c r="B957" s="23" t="n"/>
      <c r="C957" s="24" t="n"/>
      <c r="D957" s="25" t="n"/>
      <c r="E957" s="26" t="n"/>
      <c r="F957" s="26" t="n"/>
      <c r="G957" s="27">
        <f>IF(C957="","",IFERROR(VLOOKUP(C957,CodeTable,3,0),1))</f>
        <v/>
      </c>
      <c r="H957" s="27">
        <f>IF(C957="","",IF(E957&lt;&gt;"",E957,IF(IFERROR(VLOOKUP(C957,CodeTable,5,0)&amp;"","")="","All",VLOOKUP(C957,CodeTable,5,0)&amp;"")))</f>
        <v/>
      </c>
      <c r="I957" s="28">
        <f>IF(OR(A957="",C957=""),"",A957&amp;"|"&amp;B957&amp;"|"&amp;(COUNTIFS(FlDate,A957,FlShift,B957,FlCode,"&lt;&gt;",FlOrder,"&lt;"&amp;J957)+COUNTIFS(A$6:A957,A957,B$6:B957,B957,C$6:C957,"&lt;&gt;",J$6:J957,J957)))</f>
        <v/>
      </c>
      <c r="J957" s="28">
        <f>IF(C957="","",IF(D957="","zz","t"&amp;D957))</f>
        <v/>
      </c>
      <c r="K957" s="28">
        <f>IF(OR(A957="",C957=""),"",IF(IFERROR(INDEX(DayStat,A957-DATE(PlanYear,1,1)+1)&amp;"","")&lt;&gt;"",0,1))</f>
        <v/>
      </c>
      <c r="L957" s="28">
        <f>IF(K957="","",K957*IFERROR(VLOOKUP(C957,CodeTable,4,0),0))</f>
        <v/>
      </c>
    </row>
    <row r="958">
      <c r="A958" s="22" t="n"/>
      <c r="B958" s="23" t="n"/>
      <c r="C958" s="24" t="n"/>
      <c r="D958" s="25" t="n"/>
      <c r="E958" s="26" t="n"/>
      <c r="F958" s="26" t="n"/>
      <c r="G958" s="27">
        <f>IF(C958="","",IFERROR(VLOOKUP(C958,CodeTable,3,0),1))</f>
        <v/>
      </c>
      <c r="H958" s="27">
        <f>IF(C958="","",IF(E958&lt;&gt;"",E958,IF(IFERROR(VLOOKUP(C958,CodeTable,5,0)&amp;"","")="","All",VLOOKUP(C958,CodeTable,5,0)&amp;"")))</f>
        <v/>
      </c>
      <c r="I958" s="28">
        <f>IF(OR(A958="",C958=""),"",A958&amp;"|"&amp;B958&amp;"|"&amp;(COUNTIFS(FlDate,A958,FlShift,B958,FlCode,"&lt;&gt;",FlOrder,"&lt;"&amp;J958)+COUNTIFS(A$6:A958,A958,B$6:B958,B958,C$6:C958,"&lt;&gt;",J$6:J958,J958)))</f>
        <v/>
      </c>
      <c r="J958" s="28">
        <f>IF(C958="","",IF(D958="","zz","t"&amp;D958))</f>
        <v/>
      </c>
      <c r="K958" s="28">
        <f>IF(OR(A958="",C958=""),"",IF(IFERROR(INDEX(DayStat,A958-DATE(PlanYear,1,1)+1)&amp;"","")&lt;&gt;"",0,1))</f>
        <v/>
      </c>
      <c r="L958" s="28">
        <f>IF(K958="","",K958*IFERROR(VLOOKUP(C958,CodeTable,4,0),0))</f>
        <v/>
      </c>
    </row>
    <row r="959">
      <c r="A959" s="22" t="n"/>
      <c r="B959" s="23" t="n"/>
      <c r="C959" s="24" t="n"/>
      <c r="D959" s="25" t="n"/>
      <c r="E959" s="26" t="n"/>
      <c r="F959" s="26" t="n"/>
      <c r="G959" s="27">
        <f>IF(C959="","",IFERROR(VLOOKUP(C959,CodeTable,3,0),1))</f>
        <v/>
      </c>
      <c r="H959" s="27">
        <f>IF(C959="","",IF(E959&lt;&gt;"",E959,IF(IFERROR(VLOOKUP(C959,CodeTable,5,0)&amp;"","")="","All",VLOOKUP(C959,CodeTable,5,0)&amp;"")))</f>
        <v/>
      </c>
      <c r="I959" s="28">
        <f>IF(OR(A959="",C959=""),"",A959&amp;"|"&amp;B959&amp;"|"&amp;(COUNTIFS(FlDate,A959,FlShift,B959,FlCode,"&lt;&gt;",FlOrder,"&lt;"&amp;J959)+COUNTIFS(A$6:A959,A959,B$6:B959,B959,C$6:C959,"&lt;&gt;",J$6:J959,J959)))</f>
        <v/>
      </c>
      <c r="J959" s="28">
        <f>IF(C959="","",IF(D959="","zz","t"&amp;D959))</f>
        <v/>
      </c>
      <c r="K959" s="28">
        <f>IF(OR(A959="",C959=""),"",IF(IFERROR(INDEX(DayStat,A959-DATE(PlanYear,1,1)+1)&amp;"","")&lt;&gt;"",0,1))</f>
        <v/>
      </c>
      <c r="L959" s="28">
        <f>IF(K959="","",K959*IFERROR(VLOOKUP(C959,CodeTable,4,0),0))</f>
        <v/>
      </c>
    </row>
    <row r="960">
      <c r="A960" s="22" t="n"/>
      <c r="B960" s="23" t="n"/>
      <c r="C960" s="24" t="n"/>
      <c r="D960" s="25" t="n"/>
      <c r="E960" s="26" t="n"/>
      <c r="F960" s="26" t="n"/>
      <c r="G960" s="27">
        <f>IF(C960="","",IFERROR(VLOOKUP(C960,CodeTable,3,0),1))</f>
        <v/>
      </c>
      <c r="H960" s="27">
        <f>IF(C960="","",IF(E960&lt;&gt;"",E960,IF(IFERROR(VLOOKUP(C960,CodeTable,5,0)&amp;"","")="","All",VLOOKUP(C960,CodeTable,5,0)&amp;"")))</f>
        <v/>
      </c>
      <c r="I960" s="28">
        <f>IF(OR(A960="",C960=""),"",A960&amp;"|"&amp;B960&amp;"|"&amp;(COUNTIFS(FlDate,A960,FlShift,B960,FlCode,"&lt;&gt;",FlOrder,"&lt;"&amp;J960)+COUNTIFS(A$6:A960,A960,B$6:B960,B960,C$6:C960,"&lt;&gt;",J$6:J960,J960)))</f>
        <v/>
      </c>
      <c r="J960" s="28">
        <f>IF(C960="","",IF(D960="","zz","t"&amp;D960))</f>
        <v/>
      </c>
      <c r="K960" s="28">
        <f>IF(OR(A960="",C960=""),"",IF(IFERROR(INDEX(DayStat,A960-DATE(PlanYear,1,1)+1)&amp;"","")&lt;&gt;"",0,1))</f>
        <v/>
      </c>
      <c r="L960" s="28">
        <f>IF(K960="","",K960*IFERROR(VLOOKUP(C960,CodeTable,4,0),0))</f>
        <v/>
      </c>
    </row>
    <row r="961">
      <c r="A961" s="22" t="n"/>
      <c r="B961" s="23" t="n"/>
      <c r="C961" s="24" t="n"/>
      <c r="D961" s="25" t="n"/>
      <c r="E961" s="26" t="n"/>
      <c r="F961" s="26" t="n"/>
      <c r="G961" s="27">
        <f>IF(C961="","",IFERROR(VLOOKUP(C961,CodeTable,3,0),1))</f>
        <v/>
      </c>
      <c r="H961" s="27">
        <f>IF(C961="","",IF(E961&lt;&gt;"",E961,IF(IFERROR(VLOOKUP(C961,CodeTable,5,0)&amp;"","")="","All",VLOOKUP(C961,CodeTable,5,0)&amp;"")))</f>
        <v/>
      </c>
      <c r="I961" s="28">
        <f>IF(OR(A961="",C961=""),"",A961&amp;"|"&amp;B961&amp;"|"&amp;(COUNTIFS(FlDate,A961,FlShift,B961,FlCode,"&lt;&gt;",FlOrder,"&lt;"&amp;J961)+COUNTIFS(A$6:A961,A961,B$6:B961,B961,C$6:C961,"&lt;&gt;",J$6:J961,J961)))</f>
        <v/>
      </c>
      <c r="J961" s="28">
        <f>IF(C961="","",IF(D961="","zz","t"&amp;D961))</f>
        <v/>
      </c>
      <c r="K961" s="28">
        <f>IF(OR(A961="",C961=""),"",IF(IFERROR(INDEX(DayStat,A961-DATE(PlanYear,1,1)+1)&amp;"","")&lt;&gt;"",0,1))</f>
        <v/>
      </c>
      <c r="L961" s="28">
        <f>IF(K961="","",K961*IFERROR(VLOOKUP(C961,CodeTable,4,0),0))</f>
        <v/>
      </c>
    </row>
    <row r="962">
      <c r="A962" s="22" t="n"/>
      <c r="B962" s="23" t="n"/>
      <c r="C962" s="24" t="n"/>
      <c r="D962" s="25" t="n"/>
      <c r="E962" s="26" t="n"/>
      <c r="F962" s="26" t="n"/>
      <c r="G962" s="27">
        <f>IF(C962="","",IFERROR(VLOOKUP(C962,CodeTable,3,0),1))</f>
        <v/>
      </c>
      <c r="H962" s="27">
        <f>IF(C962="","",IF(E962&lt;&gt;"",E962,IF(IFERROR(VLOOKUP(C962,CodeTable,5,0)&amp;"","")="","All",VLOOKUP(C962,CodeTable,5,0)&amp;"")))</f>
        <v/>
      </c>
      <c r="I962" s="28">
        <f>IF(OR(A962="",C962=""),"",A962&amp;"|"&amp;B962&amp;"|"&amp;(COUNTIFS(FlDate,A962,FlShift,B962,FlCode,"&lt;&gt;",FlOrder,"&lt;"&amp;J962)+COUNTIFS(A$6:A962,A962,B$6:B962,B962,C$6:C962,"&lt;&gt;",J$6:J962,J962)))</f>
        <v/>
      </c>
      <c r="J962" s="28">
        <f>IF(C962="","",IF(D962="","zz","t"&amp;D962))</f>
        <v/>
      </c>
      <c r="K962" s="28">
        <f>IF(OR(A962="",C962=""),"",IF(IFERROR(INDEX(DayStat,A962-DATE(PlanYear,1,1)+1)&amp;"","")&lt;&gt;"",0,1))</f>
        <v/>
      </c>
      <c r="L962" s="28">
        <f>IF(K962="","",K962*IFERROR(VLOOKUP(C962,CodeTable,4,0),0))</f>
        <v/>
      </c>
    </row>
    <row r="963">
      <c r="A963" s="22" t="n"/>
      <c r="B963" s="23" t="n"/>
      <c r="C963" s="24" t="n"/>
      <c r="D963" s="25" t="n"/>
      <c r="E963" s="26" t="n"/>
      <c r="F963" s="26" t="n"/>
      <c r="G963" s="27">
        <f>IF(C963="","",IFERROR(VLOOKUP(C963,CodeTable,3,0),1))</f>
        <v/>
      </c>
      <c r="H963" s="27">
        <f>IF(C963="","",IF(E963&lt;&gt;"",E963,IF(IFERROR(VLOOKUP(C963,CodeTable,5,0)&amp;"","")="","All",VLOOKUP(C963,CodeTable,5,0)&amp;"")))</f>
        <v/>
      </c>
      <c r="I963" s="28">
        <f>IF(OR(A963="",C963=""),"",A963&amp;"|"&amp;B963&amp;"|"&amp;(COUNTIFS(FlDate,A963,FlShift,B963,FlCode,"&lt;&gt;",FlOrder,"&lt;"&amp;J963)+COUNTIFS(A$6:A963,A963,B$6:B963,B963,C$6:C963,"&lt;&gt;",J$6:J963,J963)))</f>
        <v/>
      </c>
      <c r="J963" s="28">
        <f>IF(C963="","",IF(D963="","zz","t"&amp;D963))</f>
        <v/>
      </c>
      <c r="K963" s="28">
        <f>IF(OR(A963="",C963=""),"",IF(IFERROR(INDEX(DayStat,A963-DATE(PlanYear,1,1)+1)&amp;"","")&lt;&gt;"",0,1))</f>
        <v/>
      </c>
      <c r="L963" s="28">
        <f>IF(K963="","",K963*IFERROR(VLOOKUP(C963,CodeTable,4,0),0))</f>
        <v/>
      </c>
    </row>
    <row r="964">
      <c r="A964" s="22" t="n"/>
      <c r="B964" s="23" t="n"/>
      <c r="C964" s="24" t="n"/>
      <c r="D964" s="25" t="n"/>
      <c r="E964" s="26" t="n"/>
      <c r="F964" s="26" t="n"/>
      <c r="G964" s="27">
        <f>IF(C964="","",IFERROR(VLOOKUP(C964,CodeTable,3,0),1))</f>
        <v/>
      </c>
      <c r="H964" s="27">
        <f>IF(C964="","",IF(E964&lt;&gt;"",E964,IF(IFERROR(VLOOKUP(C964,CodeTable,5,0)&amp;"","")="","All",VLOOKUP(C964,CodeTable,5,0)&amp;"")))</f>
        <v/>
      </c>
      <c r="I964" s="28">
        <f>IF(OR(A964="",C964=""),"",A964&amp;"|"&amp;B964&amp;"|"&amp;(COUNTIFS(FlDate,A964,FlShift,B964,FlCode,"&lt;&gt;",FlOrder,"&lt;"&amp;J964)+COUNTIFS(A$6:A964,A964,B$6:B964,B964,C$6:C964,"&lt;&gt;",J$6:J964,J964)))</f>
        <v/>
      </c>
      <c r="J964" s="28">
        <f>IF(C964="","",IF(D964="","zz","t"&amp;D964))</f>
        <v/>
      </c>
      <c r="K964" s="28">
        <f>IF(OR(A964="",C964=""),"",IF(IFERROR(INDEX(DayStat,A964-DATE(PlanYear,1,1)+1)&amp;"","")&lt;&gt;"",0,1))</f>
        <v/>
      </c>
      <c r="L964" s="28">
        <f>IF(K964="","",K964*IFERROR(VLOOKUP(C964,CodeTable,4,0),0))</f>
        <v/>
      </c>
    </row>
    <row r="965">
      <c r="A965" s="22" t="n"/>
      <c r="B965" s="23" t="n"/>
      <c r="C965" s="24" t="n"/>
      <c r="D965" s="25" t="n"/>
      <c r="E965" s="26" t="n"/>
      <c r="F965" s="26" t="n"/>
      <c r="G965" s="27">
        <f>IF(C965="","",IFERROR(VLOOKUP(C965,CodeTable,3,0),1))</f>
        <v/>
      </c>
      <c r="H965" s="27">
        <f>IF(C965="","",IF(E965&lt;&gt;"",E965,IF(IFERROR(VLOOKUP(C965,CodeTable,5,0)&amp;"","")="","All",VLOOKUP(C965,CodeTable,5,0)&amp;"")))</f>
        <v/>
      </c>
      <c r="I965" s="28">
        <f>IF(OR(A965="",C965=""),"",A965&amp;"|"&amp;B965&amp;"|"&amp;(COUNTIFS(FlDate,A965,FlShift,B965,FlCode,"&lt;&gt;",FlOrder,"&lt;"&amp;J965)+COUNTIFS(A$6:A965,A965,B$6:B965,B965,C$6:C965,"&lt;&gt;",J$6:J965,J965)))</f>
        <v/>
      </c>
      <c r="J965" s="28">
        <f>IF(C965="","",IF(D965="","zz","t"&amp;D965))</f>
        <v/>
      </c>
      <c r="K965" s="28">
        <f>IF(OR(A965="",C965=""),"",IF(IFERROR(INDEX(DayStat,A965-DATE(PlanYear,1,1)+1)&amp;"","")&lt;&gt;"",0,1))</f>
        <v/>
      </c>
      <c r="L965" s="28">
        <f>IF(K965="","",K965*IFERROR(VLOOKUP(C965,CodeTable,4,0),0))</f>
        <v/>
      </c>
    </row>
    <row r="966">
      <c r="A966" s="22" t="n"/>
      <c r="B966" s="23" t="n"/>
      <c r="C966" s="24" t="n"/>
      <c r="D966" s="25" t="n"/>
      <c r="E966" s="26" t="n"/>
      <c r="F966" s="26" t="n"/>
      <c r="G966" s="27">
        <f>IF(C966="","",IFERROR(VLOOKUP(C966,CodeTable,3,0),1))</f>
        <v/>
      </c>
      <c r="H966" s="27">
        <f>IF(C966="","",IF(E966&lt;&gt;"",E966,IF(IFERROR(VLOOKUP(C966,CodeTable,5,0)&amp;"","")="","All",VLOOKUP(C966,CodeTable,5,0)&amp;"")))</f>
        <v/>
      </c>
      <c r="I966" s="28">
        <f>IF(OR(A966="",C966=""),"",A966&amp;"|"&amp;B966&amp;"|"&amp;(COUNTIFS(FlDate,A966,FlShift,B966,FlCode,"&lt;&gt;",FlOrder,"&lt;"&amp;J966)+COUNTIFS(A$6:A966,A966,B$6:B966,B966,C$6:C966,"&lt;&gt;",J$6:J966,J966)))</f>
        <v/>
      </c>
      <c r="J966" s="28">
        <f>IF(C966="","",IF(D966="","zz","t"&amp;D966))</f>
        <v/>
      </c>
      <c r="K966" s="28">
        <f>IF(OR(A966="",C966=""),"",IF(IFERROR(INDEX(DayStat,A966-DATE(PlanYear,1,1)+1)&amp;"","")&lt;&gt;"",0,1))</f>
        <v/>
      </c>
      <c r="L966" s="28">
        <f>IF(K966="","",K966*IFERROR(VLOOKUP(C966,CodeTable,4,0),0))</f>
        <v/>
      </c>
    </row>
    <row r="967">
      <c r="A967" s="22" t="n"/>
      <c r="B967" s="23" t="n"/>
      <c r="C967" s="24" t="n"/>
      <c r="D967" s="25" t="n"/>
      <c r="E967" s="26" t="n"/>
      <c r="F967" s="26" t="n"/>
      <c r="G967" s="27">
        <f>IF(C967="","",IFERROR(VLOOKUP(C967,CodeTable,3,0),1))</f>
        <v/>
      </c>
      <c r="H967" s="27">
        <f>IF(C967="","",IF(E967&lt;&gt;"",E967,IF(IFERROR(VLOOKUP(C967,CodeTable,5,0)&amp;"","")="","All",VLOOKUP(C967,CodeTable,5,0)&amp;"")))</f>
        <v/>
      </c>
      <c r="I967" s="28">
        <f>IF(OR(A967="",C967=""),"",A967&amp;"|"&amp;B967&amp;"|"&amp;(COUNTIFS(FlDate,A967,FlShift,B967,FlCode,"&lt;&gt;",FlOrder,"&lt;"&amp;J967)+COUNTIFS(A$6:A967,A967,B$6:B967,B967,C$6:C967,"&lt;&gt;",J$6:J967,J967)))</f>
        <v/>
      </c>
      <c r="J967" s="28">
        <f>IF(C967="","",IF(D967="","zz","t"&amp;D967))</f>
        <v/>
      </c>
      <c r="K967" s="28">
        <f>IF(OR(A967="",C967=""),"",IF(IFERROR(INDEX(DayStat,A967-DATE(PlanYear,1,1)+1)&amp;"","")&lt;&gt;"",0,1))</f>
        <v/>
      </c>
      <c r="L967" s="28">
        <f>IF(K967="","",K967*IFERROR(VLOOKUP(C967,CodeTable,4,0),0))</f>
        <v/>
      </c>
    </row>
    <row r="968">
      <c r="A968" s="22" t="n"/>
      <c r="B968" s="23" t="n"/>
      <c r="C968" s="24" t="n"/>
      <c r="D968" s="25" t="n"/>
      <c r="E968" s="26" t="n"/>
      <c r="F968" s="26" t="n"/>
      <c r="G968" s="27">
        <f>IF(C968="","",IFERROR(VLOOKUP(C968,CodeTable,3,0),1))</f>
        <v/>
      </c>
      <c r="H968" s="27">
        <f>IF(C968="","",IF(E968&lt;&gt;"",E968,IF(IFERROR(VLOOKUP(C968,CodeTable,5,0)&amp;"","")="","All",VLOOKUP(C968,CodeTable,5,0)&amp;"")))</f>
        <v/>
      </c>
      <c r="I968" s="28">
        <f>IF(OR(A968="",C968=""),"",A968&amp;"|"&amp;B968&amp;"|"&amp;(COUNTIFS(FlDate,A968,FlShift,B968,FlCode,"&lt;&gt;",FlOrder,"&lt;"&amp;J968)+COUNTIFS(A$6:A968,A968,B$6:B968,B968,C$6:C968,"&lt;&gt;",J$6:J968,J968)))</f>
        <v/>
      </c>
      <c r="J968" s="28">
        <f>IF(C968="","",IF(D968="","zz","t"&amp;D968))</f>
        <v/>
      </c>
      <c r="K968" s="28">
        <f>IF(OR(A968="",C968=""),"",IF(IFERROR(INDEX(DayStat,A968-DATE(PlanYear,1,1)+1)&amp;"","")&lt;&gt;"",0,1))</f>
        <v/>
      </c>
      <c r="L968" s="28">
        <f>IF(K968="","",K968*IFERROR(VLOOKUP(C968,CodeTable,4,0),0))</f>
        <v/>
      </c>
    </row>
    <row r="969">
      <c r="A969" s="22" t="n"/>
      <c r="B969" s="23" t="n"/>
      <c r="C969" s="24" t="n"/>
      <c r="D969" s="25" t="n"/>
      <c r="E969" s="26" t="n"/>
      <c r="F969" s="26" t="n"/>
      <c r="G969" s="27">
        <f>IF(C969="","",IFERROR(VLOOKUP(C969,CodeTable,3,0),1))</f>
        <v/>
      </c>
      <c r="H969" s="27">
        <f>IF(C969="","",IF(E969&lt;&gt;"",E969,IF(IFERROR(VLOOKUP(C969,CodeTable,5,0)&amp;"","")="","All",VLOOKUP(C969,CodeTable,5,0)&amp;"")))</f>
        <v/>
      </c>
      <c r="I969" s="28">
        <f>IF(OR(A969="",C969=""),"",A969&amp;"|"&amp;B969&amp;"|"&amp;(COUNTIFS(FlDate,A969,FlShift,B969,FlCode,"&lt;&gt;",FlOrder,"&lt;"&amp;J969)+COUNTIFS(A$6:A969,A969,B$6:B969,B969,C$6:C969,"&lt;&gt;",J$6:J969,J969)))</f>
        <v/>
      </c>
      <c r="J969" s="28">
        <f>IF(C969="","",IF(D969="","zz","t"&amp;D969))</f>
        <v/>
      </c>
      <c r="K969" s="28">
        <f>IF(OR(A969="",C969=""),"",IF(IFERROR(INDEX(DayStat,A969-DATE(PlanYear,1,1)+1)&amp;"","")&lt;&gt;"",0,1))</f>
        <v/>
      </c>
      <c r="L969" s="28">
        <f>IF(K969="","",K969*IFERROR(VLOOKUP(C969,CodeTable,4,0),0))</f>
        <v/>
      </c>
    </row>
    <row r="970">
      <c r="A970" s="22" t="n"/>
      <c r="B970" s="23" t="n"/>
      <c r="C970" s="24" t="n"/>
      <c r="D970" s="25" t="n"/>
      <c r="E970" s="26" t="n"/>
      <c r="F970" s="26" t="n"/>
      <c r="G970" s="27">
        <f>IF(C970="","",IFERROR(VLOOKUP(C970,CodeTable,3,0),1))</f>
        <v/>
      </c>
      <c r="H970" s="27">
        <f>IF(C970="","",IF(E970&lt;&gt;"",E970,IF(IFERROR(VLOOKUP(C970,CodeTable,5,0)&amp;"","")="","All",VLOOKUP(C970,CodeTable,5,0)&amp;"")))</f>
        <v/>
      </c>
      <c r="I970" s="28">
        <f>IF(OR(A970="",C970=""),"",A970&amp;"|"&amp;B970&amp;"|"&amp;(COUNTIFS(FlDate,A970,FlShift,B970,FlCode,"&lt;&gt;",FlOrder,"&lt;"&amp;J970)+COUNTIFS(A$6:A970,A970,B$6:B970,B970,C$6:C970,"&lt;&gt;",J$6:J970,J970)))</f>
        <v/>
      </c>
      <c r="J970" s="28">
        <f>IF(C970="","",IF(D970="","zz","t"&amp;D970))</f>
        <v/>
      </c>
      <c r="K970" s="28">
        <f>IF(OR(A970="",C970=""),"",IF(IFERROR(INDEX(DayStat,A970-DATE(PlanYear,1,1)+1)&amp;"","")&lt;&gt;"",0,1))</f>
        <v/>
      </c>
      <c r="L970" s="28">
        <f>IF(K970="","",K970*IFERROR(VLOOKUP(C970,CodeTable,4,0),0))</f>
        <v/>
      </c>
    </row>
    <row r="971">
      <c r="A971" s="22" t="n"/>
      <c r="B971" s="23" t="n"/>
      <c r="C971" s="24" t="n"/>
      <c r="D971" s="25" t="n"/>
      <c r="E971" s="26" t="n"/>
      <c r="F971" s="26" t="n"/>
      <c r="G971" s="27">
        <f>IF(C971="","",IFERROR(VLOOKUP(C971,CodeTable,3,0),1))</f>
        <v/>
      </c>
      <c r="H971" s="27">
        <f>IF(C971="","",IF(E971&lt;&gt;"",E971,IF(IFERROR(VLOOKUP(C971,CodeTable,5,0)&amp;"","")="","All",VLOOKUP(C971,CodeTable,5,0)&amp;"")))</f>
        <v/>
      </c>
      <c r="I971" s="28">
        <f>IF(OR(A971="",C971=""),"",A971&amp;"|"&amp;B971&amp;"|"&amp;(COUNTIFS(FlDate,A971,FlShift,B971,FlCode,"&lt;&gt;",FlOrder,"&lt;"&amp;J971)+COUNTIFS(A$6:A971,A971,B$6:B971,B971,C$6:C971,"&lt;&gt;",J$6:J971,J971)))</f>
        <v/>
      </c>
      <c r="J971" s="28">
        <f>IF(C971="","",IF(D971="","zz","t"&amp;D971))</f>
        <v/>
      </c>
      <c r="K971" s="28">
        <f>IF(OR(A971="",C971=""),"",IF(IFERROR(INDEX(DayStat,A971-DATE(PlanYear,1,1)+1)&amp;"","")&lt;&gt;"",0,1))</f>
        <v/>
      </c>
      <c r="L971" s="28">
        <f>IF(K971="","",K971*IFERROR(VLOOKUP(C971,CodeTable,4,0),0))</f>
        <v/>
      </c>
    </row>
    <row r="972">
      <c r="A972" s="22" t="n"/>
      <c r="B972" s="23" t="n"/>
      <c r="C972" s="24" t="n"/>
      <c r="D972" s="25" t="n"/>
      <c r="E972" s="26" t="n"/>
      <c r="F972" s="26" t="n"/>
      <c r="G972" s="27">
        <f>IF(C972="","",IFERROR(VLOOKUP(C972,CodeTable,3,0),1))</f>
        <v/>
      </c>
      <c r="H972" s="27">
        <f>IF(C972="","",IF(E972&lt;&gt;"",E972,IF(IFERROR(VLOOKUP(C972,CodeTable,5,0)&amp;"","")="","All",VLOOKUP(C972,CodeTable,5,0)&amp;"")))</f>
        <v/>
      </c>
      <c r="I972" s="28">
        <f>IF(OR(A972="",C972=""),"",A972&amp;"|"&amp;B972&amp;"|"&amp;(COUNTIFS(FlDate,A972,FlShift,B972,FlCode,"&lt;&gt;",FlOrder,"&lt;"&amp;J972)+COUNTIFS(A$6:A972,A972,B$6:B972,B972,C$6:C972,"&lt;&gt;",J$6:J972,J972)))</f>
        <v/>
      </c>
      <c r="J972" s="28">
        <f>IF(C972="","",IF(D972="","zz","t"&amp;D972))</f>
        <v/>
      </c>
      <c r="K972" s="28">
        <f>IF(OR(A972="",C972=""),"",IF(IFERROR(INDEX(DayStat,A972-DATE(PlanYear,1,1)+1)&amp;"","")&lt;&gt;"",0,1))</f>
        <v/>
      </c>
      <c r="L972" s="28">
        <f>IF(K972="","",K972*IFERROR(VLOOKUP(C972,CodeTable,4,0),0))</f>
        <v/>
      </c>
    </row>
    <row r="973">
      <c r="A973" s="22" t="n"/>
      <c r="B973" s="23" t="n"/>
      <c r="C973" s="24" t="n"/>
      <c r="D973" s="25" t="n"/>
      <c r="E973" s="26" t="n"/>
      <c r="F973" s="26" t="n"/>
      <c r="G973" s="27">
        <f>IF(C973="","",IFERROR(VLOOKUP(C973,CodeTable,3,0),1))</f>
        <v/>
      </c>
      <c r="H973" s="27">
        <f>IF(C973="","",IF(E973&lt;&gt;"",E973,IF(IFERROR(VLOOKUP(C973,CodeTable,5,0)&amp;"","")="","All",VLOOKUP(C973,CodeTable,5,0)&amp;"")))</f>
        <v/>
      </c>
      <c r="I973" s="28">
        <f>IF(OR(A973="",C973=""),"",A973&amp;"|"&amp;B973&amp;"|"&amp;(COUNTIFS(FlDate,A973,FlShift,B973,FlCode,"&lt;&gt;",FlOrder,"&lt;"&amp;J973)+COUNTIFS(A$6:A973,A973,B$6:B973,B973,C$6:C973,"&lt;&gt;",J$6:J973,J973)))</f>
        <v/>
      </c>
      <c r="J973" s="28">
        <f>IF(C973="","",IF(D973="","zz","t"&amp;D973))</f>
        <v/>
      </c>
      <c r="K973" s="28">
        <f>IF(OR(A973="",C973=""),"",IF(IFERROR(INDEX(DayStat,A973-DATE(PlanYear,1,1)+1)&amp;"","")&lt;&gt;"",0,1))</f>
        <v/>
      </c>
      <c r="L973" s="28">
        <f>IF(K973="","",K973*IFERROR(VLOOKUP(C973,CodeTable,4,0),0))</f>
        <v/>
      </c>
    </row>
    <row r="974">
      <c r="A974" s="22" t="n"/>
      <c r="B974" s="23" t="n"/>
      <c r="C974" s="24" t="n"/>
      <c r="D974" s="25" t="n"/>
      <c r="E974" s="26" t="n"/>
      <c r="F974" s="26" t="n"/>
      <c r="G974" s="27">
        <f>IF(C974="","",IFERROR(VLOOKUP(C974,CodeTable,3,0),1))</f>
        <v/>
      </c>
      <c r="H974" s="27">
        <f>IF(C974="","",IF(E974&lt;&gt;"",E974,IF(IFERROR(VLOOKUP(C974,CodeTable,5,0)&amp;"","")="","All",VLOOKUP(C974,CodeTable,5,0)&amp;"")))</f>
        <v/>
      </c>
      <c r="I974" s="28">
        <f>IF(OR(A974="",C974=""),"",A974&amp;"|"&amp;B974&amp;"|"&amp;(COUNTIFS(FlDate,A974,FlShift,B974,FlCode,"&lt;&gt;",FlOrder,"&lt;"&amp;J974)+COUNTIFS(A$6:A974,A974,B$6:B974,B974,C$6:C974,"&lt;&gt;",J$6:J974,J974)))</f>
        <v/>
      </c>
      <c r="J974" s="28">
        <f>IF(C974="","",IF(D974="","zz","t"&amp;D974))</f>
        <v/>
      </c>
      <c r="K974" s="28">
        <f>IF(OR(A974="",C974=""),"",IF(IFERROR(INDEX(DayStat,A974-DATE(PlanYear,1,1)+1)&amp;"","")&lt;&gt;"",0,1))</f>
        <v/>
      </c>
      <c r="L974" s="28">
        <f>IF(K974="","",K974*IFERROR(VLOOKUP(C974,CodeTable,4,0),0))</f>
        <v/>
      </c>
    </row>
    <row r="975">
      <c r="A975" s="22" t="n"/>
      <c r="B975" s="23" t="n"/>
      <c r="C975" s="24" t="n"/>
      <c r="D975" s="25" t="n"/>
      <c r="E975" s="26" t="n"/>
      <c r="F975" s="26" t="n"/>
      <c r="G975" s="27">
        <f>IF(C975="","",IFERROR(VLOOKUP(C975,CodeTable,3,0),1))</f>
        <v/>
      </c>
      <c r="H975" s="27">
        <f>IF(C975="","",IF(E975&lt;&gt;"",E975,IF(IFERROR(VLOOKUP(C975,CodeTable,5,0)&amp;"","")="","All",VLOOKUP(C975,CodeTable,5,0)&amp;"")))</f>
        <v/>
      </c>
      <c r="I975" s="28">
        <f>IF(OR(A975="",C975=""),"",A975&amp;"|"&amp;B975&amp;"|"&amp;(COUNTIFS(FlDate,A975,FlShift,B975,FlCode,"&lt;&gt;",FlOrder,"&lt;"&amp;J975)+COUNTIFS(A$6:A975,A975,B$6:B975,B975,C$6:C975,"&lt;&gt;",J$6:J975,J975)))</f>
        <v/>
      </c>
      <c r="J975" s="28">
        <f>IF(C975="","",IF(D975="","zz","t"&amp;D975))</f>
        <v/>
      </c>
      <c r="K975" s="28">
        <f>IF(OR(A975="",C975=""),"",IF(IFERROR(INDEX(DayStat,A975-DATE(PlanYear,1,1)+1)&amp;"","")&lt;&gt;"",0,1))</f>
        <v/>
      </c>
      <c r="L975" s="28">
        <f>IF(K975="","",K975*IFERROR(VLOOKUP(C975,CodeTable,4,0),0))</f>
        <v/>
      </c>
    </row>
    <row r="976">
      <c r="A976" s="22" t="n"/>
      <c r="B976" s="23" t="n"/>
      <c r="C976" s="24" t="n"/>
      <c r="D976" s="25" t="n"/>
      <c r="E976" s="26" t="n"/>
      <c r="F976" s="26" t="n"/>
      <c r="G976" s="27">
        <f>IF(C976="","",IFERROR(VLOOKUP(C976,CodeTable,3,0),1))</f>
        <v/>
      </c>
      <c r="H976" s="27">
        <f>IF(C976="","",IF(E976&lt;&gt;"",E976,IF(IFERROR(VLOOKUP(C976,CodeTable,5,0)&amp;"","")="","All",VLOOKUP(C976,CodeTable,5,0)&amp;"")))</f>
        <v/>
      </c>
      <c r="I976" s="28">
        <f>IF(OR(A976="",C976=""),"",A976&amp;"|"&amp;B976&amp;"|"&amp;(COUNTIFS(FlDate,A976,FlShift,B976,FlCode,"&lt;&gt;",FlOrder,"&lt;"&amp;J976)+COUNTIFS(A$6:A976,A976,B$6:B976,B976,C$6:C976,"&lt;&gt;",J$6:J976,J976)))</f>
        <v/>
      </c>
      <c r="J976" s="28">
        <f>IF(C976="","",IF(D976="","zz","t"&amp;D976))</f>
        <v/>
      </c>
      <c r="K976" s="28">
        <f>IF(OR(A976="",C976=""),"",IF(IFERROR(INDEX(DayStat,A976-DATE(PlanYear,1,1)+1)&amp;"","")&lt;&gt;"",0,1))</f>
        <v/>
      </c>
      <c r="L976" s="28">
        <f>IF(K976="","",K976*IFERROR(VLOOKUP(C976,CodeTable,4,0),0))</f>
        <v/>
      </c>
    </row>
    <row r="977">
      <c r="A977" s="22" t="n"/>
      <c r="B977" s="23" t="n"/>
      <c r="C977" s="24" t="n"/>
      <c r="D977" s="25" t="n"/>
      <c r="E977" s="26" t="n"/>
      <c r="F977" s="26" t="n"/>
      <c r="G977" s="27">
        <f>IF(C977="","",IFERROR(VLOOKUP(C977,CodeTable,3,0),1))</f>
        <v/>
      </c>
      <c r="H977" s="27">
        <f>IF(C977="","",IF(E977&lt;&gt;"",E977,IF(IFERROR(VLOOKUP(C977,CodeTable,5,0)&amp;"","")="","All",VLOOKUP(C977,CodeTable,5,0)&amp;"")))</f>
        <v/>
      </c>
      <c r="I977" s="28">
        <f>IF(OR(A977="",C977=""),"",A977&amp;"|"&amp;B977&amp;"|"&amp;(COUNTIFS(FlDate,A977,FlShift,B977,FlCode,"&lt;&gt;",FlOrder,"&lt;"&amp;J977)+COUNTIFS(A$6:A977,A977,B$6:B977,B977,C$6:C977,"&lt;&gt;",J$6:J977,J977)))</f>
        <v/>
      </c>
      <c r="J977" s="28">
        <f>IF(C977="","",IF(D977="","zz","t"&amp;D977))</f>
        <v/>
      </c>
      <c r="K977" s="28">
        <f>IF(OR(A977="",C977=""),"",IF(IFERROR(INDEX(DayStat,A977-DATE(PlanYear,1,1)+1)&amp;"","")&lt;&gt;"",0,1))</f>
        <v/>
      </c>
      <c r="L977" s="28">
        <f>IF(K977="","",K977*IFERROR(VLOOKUP(C977,CodeTable,4,0),0))</f>
        <v/>
      </c>
    </row>
    <row r="978">
      <c r="A978" s="22" t="n"/>
      <c r="B978" s="23" t="n"/>
      <c r="C978" s="24" t="n"/>
      <c r="D978" s="25" t="n"/>
      <c r="E978" s="26" t="n"/>
      <c r="F978" s="26" t="n"/>
      <c r="G978" s="27">
        <f>IF(C978="","",IFERROR(VLOOKUP(C978,CodeTable,3,0),1))</f>
        <v/>
      </c>
      <c r="H978" s="27">
        <f>IF(C978="","",IF(E978&lt;&gt;"",E978,IF(IFERROR(VLOOKUP(C978,CodeTable,5,0)&amp;"","")="","All",VLOOKUP(C978,CodeTable,5,0)&amp;"")))</f>
        <v/>
      </c>
      <c r="I978" s="28">
        <f>IF(OR(A978="",C978=""),"",A978&amp;"|"&amp;B978&amp;"|"&amp;(COUNTIFS(FlDate,A978,FlShift,B978,FlCode,"&lt;&gt;",FlOrder,"&lt;"&amp;J978)+COUNTIFS(A$6:A978,A978,B$6:B978,B978,C$6:C978,"&lt;&gt;",J$6:J978,J978)))</f>
        <v/>
      </c>
      <c r="J978" s="28">
        <f>IF(C978="","",IF(D978="","zz","t"&amp;D978))</f>
        <v/>
      </c>
      <c r="K978" s="28">
        <f>IF(OR(A978="",C978=""),"",IF(IFERROR(INDEX(DayStat,A978-DATE(PlanYear,1,1)+1)&amp;"","")&lt;&gt;"",0,1))</f>
        <v/>
      </c>
      <c r="L978" s="28">
        <f>IF(K978="","",K978*IFERROR(VLOOKUP(C978,CodeTable,4,0),0))</f>
        <v/>
      </c>
    </row>
    <row r="979">
      <c r="A979" s="22" t="n"/>
      <c r="B979" s="23" t="n"/>
      <c r="C979" s="24" t="n"/>
      <c r="D979" s="25" t="n"/>
      <c r="E979" s="26" t="n"/>
      <c r="F979" s="26" t="n"/>
      <c r="G979" s="27">
        <f>IF(C979="","",IFERROR(VLOOKUP(C979,CodeTable,3,0),1))</f>
        <v/>
      </c>
      <c r="H979" s="27">
        <f>IF(C979="","",IF(E979&lt;&gt;"",E979,IF(IFERROR(VLOOKUP(C979,CodeTable,5,0)&amp;"","")="","All",VLOOKUP(C979,CodeTable,5,0)&amp;"")))</f>
        <v/>
      </c>
      <c r="I979" s="28">
        <f>IF(OR(A979="",C979=""),"",A979&amp;"|"&amp;B979&amp;"|"&amp;(COUNTIFS(FlDate,A979,FlShift,B979,FlCode,"&lt;&gt;",FlOrder,"&lt;"&amp;J979)+COUNTIFS(A$6:A979,A979,B$6:B979,B979,C$6:C979,"&lt;&gt;",J$6:J979,J979)))</f>
        <v/>
      </c>
      <c r="J979" s="28">
        <f>IF(C979="","",IF(D979="","zz","t"&amp;D979))</f>
        <v/>
      </c>
      <c r="K979" s="28">
        <f>IF(OR(A979="",C979=""),"",IF(IFERROR(INDEX(DayStat,A979-DATE(PlanYear,1,1)+1)&amp;"","")&lt;&gt;"",0,1))</f>
        <v/>
      </c>
      <c r="L979" s="28">
        <f>IF(K979="","",K979*IFERROR(VLOOKUP(C979,CodeTable,4,0),0))</f>
        <v/>
      </c>
    </row>
    <row r="980">
      <c r="A980" s="22" t="n"/>
      <c r="B980" s="23" t="n"/>
      <c r="C980" s="24" t="n"/>
      <c r="D980" s="25" t="n"/>
      <c r="E980" s="26" t="n"/>
      <c r="F980" s="26" t="n"/>
      <c r="G980" s="27">
        <f>IF(C980="","",IFERROR(VLOOKUP(C980,CodeTable,3,0),1))</f>
        <v/>
      </c>
      <c r="H980" s="27">
        <f>IF(C980="","",IF(E980&lt;&gt;"",E980,IF(IFERROR(VLOOKUP(C980,CodeTable,5,0)&amp;"","")="","All",VLOOKUP(C980,CodeTable,5,0)&amp;"")))</f>
        <v/>
      </c>
      <c r="I980" s="28">
        <f>IF(OR(A980="",C980=""),"",A980&amp;"|"&amp;B980&amp;"|"&amp;(COUNTIFS(FlDate,A980,FlShift,B980,FlCode,"&lt;&gt;",FlOrder,"&lt;"&amp;J980)+COUNTIFS(A$6:A980,A980,B$6:B980,B980,C$6:C980,"&lt;&gt;",J$6:J980,J980)))</f>
        <v/>
      </c>
      <c r="J980" s="28">
        <f>IF(C980="","",IF(D980="","zz","t"&amp;D980))</f>
        <v/>
      </c>
      <c r="K980" s="28">
        <f>IF(OR(A980="",C980=""),"",IF(IFERROR(INDEX(DayStat,A980-DATE(PlanYear,1,1)+1)&amp;"","")&lt;&gt;"",0,1))</f>
        <v/>
      </c>
      <c r="L980" s="28">
        <f>IF(K980="","",K980*IFERROR(VLOOKUP(C980,CodeTable,4,0),0))</f>
        <v/>
      </c>
    </row>
    <row r="981">
      <c r="A981" s="22" t="n"/>
      <c r="B981" s="23" t="n"/>
      <c r="C981" s="24" t="n"/>
      <c r="D981" s="25" t="n"/>
      <c r="E981" s="26" t="n"/>
      <c r="F981" s="26" t="n"/>
      <c r="G981" s="27">
        <f>IF(C981="","",IFERROR(VLOOKUP(C981,CodeTable,3,0),1))</f>
        <v/>
      </c>
      <c r="H981" s="27">
        <f>IF(C981="","",IF(E981&lt;&gt;"",E981,IF(IFERROR(VLOOKUP(C981,CodeTable,5,0)&amp;"","")="","All",VLOOKUP(C981,CodeTable,5,0)&amp;"")))</f>
        <v/>
      </c>
      <c r="I981" s="28">
        <f>IF(OR(A981="",C981=""),"",A981&amp;"|"&amp;B981&amp;"|"&amp;(COUNTIFS(FlDate,A981,FlShift,B981,FlCode,"&lt;&gt;",FlOrder,"&lt;"&amp;J981)+COUNTIFS(A$6:A981,A981,B$6:B981,B981,C$6:C981,"&lt;&gt;",J$6:J981,J981)))</f>
        <v/>
      </c>
      <c r="J981" s="28">
        <f>IF(C981="","",IF(D981="","zz","t"&amp;D981))</f>
        <v/>
      </c>
      <c r="K981" s="28">
        <f>IF(OR(A981="",C981=""),"",IF(IFERROR(INDEX(DayStat,A981-DATE(PlanYear,1,1)+1)&amp;"","")&lt;&gt;"",0,1))</f>
        <v/>
      </c>
      <c r="L981" s="28">
        <f>IF(K981="","",K981*IFERROR(VLOOKUP(C981,CodeTable,4,0),0))</f>
        <v/>
      </c>
    </row>
    <row r="982">
      <c r="A982" s="22" t="n"/>
      <c r="B982" s="23" t="n"/>
      <c r="C982" s="24" t="n"/>
      <c r="D982" s="25" t="n"/>
      <c r="E982" s="26" t="n"/>
      <c r="F982" s="26" t="n"/>
      <c r="G982" s="27">
        <f>IF(C982="","",IFERROR(VLOOKUP(C982,CodeTable,3,0),1))</f>
        <v/>
      </c>
      <c r="H982" s="27">
        <f>IF(C982="","",IF(E982&lt;&gt;"",E982,IF(IFERROR(VLOOKUP(C982,CodeTable,5,0)&amp;"","")="","All",VLOOKUP(C982,CodeTable,5,0)&amp;"")))</f>
        <v/>
      </c>
      <c r="I982" s="28">
        <f>IF(OR(A982="",C982=""),"",A982&amp;"|"&amp;B982&amp;"|"&amp;(COUNTIFS(FlDate,A982,FlShift,B982,FlCode,"&lt;&gt;",FlOrder,"&lt;"&amp;J982)+COUNTIFS(A$6:A982,A982,B$6:B982,B982,C$6:C982,"&lt;&gt;",J$6:J982,J982)))</f>
        <v/>
      </c>
      <c r="J982" s="28">
        <f>IF(C982="","",IF(D982="","zz","t"&amp;D982))</f>
        <v/>
      </c>
      <c r="K982" s="28">
        <f>IF(OR(A982="",C982=""),"",IF(IFERROR(INDEX(DayStat,A982-DATE(PlanYear,1,1)+1)&amp;"","")&lt;&gt;"",0,1))</f>
        <v/>
      </c>
      <c r="L982" s="28">
        <f>IF(K982="","",K982*IFERROR(VLOOKUP(C982,CodeTable,4,0),0))</f>
        <v/>
      </c>
    </row>
    <row r="983">
      <c r="A983" s="22" t="n"/>
      <c r="B983" s="23" t="n"/>
      <c r="C983" s="24" t="n"/>
      <c r="D983" s="25" t="n"/>
      <c r="E983" s="26" t="n"/>
      <c r="F983" s="26" t="n"/>
      <c r="G983" s="27">
        <f>IF(C983="","",IFERROR(VLOOKUP(C983,CodeTable,3,0),1))</f>
        <v/>
      </c>
      <c r="H983" s="27">
        <f>IF(C983="","",IF(E983&lt;&gt;"",E983,IF(IFERROR(VLOOKUP(C983,CodeTable,5,0)&amp;"","")="","All",VLOOKUP(C983,CodeTable,5,0)&amp;"")))</f>
        <v/>
      </c>
      <c r="I983" s="28">
        <f>IF(OR(A983="",C983=""),"",A983&amp;"|"&amp;B983&amp;"|"&amp;(COUNTIFS(FlDate,A983,FlShift,B983,FlCode,"&lt;&gt;",FlOrder,"&lt;"&amp;J983)+COUNTIFS(A$6:A983,A983,B$6:B983,B983,C$6:C983,"&lt;&gt;",J$6:J983,J983)))</f>
        <v/>
      </c>
      <c r="J983" s="28">
        <f>IF(C983="","",IF(D983="","zz","t"&amp;D983))</f>
        <v/>
      </c>
      <c r="K983" s="28">
        <f>IF(OR(A983="",C983=""),"",IF(IFERROR(INDEX(DayStat,A983-DATE(PlanYear,1,1)+1)&amp;"","")&lt;&gt;"",0,1))</f>
        <v/>
      </c>
      <c r="L983" s="28">
        <f>IF(K983="","",K983*IFERROR(VLOOKUP(C983,CodeTable,4,0),0))</f>
        <v/>
      </c>
    </row>
    <row r="984">
      <c r="A984" s="22" t="n"/>
      <c r="B984" s="23" t="n"/>
      <c r="C984" s="24" t="n"/>
      <c r="D984" s="25" t="n"/>
      <c r="E984" s="26" t="n"/>
      <c r="F984" s="26" t="n"/>
      <c r="G984" s="27">
        <f>IF(C984="","",IFERROR(VLOOKUP(C984,CodeTable,3,0),1))</f>
        <v/>
      </c>
      <c r="H984" s="27">
        <f>IF(C984="","",IF(E984&lt;&gt;"",E984,IF(IFERROR(VLOOKUP(C984,CodeTable,5,0)&amp;"","")="","All",VLOOKUP(C984,CodeTable,5,0)&amp;"")))</f>
        <v/>
      </c>
      <c r="I984" s="28">
        <f>IF(OR(A984="",C984=""),"",A984&amp;"|"&amp;B984&amp;"|"&amp;(COUNTIFS(FlDate,A984,FlShift,B984,FlCode,"&lt;&gt;",FlOrder,"&lt;"&amp;J984)+COUNTIFS(A$6:A984,A984,B$6:B984,B984,C$6:C984,"&lt;&gt;",J$6:J984,J984)))</f>
        <v/>
      </c>
      <c r="J984" s="28">
        <f>IF(C984="","",IF(D984="","zz","t"&amp;D984))</f>
        <v/>
      </c>
      <c r="K984" s="28">
        <f>IF(OR(A984="",C984=""),"",IF(IFERROR(INDEX(DayStat,A984-DATE(PlanYear,1,1)+1)&amp;"","")&lt;&gt;"",0,1))</f>
        <v/>
      </c>
      <c r="L984" s="28">
        <f>IF(K984="","",K984*IFERROR(VLOOKUP(C984,CodeTable,4,0),0))</f>
        <v/>
      </c>
    </row>
    <row r="985">
      <c r="A985" s="22" t="n"/>
      <c r="B985" s="23" t="n"/>
      <c r="C985" s="24" t="n"/>
      <c r="D985" s="25" t="n"/>
      <c r="E985" s="26" t="n"/>
      <c r="F985" s="26" t="n"/>
      <c r="G985" s="27">
        <f>IF(C985="","",IFERROR(VLOOKUP(C985,CodeTable,3,0),1))</f>
        <v/>
      </c>
      <c r="H985" s="27">
        <f>IF(C985="","",IF(E985&lt;&gt;"",E985,IF(IFERROR(VLOOKUP(C985,CodeTable,5,0)&amp;"","")="","All",VLOOKUP(C985,CodeTable,5,0)&amp;"")))</f>
        <v/>
      </c>
      <c r="I985" s="28">
        <f>IF(OR(A985="",C985=""),"",A985&amp;"|"&amp;B985&amp;"|"&amp;(COUNTIFS(FlDate,A985,FlShift,B985,FlCode,"&lt;&gt;",FlOrder,"&lt;"&amp;J985)+COUNTIFS(A$6:A985,A985,B$6:B985,B985,C$6:C985,"&lt;&gt;",J$6:J985,J985)))</f>
        <v/>
      </c>
      <c r="J985" s="28">
        <f>IF(C985="","",IF(D985="","zz","t"&amp;D985))</f>
        <v/>
      </c>
      <c r="K985" s="28">
        <f>IF(OR(A985="",C985=""),"",IF(IFERROR(INDEX(DayStat,A985-DATE(PlanYear,1,1)+1)&amp;"","")&lt;&gt;"",0,1))</f>
        <v/>
      </c>
      <c r="L985" s="28">
        <f>IF(K985="","",K985*IFERROR(VLOOKUP(C985,CodeTable,4,0),0))</f>
        <v/>
      </c>
    </row>
    <row r="986">
      <c r="A986" s="22" t="n"/>
      <c r="B986" s="23" t="n"/>
      <c r="C986" s="24" t="n"/>
      <c r="D986" s="25" t="n"/>
      <c r="E986" s="26" t="n"/>
      <c r="F986" s="26" t="n"/>
      <c r="G986" s="27">
        <f>IF(C986="","",IFERROR(VLOOKUP(C986,CodeTable,3,0),1))</f>
        <v/>
      </c>
      <c r="H986" s="27">
        <f>IF(C986="","",IF(E986&lt;&gt;"",E986,IF(IFERROR(VLOOKUP(C986,CodeTable,5,0)&amp;"","")="","All",VLOOKUP(C986,CodeTable,5,0)&amp;"")))</f>
        <v/>
      </c>
      <c r="I986" s="28">
        <f>IF(OR(A986="",C986=""),"",A986&amp;"|"&amp;B986&amp;"|"&amp;(COUNTIFS(FlDate,A986,FlShift,B986,FlCode,"&lt;&gt;",FlOrder,"&lt;"&amp;J986)+COUNTIFS(A$6:A986,A986,B$6:B986,B986,C$6:C986,"&lt;&gt;",J$6:J986,J986)))</f>
        <v/>
      </c>
      <c r="J986" s="28">
        <f>IF(C986="","",IF(D986="","zz","t"&amp;D986))</f>
        <v/>
      </c>
      <c r="K986" s="28">
        <f>IF(OR(A986="",C986=""),"",IF(IFERROR(INDEX(DayStat,A986-DATE(PlanYear,1,1)+1)&amp;"","")&lt;&gt;"",0,1))</f>
        <v/>
      </c>
      <c r="L986" s="28">
        <f>IF(K986="","",K986*IFERROR(VLOOKUP(C986,CodeTable,4,0),0))</f>
        <v/>
      </c>
    </row>
    <row r="987">
      <c r="A987" s="22" t="n"/>
      <c r="B987" s="23" t="n"/>
      <c r="C987" s="24" t="n"/>
      <c r="D987" s="25" t="n"/>
      <c r="E987" s="26" t="n"/>
      <c r="F987" s="26" t="n"/>
      <c r="G987" s="27">
        <f>IF(C987="","",IFERROR(VLOOKUP(C987,CodeTable,3,0),1))</f>
        <v/>
      </c>
      <c r="H987" s="27">
        <f>IF(C987="","",IF(E987&lt;&gt;"",E987,IF(IFERROR(VLOOKUP(C987,CodeTable,5,0)&amp;"","")="","All",VLOOKUP(C987,CodeTable,5,0)&amp;"")))</f>
        <v/>
      </c>
      <c r="I987" s="28">
        <f>IF(OR(A987="",C987=""),"",A987&amp;"|"&amp;B987&amp;"|"&amp;(COUNTIFS(FlDate,A987,FlShift,B987,FlCode,"&lt;&gt;",FlOrder,"&lt;"&amp;J987)+COUNTIFS(A$6:A987,A987,B$6:B987,B987,C$6:C987,"&lt;&gt;",J$6:J987,J987)))</f>
        <v/>
      </c>
      <c r="J987" s="28">
        <f>IF(C987="","",IF(D987="","zz","t"&amp;D987))</f>
        <v/>
      </c>
      <c r="K987" s="28">
        <f>IF(OR(A987="",C987=""),"",IF(IFERROR(INDEX(DayStat,A987-DATE(PlanYear,1,1)+1)&amp;"","")&lt;&gt;"",0,1))</f>
        <v/>
      </c>
      <c r="L987" s="28">
        <f>IF(K987="","",K987*IFERROR(VLOOKUP(C987,CodeTable,4,0),0))</f>
        <v/>
      </c>
    </row>
    <row r="988">
      <c r="A988" s="22" t="n"/>
      <c r="B988" s="23" t="n"/>
      <c r="C988" s="24" t="n"/>
      <c r="D988" s="25" t="n"/>
      <c r="E988" s="26" t="n"/>
      <c r="F988" s="26" t="n"/>
      <c r="G988" s="27">
        <f>IF(C988="","",IFERROR(VLOOKUP(C988,CodeTable,3,0),1))</f>
        <v/>
      </c>
      <c r="H988" s="27">
        <f>IF(C988="","",IF(E988&lt;&gt;"",E988,IF(IFERROR(VLOOKUP(C988,CodeTable,5,0)&amp;"","")="","All",VLOOKUP(C988,CodeTable,5,0)&amp;"")))</f>
        <v/>
      </c>
      <c r="I988" s="28">
        <f>IF(OR(A988="",C988=""),"",A988&amp;"|"&amp;B988&amp;"|"&amp;(COUNTIFS(FlDate,A988,FlShift,B988,FlCode,"&lt;&gt;",FlOrder,"&lt;"&amp;J988)+COUNTIFS(A$6:A988,A988,B$6:B988,B988,C$6:C988,"&lt;&gt;",J$6:J988,J988)))</f>
        <v/>
      </c>
      <c r="J988" s="28">
        <f>IF(C988="","",IF(D988="","zz","t"&amp;D988))</f>
        <v/>
      </c>
      <c r="K988" s="28">
        <f>IF(OR(A988="",C988=""),"",IF(IFERROR(INDEX(DayStat,A988-DATE(PlanYear,1,1)+1)&amp;"","")&lt;&gt;"",0,1))</f>
        <v/>
      </c>
      <c r="L988" s="28">
        <f>IF(K988="","",K988*IFERROR(VLOOKUP(C988,CodeTable,4,0),0))</f>
        <v/>
      </c>
    </row>
    <row r="989">
      <c r="A989" s="22" t="n"/>
      <c r="B989" s="23" t="n"/>
      <c r="C989" s="24" t="n"/>
      <c r="D989" s="25" t="n"/>
      <c r="E989" s="26" t="n"/>
      <c r="F989" s="26" t="n"/>
      <c r="G989" s="27">
        <f>IF(C989="","",IFERROR(VLOOKUP(C989,CodeTable,3,0),1))</f>
        <v/>
      </c>
      <c r="H989" s="27">
        <f>IF(C989="","",IF(E989&lt;&gt;"",E989,IF(IFERROR(VLOOKUP(C989,CodeTable,5,0)&amp;"","")="","All",VLOOKUP(C989,CodeTable,5,0)&amp;"")))</f>
        <v/>
      </c>
      <c r="I989" s="28">
        <f>IF(OR(A989="",C989=""),"",A989&amp;"|"&amp;B989&amp;"|"&amp;(COUNTIFS(FlDate,A989,FlShift,B989,FlCode,"&lt;&gt;",FlOrder,"&lt;"&amp;J989)+COUNTIFS(A$6:A989,A989,B$6:B989,B989,C$6:C989,"&lt;&gt;",J$6:J989,J989)))</f>
        <v/>
      </c>
      <c r="J989" s="28">
        <f>IF(C989="","",IF(D989="","zz","t"&amp;D989))</f>
        <v/>
      </c>
      <c r="K989" s="28">
        <f>IF(OR(A989="",C989=""),"",IF(IFERROR(INDEX(DayStat,A989-DATE(PlanYear,1,1)+1)&amp;"","")&lt;&gt;"",0,1))</f>
        <v/>
      </c>
      <c r="L989" s="28">
        <f>IF(K989="","",K989*IFERROR(VLOOKUP(C989,CodeTable,4,0),0))</f>
        <v/>
      </c>
    </row>
    <row r="990">
      <c r="A990" s="22" t="n"/>
      <c r="B990" s="23" t="n"/>
      <c r="C990" s="24" t="n"/>
      <c r="D990" s="25" t="n"/>
      <c r="E990" s="26" t="n"/>
      <c r="F990" s="26" t="n"/>
      <c r="G990" s="27">
        <f>IF(C990="","",IFERROR(VLOOKUP(C990,CodeTable,3,0),1))</f>
        <v/>
      </c>
      <c r="H990" s="27">
        <f>IF(C990="","",IF(E990&lt;&gt;"",E990,IF(IFERROR(VLOOKUP(C990,CodeTable,5,0)&amp;"","")="","All",VLOOKUP(C990,CodeTable,5,0)&amp;"")))</f>
        <v/>
      </c>
      <c r="I990" s="28">
        <f>IF(OR(A990="",C990=""),"",A990&amp;"|"&amp;B990&amp;"|"&amp;(COUNTIFS(FlDate,A990,FlShift,B990,FlCode,"&lt;&gt;",FlOrder,"&lt;"&amp;J990)+COUNTIFS(A$6:A990,A990,B$6:B990,B990,C$6:C990,"&lt;&gt;",J$6:J990,J990)))</f>
        <v/>
      </c>
      <c r="J990" s="28">
        <f>IF(C990="","",IF(D990="","zz","t"&amp;D990))</f>
        <v/>
      </c>
      <c r="K990" s="28">
        <f>IF(OR(A990="",C990=""),"",IF(IFERROR(INDEX(DayStat,A990-DATE(PlanYear,1,1)+1)&amp;"","")&lt;&gt;"",0,1))</f>
        <v/>
      </c>
      <c r="L990" s="28">
        <f>IF(K990="","",K990*IFERROR(VLOOKUP(C990,CodeTable,4,0),0))</f>
        <v/>
      </c>
    </row>
    <row r="991">
      <c r="A991" s="22" t="n"/>
      <c r="B991" s="23" t="n"/>
      <c r="C991" s="24" t="n"/>
      <c r="D991" s="25" t="n"/>
      <c r="E991" s="26" t="n"/>
      <c r="F991" s="26" t="n"/>
      <c r="G991" s="27">
        <f>IF(C991="","",IFERROR(VLOOKUP(C991,CodeTable,3,0),1))</f>
        <v/>
      </c>
      <c r="H991" s="27">
        <f>IF(C991="","",IF(E991&lt;&gt;"",E991,IF(IFERROR(VLOOKUP(C991,CodeTable,5,0)&amp;"","")="","All",VLOOKUP(C991,CodeTable,5,0)&amp;"")))</f>
        <v/>
      </c>
      <c r="I991" s="28">
        <f>IF(OR(A991="",C991=""),"",A991&amp;"|"&amp;B991&amp;"|"&amp;(COUNTIFS(FlDate,A991,FlShift,B991,FlCode,"&lt;&gt;",FlOrder,"&lt;"&amp;J991)+COUNTIFS(A$6:A991,A991,B$6:B991,B991,C$6:C991,"&lt;&gt;",J$6:J991,J991)))</f>
        <v/>
      </c>
      <c r="J991" s="28">
        <f>IF(C991="","",IF(D991="","zz","t"&amp;D991))</f>
        <v/>
      </c>
      <c r="K991" s="28">
        <f>IF(OR(A991="",C991=""),"",IF(IFERROR(INDEX(DayStat,A991-DATE(PlanYear,1,1)+1)&amp;"","")&lt;&gt;"",0,1))</f>
        <v/>
      </c>
      <c r="L991" s="28">
        <f>IF(K991="","",K991*IFERROR(VLOOKUP(C991,CodeTable,4,0),0))</f>
        <v/>
      </c>
    </row>
    <row r="992">
      <c r="A992" s="22" t="n"/>
      <c r="B992" s="23" t="n"/>
      <c r="C992" s="24" t="n"/>
      <c r="D992" s="25" t="n"/>
      <c r="E992" s="26" t="n"/>
      <c r="F992" s="26" t="n"/>
      <c r="G992" s="27">
        <f>IF(C992="","",IFERROR(VLOOKUP(C992,CodeTable,3,0),1))</f>
        <v/>
      </c>
      <c r="H992" s="27">
        <f>IF(C992="","",IF(E992&lt;&gt;"",E992,IF(IFERROR(VLOOKUP(C992,CodeTable,5,0)&amp;"","")="","All",VLOOKUP(C992,CodeTable,5,0)&amp;"")))</f>
        <v/>
      </c>
      <c r="I992" s="28">
        <f>IF(OR(A992="",C992=""),"",A992&amp;"|"&amp;B992&amp;"|"&amp;(COUNTIFS(FlDate,A992,FlShift,B992,FlCode,"&lt;&gt;",FlOrder,"&lt;"&amp;J992)+COUNTIFS(A$6:A992,A992,B$6:B992,B992,C$6:C992,"&lt;&gt;",J$6:J992,J992)))</f>
        <v/>
      </c>
      <c r="J992" s="28">
        <f>IF(C992="","",IF(D992="","zz","t"&amp;D992))</f>
        <v/>
      </c>
      <c r="K992" s="28">
        <f>IF(OR(A992="",C992=""),"",IF(IFERROR(INDEX(DayStat,A992-DATE(PlanYear,1,1)+1)&amp;"","")&lt;&gt;"",0,1))</f>
        <v/>
      </c>
      <c r="L992" s="28">
        <f>IF(K992="","",K992*IFERROR(VLOOKUP(C992,CodeTable,4,0),0))</f>
        <v/>
      </c>
    </row>
    <row r="993">
      <c r="A993" s="22" t="n"/>
      <c r="B993" s="23" t="n"/>
      <c r="C993" s="24" t="n"/>
      <c r="D993" s="25" t="n"/>
      <c r="E993" s="26" t="n"/>
      <c r="F993" s="26" t="n"/>
      <c r="G993" s="27">
        <f>IF(C993="","",IFERROR(VLOOKUP(C993,CodeTable,3,0),1))</f>
        <v/>
      </c>
      <c r="H993" s="27">
        <f>IF(C993="","",IF(E993&lt;&gt;"",E993,IF(IFERROR(VLOOKUP(C993,CodeTable,5,0)&amp;"","")="","All",VLOOKUP(C993,CodeTable,5,0)&amp;"")))</f>
        <v/>
      </c>
      <c r="I993" s="28">
        <f>IF(OR(A993="",C993=""),"",A993&amp;"|"&amp;B993&amp;"|"&amp;(COUNTIFS(FlDate,A993,FlShift,B993,FlCode,"&lt;&gt;",FlOrder,"&lt;"&amp;J993)+COUNTIFS(A$6:A993,A993,B$6:B993,B993,C$6:C993,"&lt;&gt;",J$6:J993,J993)))</f>
        <v/>
      </c>
      <c r="J993" s="28">
        <f>IF(C993="","",IF(D993="","zz","t"&amp;D993))</f>
        <v/>
      </c>
      <c r="K993" s="28">
        <f>IF(OR(A993="",C993=""),"",IF(IFERROR(INDEX(DayStat,A993-DATE(PlanYear,1,1)+1)&amp;"","")&lt;&gt;"",0,1))</f>
        <v/>
      </c>
      <c r="L993" s="28">
        <f>IF(K993="","",K993*IFERROR(VLOOKUP(C993,CodeTable,4,0),0))</f>
        <v/>
      </c>
    </row>
    <row r="994">
      <c r="A994" s="22" t="n"/>
      <c r="B994" s="23" t="n"/>
      <c r="C994" s="24" t="n"/>
      <c r="D994" s="25" t="n"/>
      <c r="E994" s="26" t="n"/>
      <c r="F994" s="26" t="n"/>
      <c r="G994" s="27">
        <f>IF(C994="","",IFERROR(VLOOKUP(C994,CodeTable,3,0),1))</f>
        <v/>
      </c>
      <c r="H994" s="27">
        <f>IF(C994="","",IF(E994&lt;&gt;"",E994,IF(IFERROR(VLOOKUP(C994,CodeTable,5,0)&amp;"","")="","All",VLOOKUP(C994,CodeTable,5,0)&amp;"")))</f>
        <v/>
      </c>
      <c r="I994" s="28">
        <f>IF(OR(A994="",C994=""),"",A994&amp;"|"&amp;B994&amp;"|"&amp;(COUNTIFS(FlDate,A994,FlShift,B994,FlCode,"&lt;&gt;",FlOrder,"&lt;"&amp;J994)+COUNTIFS(A$6:A994,A994,B$6:B994,B994,C$6:C994,"&lt;&gt;",J$6:J994,J994)))</f>
        <v/>
      </c>
      <c r="J994" s="28">
        <f>IF(C994="","",IF(D994="","zz","t"&amp;D994))</f>
        <v/>
      </c>
      <c r="K994" s="28">
        <f>IF(OR(A994="",C994=""),"",IF(IFERROR(INDEX(DayStat,A994-DATE(PlanYear,1,1)+1)&amp;"","")&lt;&gt;"",0,1))</f>
        <v/>
      </c>
      <c r="L994" s="28">
        <f>IF(K994="","",K994*IFERROR(VLOOKUP(C994,CodeTable,4,0),0))</f>
        <v/>
      </c>
    </row>
    <row r="995">
      <c r="A995" s="22" t="n"/>
      <c r="B995" s="23" t="n"/>
      <c r="C995" s="24" t="n"/>
      <c r="D995" s="25" t="n"/>
      <c r="E995" s="26" t="n"/>
      <c r="F995" s="26" t="n"/>
      <c r="G995" s="27">
        <f>IF(C995="","",IFERROR(VLOOKUP(C995,CodeTable,3,0),1))</f>
        <v/>
      </c>
      <c r="H995" s="27">
        <f>IF(C995="","",IF(E995&lt;&gt;"",E995,IF(IFERROR(VLOOKUP(C995,CodeTable,5,0)&amp;"","")="","All",VLOOKUP(C995,CodeTable,5,0)&amp;"")))</f>
        <v/>
      </c>
      <c r="I995" s="28">
        <f>IF(OR(A995="",C995=""),"",A995&amp;"|"&amp;B995&amp;"|"&amp;(COUNTIFS(FlDate,A995,FlShift,B995,FlCode,"&lt;&gt;",FlOrder,"&lt;"&amp;J995)+COUNTIFS(A$6:A995,A995,B$6:B995,B995,C$6:C995,"&lt;&gt;",J$6:J995,J995)))</f>
        <v/>
      </c>
      <c r="J995" s="28">
        <f>IF(C995="","",IF(D995="","zz","t"&amp;D995))</f>
        <v/>
      </c>
      <c r="K995" s="28">
        <f>IF(OR(A995="",C995=""),"",IF(IFERROR(INDEX(DayStat,A995-DATE(PlanYear,1,1)+1)&amp;"","")&lt;&gt;"",0,1))</f>
        <v/>
      </c>
      <c r="L995" s="28">
        <f>IF(K995="","",K995*IFERROR(VLOOKUP(C995,CodeTable,4,0),0))</f>
        <v/>
      </c>
    </row>
    <row r="996">
      <c r="A996" s="22" t="n"/>
      <c r="B996" s="23" t="n"/>
      <c r="C996" s="24" t="n"/>
      <c r="D996" s="25" t="n"/>
      <c r="E996" s="26" t="n"/>
      <c r="F996" s="26" t="n"/>
      <c r="G996" s="27">
        <f>IF(C996="","",IFERROR(VLOOKUP(C996,CodeTable,3,0),1))</f>
        <v/>
      </c>
      <c r="H996" s="27">
        <f>IF(C996="","",IF(E996&lt;&gt;"",E996,IF(IFERROR(VLOOKUP(C996,CodeTable,5,0)&amp;"","")="","All",VLOOKUP(C996,CodeTable,5,0)&amp;"")))</f>
        <v/>
      </c>
      <c r="I996" s="28">
        <f>IF(OR(A996="",C996=""),"",A996&amp;"|"&amp;B996&amp;"|"&amp;(COUNTIFS(FlDate,A996,FlShift,B996,FlCode,"&lt;&gt;",FlOrder,"&lt;"&amp;J996)+COUNTIFS(A$6:A996,A996,B$6:B996,B996,C$6:C996,"&lt;&gt;",J$6:J996,J996)))</f>
        <v/>
      </c>
      <c r="J996" s="28">
        <f>IF(C996="","",IF(D996="","zz","t"&amp;D996))</f>
        <v/>
      </c>
      <c r="K996" s="28">
        <f>IF(OR(A996="",C996=""),"",IF(IFERROR(INDEX(DayStat,A996-DATE(PlanYear,1,1)+1)&amp;"","")&lt;&gt;"",0,1))</f>
        <v/>
      </c>
      <c r="L996" s="28">
        <f>IF(K996="","",K996*IFERROR(VLOOKUP(C996,CodeTable,4,0),0))</f>
        <v/>
      </c>
    </row>
    <row r="997">
      <c r="A997" s="22" t="n"/>
      <c r="B997" s="23" t="n"/>
      <c r="C997" s="24" t="n"/>
      <c r="D997" s="25" t="n"/>
      <c r="E997" s="26" t="n"/>
      <c r="F997" s="26" t="n"/>
      <c r="G997" s="27">
        <f>IF(C997="","",IFERROR(VLOOKUP(C997,CodeTable,3,0),1))</f>
        <v/>
      </c>
      <c r="H997" s="27">
        <f>IF(C997="","",IF(E997&lt;&gt;"",E997,IF(IFERROR(VLOOKUP(C997,CodeTable,5,0)&amp;"","")="","All",VLOOKUP(C997,CodeTable,5,0)&amp;"")))</f>
        <v/>
      </c>
      <c r="I997" s="28">
        <f>IF(OR(A997="",C997=""),"",A997&amp;"|"&amp;B997&amp;"|"&amp;(COUNTIFS(FlDate,A997,FlShift,B997,FlCode,"&lt;&gt;",FlOrder,"&lt;"&amp;J997)+COUNTIFS(A$6:A997,A997,B$6:B997,B997,C$6:C997,"&lt;&gt;",J$6:J997,J997)))</f>
        <v/>
      </c>
      <c r="J997" s="28">
        <f>IF(C997="","",IF(D997="","zz","t"&amp;D997))</f>
        <v/>
      </c>
      <c r="K997" s="28">
        <f>IF(OR(A997="",C997=""),"",IF(IFERROR(INDEX(DayStat,A997-DATE(PlanYear,1,1)+1)&amp;"","")&lt;&gt;"",0,1))</f>
        <v/>
      </c>
      <c r="L997" s="28">
        <f>IF(K997="","",K997*IFERROR(VLOOKUP(C997,CodeTable,4,0),0))</f>
        <v/>
      </c>
    </row>
    <row r="998">
      <c r="A998" s="22" t="n"/>
      <c r="B998" s="23" t="n"/>
      <c r="C998" s="24" t="n"/>
      <c r="D998" s="25" t="n"/>
      <c r="E998" s="26" t="n"/>
      <c r="F998" s="26" t="n"/>
      <c r="G998" s="27">
        <f>IF(C998="","",IFERROR(VLOOKUP(C998,CodeTable,3,0),1))</f>
        <v/>
      </c>
      <c r="H998" s="27">
        <f>IF(C998="","",IF(E998&lt;&gt;"",E998,IF(IFERROR(VLOOKUP(C998,CodeTable,5,0)&amp;"","")="","All",VLOOKUP(C998,CodeTable,5,0)&amp;"")))</f>
        <v/>
      </c>
      <c r="I998" s="28">
        <f>IF(OR(A998="",C998=""),"",A998&amp;"|"&amp;B998&amp;"|"&amp;(COUNTIFS(FlDate,A998,FlShift,B998,FlCode,"&lt;&gt;",FlOrder,"&lt;"&amp;J998)+COUNTIFS(A$6:A998,A998,B$6:B998,B998,C$6:C998,"&lt;&gt;",J$6:J998,J998)))</f>
        <v/>
      </c>
      <c r="J998" s="28">
        <f>IF(C998="","",IF(D998="","zz","t"&amp;D998))</f>
        <v/>
      </c>
      <c r="K998" s="28">
        <f>IF(OR(A998="",C998=""),"",IF(IFERROR(INDEX(DayStat,A998-DATE(PlanYear,1,1)+1)&amp;"","")&lt;&gt;"",0,1))</f>
        <v/>
      </c>
      <c r="L998" s="28">
        <f>IF(K998="","",K998*IFERROR(VLOOKUP(C998,CodeTable,4,0),0))</f>
        <v/>
      </c>
    </row>
    <row r="999">
      <c r="A999" s="22" t="n"/>
      <c r="B999" s="23" t="n"/>
      <c r="C999" s="24" t="n"/>
      <c r="D999" s="25" t="n"/>
      <c r="E999" s="26" t="n"/>
      <c r="F999" s="26" t="n"/>
      <c r="G999" s="27">
        <f>IF(C999="","",IFERROR(VLOOKUP(C999,CodeTable,3,0),1))</f>
        <v/>
      </c>
      <c r="H999" s="27">
        <f>IF(C999="","",IF(E999&lt;&gt;"",E999,IF(IFERROR(VLOOKUP(C999,CodeTable,5,0)&amp;"","")="","All",VLOOKUP(C999,CodeTable,5,0)&amp;"")))</f>
        <v/>
      </c>
      <c r="I999" s="28">
        <f>IF(OR(A999="",C999=""),"",A999&amp;"|"&amp;B999&amp;"|"&amp;(COUNTIFS(FlDate,A999,FlShift,B999,FlCode,"&lt;&gt;",FlOrder,"&lt;"&amp;J999)+COUNTIFS(A$6:A999,A999,B$6:B999,B999,C$6:C999,"&lt;&gt;",J$6:J999,J999)))</f>
        <v/>
      </c>
      <c r="J999" s="28">
        <f>IF(C999="","",IF(D999="","zz","t"&amp;D999))</f>
        <v/>
      </c>
      <c r="K999" s="28">
        <f>IF(OR(A999="",C999=""),"",IF(IFERROR(INDEX(DayStat,A999-DATE(PlanYear,1,1)+1)&amp;"","")&lt;&gt;"",0,1))</f>
        <v/>
      </c>
      <c r="L999" s="28">
        <f>IF(K999="","",K999*IFERROR(VLOOKUP(C999,CodeTable,4,0),0))</f>
        <v/>
      </c>
    </row>
    <row r="1000">
      <c r="A1000" s="22" t="n"/>
      <c r="B1000" s="23" t="n"/>
      <c r="C1000" s="24" t="n"/>
      <c r="D1000" s="25" t="n"/>
      <c r="E1000" s="26" t="n"/>
      <c r="F1000" s="26" t="n"/>
      <c r="G1000" s="27">
        <f>IF(C1000="","",IFERROR(VLOOKUP(C1000,CodeTable,3,0),1))</f>
        <v/>
      </c>
      <c r="H1000" s="27">
        <f>IF(C1000="","",IF(E1000&lt;&gt;"",E1000,IF(IFERROR(VLOOKUP(C1000,CodeTable,5,0)&amp;"","")="","All",VLOOKUP(C1000,CodeTable,5,0)&amp;"")))</f>
        <v/>
      </c>
      <c r="I1000" s="28">
        <f>IF(OR(A1000="",C1000=""),"",A1000&amp;"|"&amp;B1000&amp;"|"&amp;(COUNTIFS(FlDate,A1000,FlShift,B1000,FlCode,"&lt;&gt;",FlOrder,"&lt;"&amp;J1000)+COUNTIFS(A$6:A1000,A1000,B$6:B1000,B1000,C$6:C1000,"&lt;&gt;",J$6:J1000,J1000)))</f>
        <v/>
      </c>
      <c r="J1000" s="28">
        <f>IF(C1000="","",IF(D1000="","zz","t"&amp;D1000))</f>
        <v/>
      </c>
      <c r="K1000" s="28">
        <f>IF(OR(A1000="",C1000=""),"",IF(IFERROR(INDEX(DayStat,A1000-DATE(PlanYear,1,1)+1)&amp;"","")&lt;&gt;"",0,1))</f>
        <v/>
      </c>
      <c r="L1000" s="28">
        <f>IF(K1000="","",K1000*IFERROR(VLOOKUP(C1000,CodeTable,4,0),0))</f>
        <v/>
      </c>
    </row>
    <row r="1001">
      <c r="A1001" s="22" t="n"/>
      <c r="B1001" s="23" t="n"/>
      <c r="C1001" s="24" t="n"/>
      <c r="D1001" s="25" t="n"/>
      <c r="E1001" s="26" t="n"/>
      <c r="F1001" s="26" t="n"/>
      <c r="G1001" s="27">
        <f>IF(C1001="","",IFERROR(VLOOKUP(C1001,CodeTable,3,0),1))</f>
        <v/>
      </c>
      <c r="H1001" s="27">
        <f>IF(C1001="","",IF(E1001&lt;&gt;"",E1001,IF(IFERROR(VLOOKUP(C1001,CodeTable,5,0)&amp;"","")="","All",VLOOKUP(C1001,CodeTable,5,0)&amp;"")))</f>
        <v/>
      </c>
      <c r="I1001" s="28">
        <f>IF(OR(A1001="",C1001=""),"",A1001&amp;"|"&amp;B1001&amp;"|"&amp;(COUNTIFS(FlDate,A1001,FlShift,B1001,FlCode,"&lt;&gt;",FlOrder,"&lt;"&amp;J1001)+COUNTIFS(A$6:A1001,A1001,B$6:B1001,B1001,C$6:C1001,"&lt;&gt;",J$6:J1001,J1001)))</f>
        <v/>
      </c>
      <c r="J1001" s="28">
        <f>IF(C1001="","",IF(D1001="","zz","t"&amp;D1001))</f>
        <v/>
      </c>
      <c r="K1001" s="28">
        <f>IF(OR(A1001="",C1001=""),"",IF(IFERROR(INDEX(DayStat,A1001-DATE(PlanYear,1,1)+1)&amp;"","")&lt;&gt;"",0,1))</f>
        <v/>
      </c>
      <c r="L1001" s="28">
        <f>IF(K1001="","",K1001*IFERROR(VLOOKUP(C1001,CodeTable,4,0),0))</f>
        <v/>
      </c>
    </row>
    <row r="1002">
      <c r="A1002" s="22" t="n"/>
      <c r="B1002" s="23" t="n"/>
      <c r="C1002" s="24" t="n"/>
      <c r="D1002" s="25" t="n"/>
      <c r="E1002" s="26" t="n"/>
      <c r="F1002" s="26" t="n"/>
      <c r="G1002" s="27">
        <f>IF(C1002="","",IFERROR(VLOOKUP(C1002,CodeTable,3,0),1))</f>
        <v/>
      </c>
      <c r="H1002" s="27">
        <f>IF(C1002="","",IF(E1002&lt;&gt;"",E1002,IF(IFERROR(VLOOKUP(C1002,CodeTable,5,0)&amp;"","")="","All",VLOOKUP(C1002,CodeTable,5,0)&amp;"")))</f>
        <v/>
      </c>
      <c r="I1002" s="28">
        <f>IF(OR(A1002="",C1002=""),"",A1002&amp;"|"&amp;B1002&amp;"|"&amp;(COUNTIFS(FlDate,A1002,FlShift,B1002,FlCode,"&lt;&gt;",FlOrder,"&lt;"&amp;J1002)+COUNTIFS(A$6:A1002,A1002,B$6:B1002,B1002,C$6:C1002,"&lt;&gt;",J$6:J1002,J1002)))</f>
        <v/>
      </c>
      <c r="J1002" s="28">
        <f>IF(C1002="","",IF(D1002="","zz","t"&amp;D1002))</f>
        <v/>
      </c>
      <c r="K1002" s="28">
        <f>IF(OR(A1002="",C1002=""),"",IF(IFERROR(INDEX(DayStat,A1002-DATE(PlanYear,1,1)+1)&amp;"","")&lt;&gt;"",0,1))</f>
        <v/>
      </c>
      <c r="L1002" s="28">
        <f>IF(K1002="","",K1002*IFERROR(VLOOKUP(C1002,CodeTable,4,0),0))</f>
        <v/>
      </c>
    </row>
    <row r="1003">
      <c r="A1003" s="22" t="n"/>
      <c r="B1003" s="23" t="n"/>
      <c r="C1003" s="24" t="n"/>
      <c r="D1003" s="25" t="n"/>
      <c r="E1003" s="26" t="n"/>
      <c r="F1003" s="26" t="n"/>
      <c r="G1003" s="27">
        <f>IF(C1003="","",IFERROR(VLOOKUP(C1003,CodeTable,3,0),1))</f>
        <v/>
      </c>
      <c r="H1003" s="27">
        <f>IF(C1003="","",IF(E1003&lt;&gt;"",E1003,IF(IFERROR(VLOOKUP(C1003,CodeTable,5,0)&amp;"","")="","All",VLOOKUP(C1003,CodeTable,5,0)&amp;"")))</f>
        <v/>
      </c>
      <c r="I1003" s="28">
        <f>IF(OR(A1003="",C1003=""),"",A1003&amp;"|"&amp;B1003&amp;"|"&amp;(COUNTIFS(FlDate,A1003,FlShift,B1003,FlCode,"&lt;&gt;",FlOrder,"&lt;"&amp;J1003)+COUNTIFS(A$6:A1003,A1003,B$6:B1003,B1003,C$6:C1003,"&lt;&gt;",J$6:J1003,J1003)))</f>
        <v/>
      </c>
      <c r="J1003" s="28">
        <f>IF(C1003="","",IF(D1003="","zz","t"&amp;D1003))</f>
        <v/>
      </c>
      <c r="K1003" s="28">
        <f>IF(OR(A1003="",C1003=""),"",IF(IFERROR(INDEX(DayStat,A1003-DATE(PlanYear,1,1)+1)&amp;"","")&lt;&gt;"",0,1))</f>
        <v/>
      </c>
      <c r="L1003" s="28">
        <f>IF(K1003="","",K1003*IFERROR(VLOOKUP(C1003,CodeTable,4,0),0))</f>
        <v/>
      </c>
    </row>
    <row r="1004">
      <c r="A1004" s="22" t="n"/>
      <c r="B1004" s="23" t="n"/>
      <c r="C1004" s="24" t="n"/>
      <c r="D1004" s="25" t="n"/>
      <c r="E1004" s="26" t="n"/>
      <c r="F1004" s="26" t="n"/>
      <c r="G1004" s="27">
        <f>IF(C1004="","",IFERROR(VLOOKUP(C1004,CodeTable,3,0),1))</f>
        <v/>
      </c>
      <c r="H1004" s="27">
        <f>IF(C1004="","",IF(E1004&lt;&gt;"",E1004,IF(IFERROR(VLOOKUP(C1004,CodeTable,5,0)&amp;"","")="","All",VLOOKUP(C1004,CodeTable,5,0)&amp;"")))</f>
        <v/>
      </c>
      <c r="I1004" s="28">
        <f>IF(OR(A1004="",C1004=""),"",A1004&amp;"|"&amp;B1004&amp;"|"&amp;(COUNTIFS(FlDate,A1004,FlShift,B1004,FlCode,"&lt;&gt;",FlOrder,"&lt;"&amp;J1004)+COUNTIFS(A$6:A1004,A1004,B$6:B1004,B1004,C$6:C1004,"&lt;&gt;",J$6:J1004,J1004)))</f>
        <v/>
      </c>
      <c r="J1004" s="28">
        <f>IF(C1004="","",IF(D1004="","zz","t"&amp;D1004))</f>
        <v/>
      </c>
      <c r="K1004" s="28">
        <f>IF(OR(A1004="",C1004=""),"",IF(IFERROR(INDEX(DayStat,A1004-DATE(PlanYear,1,1)+1)&amp;"","")&lt;&gt;"",0,1))</f>
        <v/>
      </c>
      <c r="L1004" s="28">
        <f>IF(K1004="","",K1004*IFERROR(VLOOKUP(C1004,CodeTable,4,0),0))</f>
        <v/>
      </c>
    </row>
    <row r="1005">
      <c r="A1005" s="22" t="n"/>
      <c r="B1005" s="23" t="n"/>
      <c r="C1005" s="24" t="n"/>
      <c r="D1005" s="25" t="n"/>
      <c r="E1005" s="26" t="n"/>
      <c r="F1005" s="26" t="n"/>
      <c r="G1005" s="27">
        <f>IF(C1005="","",IFERROR(VLOOKUP(C1005,CodeTable,3,0),1))</f>
        <v/>
      </c>
      <c r="H1005" s="27">
        <f>IF(C1005="","",IF(E1005&lt;&gt;"",E1005,IF(IFERROR(VLOOKUP(C1005,CodeTable,5,0)&amp;"","")="","All",VLOOKUP(C1005,CodeTable,5,0)&amp;"")))</f>
        <v/>
      </c>
      <c r="I1005" s="28">
        <f>IF(OR(A1005="",C1005=""),"",A1005&amp;"|"&amp;B1005&amp;"|"&amp;(COUNTIFS(FlDate,A1005,FlShift,B1005,FlCode,"&lt;&gt;",FlOrder,"&lt;"&amp;J1005)+COUNTIFS(A$6:A1005,A1005,B$6:B1005,B1005,C$6:C1005,"&lt;&gt;",J$6:J1005,J1005)))</f>
        <v/>
      </c>
      <c r="J1005" s="28">
        <f>IF(C1005="","",IF(D1005="","zz","t"&amp;D1005))</f>
        <v/>
      </c>
      <c r="K1005" s="28">
        <f>IF(OR(A1005="",C1005=""),"",IF(IFERROR(INDEX(DayStat,A1005-DATE(PlanYear,1,1)+1)&amp;"","")&lt;&gt;"",0,1))</f>
        <v/>
      </c>
      <c r="L1005" s="28">
        <f>IF(K1005="","",K1005*IFERROR(VLOOKUP(C1005,CodeTable,4,0),0))</f>
        <v/>
      </c>
    </row>
  </sheetData>
  <autoFilter ref="A5:L1005"/>
  <mergeCells count="2">
    <mergeCell ref="A2:H2"/>
    <mergeCell ref="A1:H1"/>
  </mergeCells>
  <dataValidations count="4">
    <dataValidation sqref="B6:B1005" showDropDown="0" showInputMessage="0" showErrorMessage="0" allowBlank="1" type="list">
      <formula1>"AM,PM,NIGHT"</formula1>
    </dataValidation>
    <dataValidation sqref="C6:C1005" showDropDown="0" showInputMessage="0" showErrorMessage="1" allowBlank="1" errorTitle="Unknown flight code" error="That code isn't on the Flight Codes sheet. Keep it anyway?" type="list" errorStyle="warning">
      <formula1>FlCodes</formula1>
    </dataValidation>
    <dataValidation sqref="A6:A1005" showDropDown="0" showInputMessage="0" showErrorMessage="1" allowBlank="1" errorTitle="Date" error="Use a date in the planning year (Dashboard A5) or January of the next year." type="date" operator="between">
      <formula1>DATE(PlanYear,1,1)</formula1>
      <formula2>DATE(PlanYear+1,1,31)</formula2>
    </dataValidation>
    <dataValidation sqref="E6:E1005" showDropDown="0" showInputMessage="1" showErrorMessage="0" allowBlank="1" promptTitle="Crew" prompt="Only when this flight differs from its code: P Pilot, L Loadmaster, T TACCO, S1 SUP 1, S2 SUP 2 (e.g. P S2)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</cols>
  <sheetData>
    <row r="1" ht="30" customHeight="1">
      <c r="A1" s="1" t="inlineStr">
        <is>
          <t>DAY STATUS</t>
        </is>
      </c>
      <c r="B1" s="2" t="n"/>
      <c r="C1" s="2" t="n"/>
    </row>
    <row r="2" ht="18" customHeight="1">
      <c r="A2" s="3" t="inlineStr">
        <is>
          <t>Leave blank for a flying day. Pick a reason (No Flying, Stand-down, Maintenance ...) for a day with no flying: it greys out on the calendar and departments see NO FLY.</t>
        </is>
      </c>
      <c r="B2" s="2" t="n"/>
      <c r="C2" s="2" t="n"/>
    </row>
    <row r="5" ht="22" customHeight="1">
      <c r="A5" s="18" t="inlineStr">
        <is>
          <t>Date</t>
        </is>
      </c>
      <c r="B5" s="18" t="inlineStr">
        <is>
          <t>Day</t>
        </is>
      </c>
      <c r="C5" s="29" t="inlineStr">
        <is>
          <t>Status</t>
        </is>
      </c>
    </row>
    <row r="6">
      <c r="A6" s="30">
        <f>IF(DATE(PlanYear,1,1)+0&lt;=DATE(PlanYear+1,1,31),DATE(PlanYear,1,1)+0,"")</f>
        <v/>
      </c>
      <c r="B6" s="31">
        <f>IF(A6="","",TEXT(A6,"ddd"))</f>
        <v/>
      </c>
      <c r="C6" s="32" t="n"/>
    </row>
    <row r="7">
      <c r="A7" s="30">
        <f>IF(DATE(PlanYear,1,1)+1&lt;=DATE(PlanYear+1,1,31),DATE(PlanYear,1,1)+1,"")</f>
        <v/>
      </c>
      <c r="B7" s="31">
        <f>IF(A7="","",TEXT(A7,"ddd"))</f>
        <v/>
      </c>
      <c r="C7" s="32" t="n"/>
    </row>
    <row r="8">
      <c r="A8" s="30">
        <f>IF(DATE(PlanYear,1,1)+2&lt;=DATE(PlanYear+1,1,31),DATE(PlanYear,1,1)+2,"")</f>
        <v/>
      </c>
      <c r="B8" s="31">
        <f>IF(A8="","",TEXT(A8,"ddd"))</f>
        <v/>
      </c>
      <c r="C8" s="32" t="n"/>
    </row>
    <row r="9">
      <c r="A9" s="30">
        <f>IF(DATE(PlanYear,1,1)+3&lt;=DATE(PlanYear+1,1,31),DATE(PlanYear,1,1)+3,"")</f>
        <v/>
      </c>
      <c r="B9" s="31">
        <f>IF(A9="","",TEXT(A9,"ddd"))</f>
        <v/>
      </c>
      <c r="C9" s="32" t="n"/>
    </row>
    <row r="10">
      <c r="A10" s="30">
        <f>IF(DATE(PlanYear,1,1)+4&lt;=DATE(PlanYear+1,1,31),DATE(PlanYear,1,1)+4,"")</f>
        <v/>
      </c>
      <c r="B10" s="31">
        <f>IF(A10="","",TEXT(A10,"ddd"))</f>
        <v/>
      </c>
      <c r="C10" s="32" t="n"/>
    </row>
    <row r="11">
      <c r="A11" s="30">
        <f>IF(DATE(PlanYear,1,1)+5&lt;=DATE(PlanYear+1,1,31),DATE(PlanYear,1,1)+5,"")</f>
        <v/>
      </c>
      <c r="B11" s="31">
        <f>IF(A11="","",TEXT(A11,"ddd"))</f>
        <v/>
      </c>
      <c r="C11" s="32" t="n"/>
    </row>
    <row r="12">
      <c r="A12" s="30">
        <f>IF(DATE(PlanYear,1,1)+6&lt;=DATE(PlanYear+1,1,31),DATE(PlanYear,1,1)+6,"")</f>
        <v/>
      </c>
      <c r="B12" s="31">
        <f>IF(A12="","",TEXT(A12,"ddd"))</f>
        <v/>
      </c>
      <c r="C12" s="32" t="n"/>
    </row>
    <row r="13">
      <c r="A13" s="30">
        <f>IF(DATE(PlanYear,1,1)+7&lt;=DATE(PlanYear+1,1,31),DATE(PlanYear,1,1)+7,"")</f>
        <v/>
      </c>
      <c r="B13" s="31">
        <f>IF(A13="","",TEXT(A13,"ddd"))</f>
        <v/>
      </c>
      <c r="C13" s="32" t="n"/>
    </row>
    <row r="14">
      <c r="A14" s="30">
        <f>IF(DATE(PlanYear,1,1)+8&lt;=DATE(PlanYear+1,1,31),DATE(PlanYear,1,1)+8,"")</f>
        <v/>
      </c>
      <c r="B14" s="31">
        <f>IF(A14="","",TEXT(A14,"ddd"))</f>
        <v/>
      </c>
      <c r="C14" s="32" t="n"/>
    </row>
    <row r="15">
      <c r="A15" s="30">
        <f>IF(DATE(PlanYear,1,1)+9&lt;=DATE(PlanYear+1,1,31),DATE(PlanYear,1,1)+9,"")</f>
        <v/>
      </c>
      <c r="B15" s="31">
        <f>IF(A15="","",TEXT(A15,"ddd"))</f>
        <v/>
      </c>
      <c r="C15" s="32" t="n"/>
    </row>
    <row r="16">
      <c r="A16" s="30">
        <f>IF(DATE(PlanYear,1,1)+10&lt;=DATE(PlanYear+1,1,31),DATE(PlanYear,1,1)+10,"")</f>
        <v/>
      </c>
      <c r="B16" s="31">
        <f>IF(A16="","",TEXT(A16,"ddd"))</f>
        <v/>
      </c>
      <c r="C16" s="32" t="n"/>
    </row>
    <row r="17">
      <c r="A17" s="30">
        <f>IF(DATE(PlanYear,1,1)+11&lt;=DATE(PlanYear+1,1,31),DATE(PlanYear,1,1)+11,"")</f>
        <v/>
      </c>
      <c r="B17" s="31">
        <f>IF(A17="","",TEXT(A17,"ddd"))</f>
        <v/>
      </c>
      <c r="C17" s="32" t="n"/>
    </row>
    <row r="18">
      <c r="A18" s="30">
        <f>IF(DATE(PlanYear,1,1)+12&lt;=DATE(PlanYear+1,1,31),DATE(PlanYear,1,1)+12,"")</f>
        <v/>
      </c>
      <c r="B18" s="31">
        <f>IF(A18="","",TEXT(A18,"ddd"))</f>
        <v/>
      </c>
      <c r="C18" s="32" t="n"/>
    </row>
    <row r="19">
      <c r="A19" s="30">
        <f>IF(DATE(PlanYear,1,1)+13&lt;=DATE(PlanYear+1,1,31),DATE(PlanYear,1,1)+13,"")</f>
        <v/>
      </c>
      <c r="B19" s="31">
        <f>IF(A19="","",TEXT(A19,"ddd"))</f>
        <v/>
      </c>
      <c r="C19" s="32" t="n"/>
    </row>
    <row r="20">
      <c r="A20" s="30">
        <f>IF(DATE(PlanYear,1,1)+14&lt;=DATE(PlanYear+1,1,31),DATE(PlanYear,1,1)+14,"")</f>
        <v/>
      </c>
      <c r="B20" s="31">
        <f>IF(A20="","",TEXT(A20,"ddd"))</f>
        <v/>
      </c>
      <c r="C20" s="32" t="n"/>
    </row>
    <row r="21">
      <c r="A21" s="30">
        <f>IF(DATE(PlanYear,1,1)+15&lt;=DATE(PlanYear+1,1,31),DATE(PlanYear,1,1)+15,"")</f>
        <v/>
      </c>
      <c r="B21" s="31">
        <f>IF(A21="","",TEXT(A21,"ddd"))</f>
        <v/>
      </c>
      <c r="C21" s="32" t="n"/>
    </row>
    <row r="22">
      <c r="A22" s="30">
        <f>IF(DATE(PlanYear,1,1)+16&lt;=DATE(PlanYear+1,1,31),DATE(PlanYear,1,1)+16,"")</f>
        <v/>
      </c>
      <c r="B22" s="31">
        <f>IF(A22="","",TEXT(A22,"ddd"))</f>
        <v/>
      </c>
      <c r="C22" s="32" t="n"/>
    </row>
    <row r="23">
      <c r="A23" s="30">
        <f>IF(DATE(PlanYear,1,1)+17&lt;=DATE(PlanYear+1,1,31),DATE(PlanYear,1,1)+17,"")</f>
        <v/>
      </c>
      <c r="B23" s="31">
        <f>IF(A23="","",TEXT(A23,"ddd"))</f>
        <v/>
      </c>
      <c r="C23" s="32" t="n"/>
    </row>
    <row r="24">
      <c r="A24" s="30">
        <f>IF(DATE(PlanYear,1,1)+18&lt;=DATE(PlanYear+1,1,31),DATE(PlanYear,1,1)+18,"")</f>
        <v/>
      </c>
      <c r="B24" s="31">
        <f>IF(A24="","",TEXT(A24,"ddd"))</f>
        <v/>
      </c>
      <c r="C24" s="32" t="n"/>
    </row>
    <row r="25">
      <c r="A25" s="30">
        <f>IF(DATE(PlanYear,1,1)+19&lt;=DATE(PlanYear+1,1,31),DATE(PlanYear,1,1)+19,"")</f>
        <v/>
      </c>
      <c r="B25" s="31">
        <f>IF(A25="","",TEXT(A25,"ddd"))</f>
        <v/>
      </c>
      <c r="C25" s="32" t="n"/>
    </row>
    <row r="26">
      <c r="A26" s="30">
        <f>IF(DATE(PlanYear,1,1)+20&lt;=DATE(PlanYear+1,1,31),DATE(PlanYear,1,1)+20,"")</f>
        <v/>
      </c>
      <c r="B26" s="31">
        <f>IF(A26="","",TEXT(A26,"ddd"))</f>
        <v/>
      </c>
      <c r="C26" s="32" t="n"/>
    </row>
    <row r="27">
      <c r="A27" s="30">
        <f>IF(DATE(PlanYear,1,1)+21&lt;=DATE(PlanYear+1,1,31),DATE(PlanYear,1,1)+21,"")</f>
        <v/>
      </c>
      <c r="B27" s="31">
        <f>IF(A27="","",TEXT(A27,"ddd"))</f>
        <v/>
      </c>
      <c r="C27" s="32" t="n"/>
    </row>
    <row r="28">
      <c r="A28" s="30">
        <f>IF(DATE(PlanYear,1,1)+22&lt;=DATE(PlanYear+1,1,31),DATE(PlanYear,1,1)+22,"")</f>
        <v/>
      </c>
      <c r="B28" s="31">
        <f>IF(A28="","",TEXT(A28,"ddd"))</f>
        <v/>
      </c>
      <c r="C28" s="32" t="n"/>
    </row>
    <row r="29">
      <c r="A29" s="30">
        <f>IF(DATE(PlanYear,1,1)+23&lt;=DATE(PlanYear+1,1,31),DATE(PlanYear,1,1)+23,"")</f>
        <v/>
      </c>
      <c r="B29" s="31">
        <f>IF(A29="","",TEXT(A29,"ddd"))</f>
        <v/>
      </c>
      <c r="C29" s="32" t="n"/>
    </row>
    <row r="30">
      <c r="A30" s="30">
        <f>IF(DATE(PlanYear,1,1)+24&lt;=DATE(PlanYear+1,1,31),DATE(PlanYear,1,1)+24,"")</f>
        <v/>
      </c>
      <c r="B30" s="31">
        <f>IF(A30="","",TEXT(A30,"ddd"))</f>
        <v/>
      </c>
      <c r="C30" s="32" t="n"/>
    </row>
    <row r="31">
      <c r="A31" s="30">
        <f>IF(DATE(PlanYear,1,1)+25&lt;=DATE(PlanYear+1,1,31),DATE(PlanYear,1,1)+25,"")</f>
        <v/>
      </c>
      <c r="B31" s="31">
        <f>IF(A31="","",TEXT(A31,"ddd"))</f>
        <v/>
      </c>
      <c r="C31" s="32" t="n"/>
    </row>
    <row r="32">
      <c r="A32" s="30">
        <f>IF(DATE(PlanYear,1,1)+26&lt;=DATE(PlanYear+1,1,31),DATE(PlanYear,1,1)+26,"")</f>
        <v/>
      </c>
      <c r="B32" s="31">
        <f>IF(A32="","",TEXT(A32,"ddd"))</f>
        <v/>
      </c>
      <c r="C32" s="32" t="n"/>
    </row>
    <row r="33">
      <c r="A33" s="30">
        <f>IF(DATE(PlanYear,1,1)+27&lt;=DATE(PlanYear+1,1,31),DATE(PlanYear,1,1)+27,"")</f>
        <v/>
      </c>
      <c r="B33" s="31">
        <f>IF(A33="","",TEXT(A33,"ddd"))</f>
        <v/>
      </c>
      <c r="C33" s="32" t="n"/>
    </row>
    <row r="34">
      <c r="A34" s="30">
        <f>IF(DATE(PlanYear,1,1)+28&lt;=DATE(PlanYear+1,1,31),DATE(PlanYear,1,1)+28,"")</f>
        <v/>
      </c>
      <c r="B34" s="31">
        <f>IF(A34="","",TEXT(A34,"ddd"))</f>
        <v/>
      </c>
      <c r="C34" s="32" t="n"/>
    </row>
    <row r="35">
      <c r="A35" s="30">
        <f>IF(DATE(PlanYear,1,1)+29&lt;=DATE(PlanYear+1,1,31),DATE(PlanYear,1,1)+29,"")</f>
        <v/>
      </c>
      <c r="B35" s="31">
        <f>IF(A35="","",TEXT(A35,"ddd"))</f>
        <v/>
      </c>
      <c r="C35" s="32" t="n"/>
    </row>
    <row r="36">
      <c r="A36" s="30">
        <f>IF(DATE(PlanYear,1,1)+30&lt;=DATE(PlanYear+1,1,31),DATE(PlanYear,1,1)+30,"")</f>
        <v/>
      </c>
      <c r="B36" s="31">
        <f>IF(A36="","",TEXT(A36,"ddd"))</f>
        <v/>
      </c>
      <c r="C36" s="32" t="n"/>
    </row>
    <row r="37">
      <c r="A37" s="30">
        <f>IF(DATE(PlanYear,1,1)+31&lt;=DATE(PlanYear+1,1,31),DATE(PlanYear,1,1)+31,"")</f>
        <v/>
      </c>
      <c r="B37" s="31">
        <f>IF(A37="","",TEXT(A37,"ddd"))</f>
        <v/>
      </c>
      <c r="C37" s="32" t="n"/>
    </row>
    <row r="38">
      <c r="A38" s="30">
        <f>IF(DATE(PlanYear,1,1)+32&lt;=DATE(PlanYear+1,1,31),DATE(PlanYear,1,1)+32,"")</f>
        <v/>
      </c>
      <c r="B38" s="31">
        <f>IF(A38="","",TEXT(A38,"ddd"))</f>
        <v/>
      </c>
      <c r="C38" s="32" t="n"/>
    </row>
    <row r="39">
      <c r="A39" s="30">
        <f>IF(DATE(PlanYear,1,1)+33&lt;=DATE(PlanYear+1,1,31),DATE(PlanYear,1,1)+33,"")</f>
        <v/>
      </c>
      <c r="B39" s="31">
        <f>IF(A39="","",TEXT(A39,"ddd"))</f>
        <v/>
      </c>
      <c r="C39" s="32" t="n"/>
    </row>
    <row r="40">
      <c r="A40" s="30">
        <f>IF(DATE(PlanYear,1,1)+34&lt;=DATE(PlanYear+1,1,31),DATE(PlanYear,1,1)+34,"")</f>
        <v/>
      </c>
      <c r="B40" s="31">
        <f>IF(A40="","",TEXT(A40,"ddd"))</f>
        <v/>
      </c>
      <c r="C40" s="32" t="n"/>
    </row>
    <row r="41">
      <c r="A41" s="30">
        <f>IF(DATE(PlanYear,1,1)+35&lt;=DATE(PlanYear+1,1,31),DATE(PlanYear,1,1)+35,"")</f>
        <v/>
      </c>
      <c r="B41" s="31">
        <f>IF(A41="","",TEXT(A41,"ddd"))</f>
        <v/>
      </c>
      <c r="C41" s="32" t="n"/>
    </row>
    <row r="42">
      <c r="A42" s="30">
        <f>IF(DATE(PlanYear,1,1)+36&lt;=DATE(PlanYear+1,1,31),DATE(PlanYear,1,1)+36,"")</f>
        <v/>
      </c>
      <c r="B42" s="31">
        <f>IF(A42="","",TEXT(A42,"ddd"))</f>
        <v/>
      </c>
      <c r="C42" s="32" t="n"/>
    </row>
    <row r="43">
      <c r="A43" s="30">
        <f>IF(DATE(PlanYear,1,1)+37&lt;=DATE(PlanYear+1,1,31),DATE(PlanYear,1,1)+37,"")</f>
        <v/>
      </c>
      <c r="B43" s="31">
        <f>IF(A43="","",TEXT(A43,"ddd"))</f>
        <v/>
      </c>
      <c r="C43" s="32" t="n"/>
    </row>
    <row r="44">
      <c r="A44" s="30">
        <f>IF(DATE(PlanYear,1,1)+38&lt;=DATE(PlanYear+1,1,31),DATE(PlanYear,1,1)+38,"")</f>
        <v/>
      </c>
      <c r="B44" s="31">
        <f>IF(A44="","",TEXT(A44,"ddd"))</f>
        <v/>
      </c>
      <c r="C44" s="32" t="n"/>
    </row>
    <row r="45">
      <c r="A45" s="30">
        <f>IF(DATE(PlanYear,1,1)+39&lt;=DATE(PlanYear+1,1,31),DATE(PlanYear,1,1)+39,"")</f>
        <v/>
      </c>
      <c r="B45" s="31">
        <f>IF(A45="","",TEXT(A45,"ddd"))</f>
        <v/>
      </c>
      <c r="C45" s="32" t="n"/>
    </row>
    <row r="46">
      <c r="A46" s="30">
        <f>IF(DATE(PlanYear,1,1)+40&lt;=DATE(PlanYear+1,1,31),DATE(PlanYear,1,1)+40,"")</f>
        <v/>
      </c>
      <c r="B46" s="31">
        <f>IF(A46="","",TEXT(A46,"ddd"))</f>
        <v/>
      </c>
      <c r="C46" s="32" t="n"/>
    </row>
    <row r="47">
      <c r="A47" s="30">
        <f>IF(DATE(PlanYear,1,1)+41&lt;=DATE(PlanYear+1,1,31),DATE(PlanYear,1,1)+41,"")</f>
        <v/>
      </c>
      <c r="B47" s="31">
        <f>IF(A47="","",TEXT(A47,"ddd"))</f>
        <v/>
      </c>
      <c r="C47" s="32" t="n"/>
    </row>
    <row r="48">
      <c r="A48" s="30">
        <f>IF(DATE(PlanYear,1,1)+42&lt;=DATE(PlanYear+1,1,31),DATE(PlanYear,1,1)+42,"")</f>
        <v/>
      </c>
      <c r="B48" s="31">
        <f>IF(A48="","",TEXT(A48,"ddd"))</f>
        <v/>
      </c>
      <c r="C48" s="32" t="n"/>
    </row>
    <row r="49">
      <c r="A49" s="30">
        <f>IF(DATE(PlanYear,1,1)+43&lt;=DATE(PlanYear+1,1,31),DATE(PlanYear,1,1)+43,"")</f>
        <v/>
      </c>
      <c r="B49" s="31">
        <f>IF(A49="","",TEXT(A49,"ddd"))</f>
        <v/>
      </c>
      <c r="C49" s="32" t="n"/>
    </row>
    <row r="50">
      <c r="A50" s="30">
        <f>IF(DATE(PlanYear,1,1)+44&lt;=DATE(PlanYear+1,1,31),DATE(PlanYear,1,1)+44,"")</f>
        <v/>
      </c>
      <c r="B50" s="31">
        <f>IF(A50="","",TEXT(A50,"ddd"))</f>
        <v/>
      </c>
      <c r="C50" s="32" t="n"/>
    </row>
    <row r="51">
      <c r="A51" s="30">
        <f>IF(DATE(PlanYear,1,1)+45&lt;=DATE(PlanYear+1,1,31),DATE(PlanYear,1,1)+45,"")</f>
        <v/>
      </c>
      <c r="B51" s="31">
        <f>IF(A51="","",TEXT(A51,"ddd"))</f>
        <v/>
      </c>
      <c r="C51" s="32" t="n"/>
    </row>
    <row r="52">
      <c r="A52" s="30">
        <f>IF(DATE(PlanYear,1,1)+46&lt;=DATE(PlanYear+1,1,31),DATE(PlanYear,1,1)+46,"")</f>
        <v/>
      </c>
      <c r="B52" s="31">
        <f>IF(A52="","",TEXT(A52,"ddd"))</f>
        <v/>
      </c>
      <c r="C52" s="32" t="n"/>
    </row>
    <row r="53">
      <c r="A53" s="30">
        <f>IF(DATE(PlanYear,1,1)+47&lt;=DATE(PlanYear+1,1,31),DATE(PlanYear,1,1)+47,"")</f>
        <v/>
      </c>
      <c r="B53" s="31">
        <f>IF(A53="","",TEXT(A53,"ddd"))</f>
        <v/>
      </c>
      <c r="C53" s="32" t="n"/>
    </row>
    <row r="54">
      <c r="A54" s="30">
        <f>IF(DATE(PlanYear,1,1)+48&lt;=DATE(PlanYear+1,1,31),DATE(PlanYear,1,1)+48,"")</f>
        <v/>
      </c>
      <c r="B54" s="31">
        <f>IF(A54="","",TEXT(A54,"ddd"))</f>
        <v/>
      </c>
      <c r="C54" s="32" t="n"/>
    </row>
    <row r="55">
      <c r="A55" s="30">
        <f>IF(DATE(PlanYear,1,1)+49&lt;=DATE(PlanYear+1,1,31),DATE(PlanYear,1,1)+49,"")</f>
        <v/>
      </c>
      <c r="B55" s="31">
        <f>IF(A55="","",TEXT(A55,"ddd"))</f>
        <v/>
      </c>
      <c r="C55" s="32" t="n"/>
    </row>
    <row r="56">
      <c r="A56" s="30">
        <f>IF(DATE(PlanYear,1,1)+50&lt;=DATE(PlanYear+1,1,31),DATE(PlanYear,1,1)+50,"")</f>
        <v/>
      </c>
      <c r="B56" s="31">
        <f>IF(A56="","",TEXT(A56,"ddd"))</f>
        <v/>
      </c>
      <c r="C56" s="32" t="n"/>
    </row>
    <row r="57">
      <c r="A57" s="30">
        <f>IF(DATE(PlanYear,1,1)+51&lt;=DATE(PlanYear+1,1,31),DATE(PlanYear,1,1)+51,"")</f>
        <v/>
      </c>
      <c r="B57" s="31">
        <f>IF(A57="","",TEXT(A57,"ddd"))</f>
        <v/>
      </c>
      <c r="C57" s="32" t="n"/>
    </row>
    <row r="58">
      <c r="A58" s="30">
        <f>IF(DATE(PlanYear,1,1)+52&lt;=DATE(PlanYear+1,1,31),DATE(PlanYear,1,1)+52,"")</f>
        <v/>
      </c>
      <c r="B58" s="31">
        <f>IF(A58="","",TEXT(A58,"ddd"))</f>
        <v/>
      </c>
      <c r="C58" s="32" t="n"/>
    </row>
    <row r="59">
      <c r="A59" s="30">
        <f>IF(DATE(PlanYear,1,1)+53&lt;=DATE(PlanYear+1,1,31),DATE(PlanYear,1,1)+53,"")</f>
        <v/>
      </c>
      <c r="B59" s="31">
        <f>IF(A59="","",TEXT(A59,"ddd"))</f>
        <v/>
      </c>
      <c r="C59" s="32" t="n"/>
    </row>
    <row r="60">
      <c r="A60" s="30">
        <f>IF(DATE(PlanYear,1,1)+54&lt;=DATE(PlanYear+1,1,31),DATE(PlanYear,1,1)+54,"")</f>
        <v/>
      </c>
      <c r="B60" s="31">
        <f>IF(A60="","",TEXT(A60,"ddd"))</f>
        <v/>
      </c>
      <c r="C60" s="32" t="n"/>
    </row>
    <row r="61">
      <c r="A61" s="30">
        <f>IF(DATE(PlanYear,1,1)+55&lt;=DATE(PlanYear+1,1,31),DATE(PlanYear,1,1)+55,"")</f>
        <v/>
      </c>
      <c r="B61" s="31">
        <f>IF(A61="","",TEXT(A61,"ddd"))</f>
        <v/>
      </c>
      <c r="C61" s="32" t="n"/>
    </row>
    <row r="62">
      <c r="A62" s="30">
        <f>IF(DATE(PlanYear,1,1)+56&lt;=DATE(PlanYear+1,1,31),DATE(PlanYear,1,1)+56,"")</f>
        <v/>
      </c>
      <c r="B62" s="31">
        <f>IF(A62="","",TEXT(A62,"ddd"))</f>
        <v/>
      </c>
      <c r="C62" s="32" t="n"/>
    </row>
    <row r="63">
      <c r="A63" s="30">
        <f>IF(DATE(PlanYear,1,1)+57&lt;=DATE(PlanYear+1,1,31),DATE(PlanYear,1,1)+57,"")</f>
        <v/>
      </c>
      <c r="B63" s="31">
        <f>IF(A63="","",TEXT(A63,"ddd"))</f>
        <v/>
      </c>
      <c r="C63" s="32" t="n"/>
    </row>
    <row r="64">
      <c r="A64" s="30">
        <f>IF(DATE(PlanYear,1,1)+58&lt;=DATE(PlanYear+1,1,31),DATE(PlanYear,1,1)+58,"")</f>
        <v/>
      </c>
      <c r="B64" s="31">
        <f>IF(A64="","",TEXT(A64,"ddd"))</f>
        <v/>
      </c>
      <c r="C64" s="32" t="n"/>
    </row>
    <row r="65">
      <c r="A65" s="30">
        <f>IF(DATE(PlanYear,1,1)+59&lt;=DATE(PlanYear+1,1,31),DATE(PlanYear,1,1)+59,"")</f>
        <v/>
      </c>
      <c r="B65" s="31">
        <f>IF(A65="","",TEXT(A65,"ddd"))</f>
        <v/>
      </c>
      <c r="C65" s="32" t="n"/>
    </row>
    <row r="66">
      <c r="A66" s="30">
        <f>IF(DATE(PlanYear,1,1)+60&lt;=DATE(PlanYear+1,1,31),DATE(PlanYear,1,1)+60,"")</f>
        <v/>
      </c>
      <c r="B66" s="31">
        <f>IF(A66="","",TEXT(A66,"ddd"))</f>
        <v/>
      </c>
      <c r="C66" s="32" t="n"/>
    </row>
    <row r="67">
      <c r="A67" s="30">
        <f>IF(DATE(PlanYear,1,1)+61&lt;=DATE(PlanYear+1,1,31),DATE(PlanYear,1,1)+61,"")</f>
        <v/>
      </c>
      <c r="B67" s="31">
        <f>IF(A67="","",TEXT(A67,"ddd"))</f>
        <v/>
      </c>
      <c r="C67" s="32" t="n"/>
    </row>
    <row r="68">
      <c r="A68" s="30">
        <f>IF(DATE(PlanYear,1,1)+62&lt;=DATE(PlanYear+1,1,31),DATE(PlanYear,1,1)+62,"")</f>
        <v/>
      </c>
      <c r="B68" s="31">
        <f>IF(A68="","",TEXT(A68,"ddd"))</f>
        <v/>
      </c>
      <c r="C68" s="32" t="n"/>
    </row>
    <row r="69">
      <c r="A69" s="30">
        <f>IF(DATE(PlanYear,1,1)+63&lt;=DATE(PlanYear+1,1,31),DATE(PlanYear,1,1)+63,"")</f>
        <v/>
      </c>
      <c r="B69" s="31">
        <f>IF(A69="","",TEXT(A69,"ddd"))</f>
        <v/>
      </c>
      <c r="C69" s="32" t="n"/>
    </row>
    <row r="70">
      <c r="A70" s="30">
        <f>IF(DATE(PlanYear,1,1)+64&lt;=DATE(PlanYear+1,1,31),DATE(PlanYear,1,1)+64,"")</f>
        <v/>
      </c>
      <c r="B70" s="31">
        <f>IF(A70="","",TEXT(A70,"ddd"))</f>
        <v/>
      </c>
      <c r="C70" s="32" t="n"/>
    </row>
    <row r="71">
      <c r="A71" s="30">
        <f>IF(DATE(PlanYear,1,1)+65&lt;=DATE(PlanYear+1,1,31),DATE(PlanYear,1,1)+65,"")</f>
        <v/>
      </c>
      <c r="B71" s="31">
        <f>IF(A71="","",TEXT(A71,"ddd"))</f>
        <v/>
      </c>
      <c r="C71" s="32" t="n"/>
    </row>
    <row r="72">
      <c r="A72" s="30">
        <f>IF(DATE(PlanYear,1,1)+66&lt;=DATE(PlanYear+1,1,31),DATE(PlanYear,1,1)+66,"")</f>
        <v/>
      </c>
      <c r="B72" s="31">
        <f>IF(A72="","",TEXT(A72,"ddd"))</f>
        <v/>
      </c>
      <c r="C72" s="32" t="n"/>
    </row>
    <row r="73">
      <c r="A73" s="30">
        <f>IF(DATE(PlanYear,1,1)+67&lt;=DATE(PlanYear+1,1,31),DATE(PlanYear,1,1)+67,"")</f>
        <v/>
      </c>
      <c r="B73" s="31">
        <f>IF(A73="","",TEXT(A73,"ddd"))</f>
        <v/>
      </c>
      <c r="C73" s="32" t="n"/>
    </row>
    <row r="74">
      <c r="A74" s="30">
        <f>IF(DATE(PlanYear,1,1)+68&lt;=DATE(PlanYear+1,1,31),DATE(PlanYear,1,1)+68,"")</f>
        <v/>
      </c>
      <c r="B74" s="31">
        <f>IF(A74="","",TEXT(A74,"ddd"))</f>
        <v/>
      </c>
      <c r="C74" s="32" t="n"/>
    </row>
    <row r="75">
      <c r="A75" s="30">
        <f>IF(DATE(PlanYear,1,1)+69&lt;=DATE(PlanYear+1,1,31),DATE(PlanYear,1,1)+69,"")</f>
        <v/>
      </c>
      <c r="B75" s="31">
        <f>IF(A75="","",TEXT(A75,"ddd"))</f>
        <v/>
      </c>
      <c r="C75" s="32" t="n"/>
    </row>
    <row r="76">
      <c r="A76" s="30">
        <f>IF(DATE(PlanYear,1,1)+70&lt;=DATE(PlanYear+1,1,31),DATE(PlanYear,1,1)+70,"")</f>
        <v/>
      </c>
      <c r="B76" s="31">
        <f>IF(A76="","",TEXT(A76,"ddd"))</f>
        <v/>
      </c>
      <c r="C76" s="32" t="n"/>
    </row>
    <row r="77">
      <c r="A77" s="30">
        <f>IF(DATE(PlanYear,1,1)+71&lt;=DATE(PlanYear+1,1,31),DATE(PlanYear,1,1)+71,"")</f>
        <v/>
      </c>
      <c r="B77" s="31">
        <f>IF(A77="","",TEXT(A77,"ddd"))</f>
        <v/>
      </c>
      <c r="C77" s="32" t="n"/>
    </row>
    <row r="78">
      <c r="A78" s="30">
        <f>IF(DATE(PlanYear,1,1)+72&lt;=DATE(PlanYear+1,1,31),DATE(PlanYear,1,1)+72,"")</f>
        <v/>
      </c>
      <c r="B78" s="31">
        <f>IF(A78="","",TEXT(A78,"ddd"))</f>
        <v/>
      </c>
      <c r="C78" s="32" t="n"/>
    </row>
    <row r="79">
      <c r="A79" s="30">
        <f>IF(DATE(PlanYear,1,1)+73&lt;=DATE(PlanYear+1,1,31),DATE(PlanYear,1,1)+73,"")</f>
        <v/>
      </c>
      <c r="B79" s="31">
        <f>IF(A79="","",TEXT(A79,"ddd"))</f>
        <v/>
      </c>
      <c r="C79" s="32" t="n"/>
    </row>
    <row r="80">
      <c r="A80" s="30">
        <f>IF(DATE(PlanYear,1,1)+74&lt;=DATE(PlanYear+1,1,31),DATE(PlanYear,1,1)+74,"")</f>
        <v/>
      </c>
      <c r="B80" s="31">
        <f>IF(A80="","",TEXT(A80,"ddd"))</f>
        <v/>
      </c>
      <c r="C80" s="32" t="n"/>
    </row>
    <row r="81">
      <c r="A81" s="30">
        <f>IF(DATE(PlanYear,1,1)+75&lt;=DATE(PlanYear+1,1,31),DATE(PlanYear,1,1)+75,"")</f>
        <v/>
      </c>
      <c r="B81" s="31">
        <f>IF(A81="","",TEXT(A81,"ddd"))</f>
        <v/>
      </c>
      <c r="C81" s="32" t="n"/>
    </row>
    <row r="82">
      <c r="A82" s="30">
        <f>IF(DATE(PlanYear,1,1)+76&lt;=DATE(PlanYear+1,1,31),DATE(PlanYear,1,1)+76,"")</f>
        <v/>
      </c>
      <c r="B82" s="31">
        <f>IF(A82="","",TEXT(A82,"ddd"))</f>
        <v/>
      </c>
      <c r="C82" s="32" t="n"/>
    </row>
    <row r="83">
      <c r="A83" s="30">
        <f>IF(DATE(PlanYear,1,1)+77&lt;=DATE(PlanYear+1,1,31),DATE(PlanYear,1,1)+77,"")</f>
        <v/>
      </c>
      <c r="B83" s="31">
        <f>IF(A83="","",TEXT(A83,"ddd"))</f>
        <v/>
      </c>
      <c r="C83" s="32" t="n"/>
    </row>
    <row r="84">
      <c r="A84" s="30">
        <f>IF(DATE(PlanYear,1,1)+78&lt;=DATE(PlanYear+1,1,31),DATE(PlanYear,1,1)+78,"")</f>
        <v/>
      </c>
      <c r="B84" s="31">
        <f>IF(A84="","",TEXT(A84,"ddd"))</f>
        <v/>
      </c>
      <c r="C84" s="32" t="n"/>
    </row>
    <row r="85">
      <c r="A85" s="30">
        <f>IF(DATE(PlanYear,1,1)+79&lt;=DATE(PlanYear+1,1,31),DATE(PlanYear,1,1)+79,"")</f>
        <v/>
      </c>
      <c r="B85" s="31">
        <f>IF(A85="","",TEXT(A85,"ddd"))</f>
        <v/>
      </c>
      <c r="C85" s="32" t="n"/>
    </row>
    <row r="86">
      <c r="A86" s="30">
        <f>IF(DATE(PlanYear,1,1)+80&lt;=DATE(PlanYear+1,1,31),DATE(PlanYear,1,1)+80,"")</f>
        <v/>
      </c>
      <c r="B86" s="31">
        <f>IF(A86="","",TEXT(A86,"ddd"))</f>
        <v/>
      </c>
      <c r="C86" s="32" t="n"/>
    </row>
    <row r="87">
      <c r="A87" s="30">
        <f>IF(DATE(PlanYear,1,1)+81&lt;=DATE(PlanYear+1,1,31),DATE(PlanYear,1,1)+81,"")</f>
        <v/>
      </c>
      <c r="B87" s="31">
        <f>IF(A87="","",TEXT(A87,"ddd"))</f>
        <v/>
      </c>
      <c r="C87" s="32" t="n"/>
    </row>
    <row r="88">
      <c r="A88" s="30">
        <f>IF(DATE(PlanYear,1,1)+82&lt;=DATE(PlanYear+1,1,31),DATE(PlanYear,1,1)+82,"")</f>
        <v/>
      </c>
      <c r="B88" s="31">
        <f>IF(A88="","",TEXT(A88,"ddd"))</f>
        <v/>
      </c>
      <c r="C88" s="32" t="n"/>
    </row>
    <row r="89">
      <c r="A89" s="30">
        <f>IF(DATE(PlanYear,1,1)+83&lt;=DATE(PlanYear+1,1,31),DATE(PlanYear,1,1)+83,"")</f>
        <v/>
      </c>
      <c r="B89" s="31">
        <f>IF(A89="","",TEXT(A89,"ddd"))</f>
        <v/>
      </c>
      <c r="C89" s="32" t="n"/>
    </row>
    <row r="90">
      <c r="A90" s="30">
        <f>IF(DATE(PlanYear,1,1)+84&lt;=DATE(PlanYear+1,1,31),DATE(PlanYear,1,1)+84,"")</f>
        <v/>
      </c>
      <c r="B90" s="31">
        <f>IF(A90="","",TEXT(A90,"ddd"))</f>
        <v/>
      </c>
      <c r="C90" s="32" t="n"/>
    </row>
    <row r="91">
      <c r="A91" s="30">
        <f>IF(DATE(PlanYear,1,1)+85&lt;=DATE(PlanYear+1,1,31),DATE(PlanYear,1,1)+85,"")</f>
        <v/>
      </c>
      <c r="B91" s="31">
        <f>IF(A91="","",TEXT(A91,"ddd"))</f>
        <v/>
      </c>
      <c r="C91" s="32" t="n"/>
    </row>
    <row r="92">
      <c r="A92" s="30">
        <f>IF(DATE(PlanYear,1,1)+86&lt;=DATE(PlanYear+1,1,31),DATE(PlanYear,1,1)+86,"")</f>
        <v/>
      </c>
      <c r="B92" s="31">
        <f>IF(A92="","",TEXT(A92,"ddd"))</f>
        <v/>
      </c>
      <c r="C92" s="32" t="n"/>
    </row>
    <row r="93">
      <c r="A93" s="30">
        <f>IF(DATE(PlanYear,1,1)+87&lt;=DATE(PlanYear+1,1,31),DATE(PlanYear,1,1)+87,"")</f>
        <v/>
      </c>
      <c r="B93" s="31">
        <f>IF(A93="","",TEXT(A93,"ddd"))</f>
        <v/>
      </c>
      <c r="C93" s="32" t="n"/>
    </row>
    <row r="94">
      <c r="A94" s="30">
        <f>IF(DATE(PlanYear,1,1)+88&lt;=DATE(PlanYear+1,1,31),DATE(PlanYear,1,1)+88,"")</f>
        <v/>
      </c>
      <c r="B94" s="31">
        <f>IF(A94="","",TEXT(A94,"ddd"))</f>
        <v/>
      </c>
      <c r="C94" s="32" t="n"/>
    </row>
    <row r="95">
      <c r="A95" s="30">
        <f>IF(DATE(PlanYear,1,1)+89&lt;=DATE(PlanYear+1,1,31),DATE(PlanYear,1,1)+89,"")</f>
        <v/>
      </c>
      <c r="B95" s="31">
        <f>IF(A95="","",TEXT(A95,"ddd"))</f>
        <v/>
      </c>
      <c r="C95" s="32" t="n"/>
    </row>
    <row r="96">
      <c r="A96" s="30">
        <f>IF(DATE(PlanYear,1,1)+90&lt;=DATE(PlanYear+1,1,31),DATE(PlanYear,1,1)+90,"")</f>
        <v/>
      </c>
      <c r="B96" s="31">
        <f>IF(A96="","",TEXT(A96,"ddd"))</f>
        <v/>
      </c>
      <c r="C96" s="32" t="n"/>
    </row>
    <row r="97">
      <c r="A97" s="30">
        <f>IF(DATE(PlanYear,1,1)+91&lt;=DATE(PlanYear+1,1,31),DATE(PlanYear,1,1)+91,"")</f>
        <v/>
      </c>
      <c r="B97" s="31">
        <f>IF(A97="","",TEXT(A97,"ddd"))</f>
        <v/>
      </c>
      <c r="C97" s="32" t="n"/>
    </row>
    <row r="98">
      <c r="A98" s="30">
        <f>IF(DATE(PlanYear,1,1)+92&lt;=DATE(PlanYear+1,1,31),DATE(PlanYear,1,1)+92,"")</f>
        <v/>
      </c>
      <c r="B98" s="31">
        <f>IF(A98="","",TEXT(A98,"ddd"))</f>
        <v/>
      </c>
      <c r="C98" s="32" t="n"/>
    </row>
    <row r="99">
      <c r="A99" s="30">
        <f>IF(DATE(PlanYear,1,1)+93&lt;=DATE(PlanYear+1,1,31),DATE(PlanYear,1,1)+93,"")</f>
        <v/>
      </c>
      <c r="B99" s="31">
        <f>IF(A99="","",TEXT(A99,"ddd"))</f>
        <v/>
      </c>
      <c r="C99" s="32" t="n"/>
    </row>
    <row r="100">
      <c r="A100" s="30">
        <f>IF(DATE(PlanYear,1,1)+94&lt;=DATE(PlanYear+1,1,31),DATE(PlanYear,1,1)+94,"")</f>
        <v/>
      </c>
      <c r="B100" s="31">
        <f>IF(A100="","",TEXT(A100,"ddd"))</f>
        <v/>
      </c>
      <c r="C100" s="32" t="n"/>
    </row>
    <row r="101">
      <c r="A101" s="30">
        <f>IF(DATE(PlanYear,1,1)+95&lt;=DATE(PlanYear+1,1,31),DATE(PlanYear,1,1)+95,"")</f>
        <v/>
      </c>
      <c r="B101" s="31">
        <f>IF(A101="","",TEXT(A101,"ddd"))</f>
        <v/>
      </c>
      <c r="C101" s="32" t="n"/>
    </row>
    <row r="102">
      <c r="A102" s="30">
        <f>IF(DATE(PlanYear,1,1)+96&lt;=DATE(PlanYear+1,1,31),DATE(PlanYear,1,1)+96,"")</f>
        <v/>
      </c>
      <c r="B102" s="31">
        <f>IF(A102="","",TEXT(A102,"ddd"))</f>
        <v/>
      </c>
      <c r="C102" s="32" t="n"/>
    </row>
    <row r="103">
      <c r="A103" s="30">
        <f>IF(DATE(PlanYear,1,1)+97&lt;=DATE(PlanYear+1,1,31),DATE(PlanYear,1,1)+97,"")</f>
        <v/>
      </c>
      <c r="B103" s="31">
        <f>IF(A103="","",TEXT(A103,"ddd"))</f>
        <v/>
      </c>
      <c r="C103" s="32" t="n"/>
    </row>
    <row r="104">
      <c r="A104" s="30">
        <f>IF(DATE(PlanYear,1,1)+98&lt;=DATE(PlanYear+1,1,31),DATE(PlanYear,1,1)+98,"")</f>
        <v/>
      </c>
      <c r="B104" s="31">
        <f>IF(A104="","",TEXT(A104,"ddd"))</f>
        <v/>
      </c>
      <c r="C104" s="32" t="n"/>
    </row>
    <row r="105">
      <c r="A105" s="30">
        <f>IF(DATE(PlanYear,1,1)+99&lt;=DATE(PlanYear+1,1,31),DATE(PlanYear,1,1)+99,"")</f>
        <v/>
      </c>
      <c r="B105" s="31">
        <f>IF(A105="","",TEXT(A105,"ddd"))</f>
        <v/>
      </c>
      <c r="C105" s="32" t="n"/>
    </row>
    <row r="106">
      <c r="A106" s="30">
        <f>IF(DATE(PlanYear,1,1)+100&lt;=DATE(PlanYear+1,1,31),DATE(PlanYear,1,1)+100,"")</f>
        <v/>
      </c>
      <c r="B106" s="31">
        <f>IF(A106="","",TEXT(A106,"ddd"))</f>
        <v/>
      </c>
      <c r="C106" s="32" t="n"/>
    </row>
    <row r="107">
      <c r="A107" s="30">
        <f>IF(DATE(PlanYear,1,1)+101&lt;=DATE(PlanYear+1,1,31),DATE(PlanYear,1,1)+101,"")</f>
        <v/>
      </c>
      <c r="B107" s="31">
        <f>IF(A107="","",TEXT(A107,"ddd"))</f>
        <v/>
      </c>
      <c r="C107" s="32" t="n"/>
    </row>
    <row r="108">
      <c r="A108" s="30">
        <f>IF(DATE(PlanYear,1,1)+102&lt;=DATE(PlanYear+1,1,31),DATE(PlanYear,1,1)+102,"")</f>
        <v/>
      </c>
      <c r="B108" s="31">
        <f>IF(A108="","",TEXT(A108,"ddd"))</f>
        <v/>
      </c>
      <c r="C108" s="32" t="n"/>
    </row>
    <row r="109">
      <c r="A109" s="30">
        <f>IF(DATE(PlanYear,1,1)+103&lt;=DATE(PlanYear+1,1,31),DATE(PlanYear,1,1)+103,"")</f>
        <v/>
      </c>
      <c r="B109" s="31">
        <f>IF(A109="","",TEXT(A109,"ddd"))</f>
        <v/>
      </c>
      <c r="C109" s="32" t="n"/>
    </row>
    <row r="110">
      <c r="A110" s="30">
        <f>IF(DATE(PlanYear,1,1)+104&lt;=DATE(PlanYear+1,1,31),DATE(PlanYear,1,1)+104,"")</f>
        <v/>
      </c>
      <c r="B110" s="31">
        <f>IF(A110="","",TEXT(A110,"ddd"))</f>
        <v/>
      </c>
      <c r="C110" s="32" t="n"/>
    </row>
    <row r="111">
      <c r="A111" s="30">
        <f>IF(DATE(PlanYear,1,1)+105&lt;=DATE(PlanYear+1,1,31),DATE(PlanYear,1,1)+105,"")</f>
        <v/>
      </c>
      <c r="B111" s="31">
        <f>IF(A111="","",TEXT(A111,"ddd"))</f>
        <v/>
      </c>
      <c r="C111" s="32" t="n"/>
    </row>
    <row r="112">
      <c r="A112" s="30">
        <f>IF(DATE(PlanYear,1,1)+106&lt;=DATE(PlanYear+1,1,31),DATE(PlanYear,1,1)+106,"")</f>
        <v/>
      </c>
      <c r="B112" s="31">
        <f>IF(A112="","",TEXT(A112,"ddd"))</f>
        <v/>
      </c>
      <c r="C112" s="32" t="n"/>
    </row>
    <row r="113">
      <c r="A113" s="30">
        <f>IF(DATE(PlanYear,1,1)+107&lt;=DATE(PlanYear+1,1,31),DATE(PlanYear,1,1)+107,"")</f>
        <v/>
      </c>
      <c r="B113" s="31">
        <f>IF(A113="","",TEXT(A113,"ddd"))</f>
        <v/>
      </c>
      <c r="C113" s="32" t="n"/>
    </row>
    <row r="114">
      <c r="A114" s="30">
        <f>IF(DATE(PlanYear,1,1)+108&lt;=DATE(PlanYear+1,1,31),DATE(PlanYear,1,1)+108,"")</f>
        <v/>
      </c>
      <c r="B114" s="31">
        <f>IF(A114="","",TEXT(A114,"ddd"))</f>
        <v/>
      </c>
      <c r="C114" s="32" t="n"/>
    </row>
    <row r="115">
      <c r="A115" s="30">
        <f>IF(DATE(PlanYear,1,1)+109&lt;=DATE(PlanYear+1,1,31),DATE(PlanYear,1,1)+109,"")</f>
        <v/>
      </c>
      <c r="B115" s="31">
        <f>IF(A115="","",TEXT(A115,"ddd"))</f>
        <v/>
      </c>
      <c r="C115" s="32" t="n"/>
    </row>
    <row r="116">
      <c r="A116" s="30">
        <f>IF(DATE(PlanYear,1,1)+110&lt;=DATE(PlanYear+1,1,31),DATE(PlanYear,1,1)+110,"")</f>
        <v/>
      </c>
      <c r="B116" s="31">
        <f>IF(A116="","",TEXT(A116,"ddd"))</f>
        <v/>
      </c>
      <c r="C116" s="32" t="n"/>
    </row>
    <row r="117">
      <c r="A117" s="30">
        <f>IF(DATE(PlanYear,1,1)+111&lt;=DATE(PlanYear+1,1,31),DATE(PlanYear,1,1)+111,"")</f>
        <v/>
      </c>
      <c r="B117" s="31">
        <f>IF(A117="","",TEXT(A117,"ddd"))</f>
        <v/>
      </c>
      <c r="C117" s="32" t="n"/>
    </row>
    <row r="118">
      <c r="A118" s="30">
        <f>IF(DATE(PlanYear,1,1)+112&lt;=DATE(PlanYear+1,1,31),DATE(PlanYear,1,1)+112,"")</f>
        <v/>
      </c>
      <c r="B118" s="31">
        <f>IF(A118="","",TEXT(A118,"ddd"))</f>
        <v/>
      </c>
      <c r="C118" s="32" t="n"/>
    </row>
    <row r="119">
      <c r="A119" s="30">
        <f>IF(DATE(PlanYear,1,1)+113&lt;=DATE(PlanYear+1,1,31),DATE(PlanYear,1,1)+113,"")</f>
        <v/>
      </c>
      <c r="B119" s="31">
        <f>IF(A119="","",TEXT(A119,"ddd"))</f>
        <v/>
      </c>
      <c r="C119" s="32" t="n"/>
    </row>
    <row r="120">
      <c r="A120" s="30">
        <f>IF(DATE(PlanYear,1,1)+114&lt;=DATE(PlanYear+1,1,31),DATE(PlanYear,1,1)+114,"")</f>
        <v/>
      </c>
      <c r="B120" s="31">
        <f>IF(A120="","",TEXT(A120,"ddd"))</f>
        <v/>
      </c>
      <c r="C120" s="32" t="n"/>
    </row>
    <row r="121">
      <c r="A121" s="30">
        <f>IF(DATE(PlanYear,1,1)+115&lt;=DATE(PlanYear+1,1,31),DATE(PlanYear,1,1)+115,"")</f>
        <v/>
      </c>
      <c r="B121" s="31">
        <f>IF(A121="","",TEXT(A121,"ddd"))</f>
        <v/>
      </c>
      <c r="C121" s="32" t="n"/>
    </row>
    <row r="122">
      <c r="A122" s="30">
        <f>IF(DATE(PlanYear,1,1)+116&lt;=DATE(PlanYear+1,1,31),DATE(PlanYear,1,1)+116,"")</f>
        <v/>
      </c>
      <c r="B122" s="31">
        <f>IF(A122="","",TEXT(A122,"ddd"))</f>
        <v/>
      </c>
      <c r="C122" s="32" t="n"/>
    </row>
    <row r="123">
      <c r="A123" s="30">
        <f>IF(DATE(PlanYear,1,1)+117&lt;=DATE(PlanYear+1,1,31),DATE(PlanYear,1,1)+117,"")</f>
        <v/>
      </c>
      <c r="B123" s="31">
        <f>IF(A123="","",TEXT(A123,"ddd"))</f>
        <v/>
      </c>
      <c r="C123" s="32" t="n"/>
    </row>
    <row r="124">
      <c r="A124" s="30">
        <f>IF(DATE(PlanYear,1,1)+118&lt;=DATE(PlanYear+1,1,31),DATE(PlanYear,1,1)+118,"")</f>
        <v/>
      </c>
      <c r="B124" s="31">
        <f>IF(A124="","",TEXT(A124,"ddd"))</f>
        <v/>
      </c>
      <c r="C124" s="32" t="n"/>
    </row>
    <row r="125">
      <c r="A125" s="30">
        <f>IF(DATE(PlanYear,1,1)+119&lt;=DATE(PlanYear+1,1,31),DATE(PlanYear,1,1)+119,"")</f>
        <v/>
      </c>
      <c r="B125" s="31">
        <f>IF(A125="","",TEXT(A125,"ddd"))</f>
        <v/>
      </c>
      <c r="C125" s="32" t="n"/>
    </row>
    <row r="126">
      <c r="A126" s="30">
        <f>IF(DATE(PlanYear,1,1)+120&lt;=DATE(PlanYear+1,1,31),DATE(PlanYear,1,1)+120,"")</f>
        <v/>
      </c>
      <c r="B126" s="31">
        <f>IF(A126="","",TEXT(A126,"ddd"))</f>
        <v/>
      </c>
      <c r="C126" s="32" t="n"/>
    </row>
    <row r="127">
      <c r="A127" s="30">
        <f>IF(DATE(PlanYear,1,1)+121&lt;=DATE(PlanYear+1,1,31),DATE(PlanYear,1,1)+121,"")</f>
        <v/>
      </c>
      <c r="B127" s="31">
        <f>IF(A127="","",TEXT(A127,"ddd"))</f>
        <v/>
      </c>
      <c r="C127" s="32" t="n"/>
    </row>
    <row r="128">
      <c r="A128" s="30">
        <f>IF(DATE(PlanYear,1,1)+122&lt;=DATE(PlanYear+1,1,31),DATE(PlanYear,1,1)+122,"")</f>
        <v/>
      </c>
      <c r="B128" s="31">
        <f>IF(A128="","",TEXT(A128,"ddd"))</f>
        <v/>
      </c>
      <c r="C128" s="32" t="n"/>
    </row>
    <row r="129">
      <c r="A129" s="30">
        <f>IF(DATE(PlanYear,1,1)+123&lt;=DATE(PlanYear+1,1,31),DATE(PlanYear,1,1)+123,"")</f>
        <v/>
      </c>
      <c r="B129" s="31">
        <f>IF(A129="","",TEXT(A129,"ddd"))</f>
        <v/>
      </c>
      <c r="C129" s="32" t="n"/>
    </row>
    <row r="130">
      <c r="A130" s="30">
        <f>IF(DATE(PlanYear,1,1)+124&lt;=DATE(PlanYear+1,1,31),DATE(PlanYear,1,1)+124,"")</f>
        <v/>
      </c>
      <c r="B130" s="31">
        <f>IF(A130="","",TEXT(A130,"ddd"))</f>
        <v/>
      </c>
      <c r="C130" s="32" t="n"/>
    </row>
    <row r="131">
      <c r="A131" s="30">
        <f>IF(DATE(PlanYear,1,1)+125&lt;=DATE(PlanYear+1,1,31),DATE(PlanYear,1,1)+125,"")</f>
        <v/>
      </c>
      <c r="B131" s="31">
        <f>IF(A131="","",TEXT(A131,"ddd"))</f>
        <v/>
      </c>
      <c r="C131" s="32" t="n"/>
    </row>
    <row r="132">
      <c r="A132" s="30">
        <f>IF(DATE(PlanYear,1,1)+126&lt;=DATE(PlanYear+1,1,31),DATE(PlanYear,1,1)+126,"")</f>
        <v/>
      </c>
      <c r="B132" s="31">
        <f>IF(A132="","",TEXT(A132,"ddd"))</f>
        <v/>
      </c>
      <c r="C132" s="32" t="n"/>
    </row>
    <row r="133">
      <c r="A133" s="30">
        <f>IF(DATE(PlanYear,1,1)+127&lt;=DATE(PlanYear+1,1,31),DATE(PlanYear,1,1)+127,"")</f>
        <v/>
      </c>
      <c r="B133" s="31">
        <f>IF(A133="","",TEXT(A133,"ddd"))</f>
        <v/>
      </c>
      <c r="C133" s="32" t="n"/>
    </row>
    <row r="134">
      <c r="A134" s="30">
        <f>IF(DATE(PlanYear,1,1)+128&lt;=DATE(PlanYear+1,1,31),DATE(PlanYear,1,1)+128,"")</f>
        <v/>
      </c>
      <c r="B134" s="31">
        <f>IF(A134="","",TEXT(A134,"ddd"))</f>
        <v/>
      </c>
      <c r="C134" s="32" t="n"/>
    </row>
    <row r="135">
      <c r="A135" s="30">
        <f>IF(DATE(PlanYear,1,1)+129&lt;=DATE(PlanYear+1,1,31),DATE(PlanYear,1,1)+129,"")</f>
        <v/>
      </c>
      <c r="B135" s="31">
        <f>IF(A135="","",TEXT(A135,"ddd"))</f>
        <v/>
      </c>
      <c r="C135" s="32" t="n"/>
    </row>
    <row r="136">
      <c r="A136" s="30">
        <f>IF(DATE(PlanYear,1,1)+130&lt;=DATE(PlanYear+1,1,31),DATE(PlanYear,1,1)+130,"")</f>
        <v/>
      </c>
      <c r="B136" s="31">
        <f>IF(A136="","",TEXT(A136,"ddd"))</f>
        <v/>
      </c>
      <c r="C136" s="32" t="n"/>
    </row>
    <row r="137">
      <c r="A137" s="30">
        <f>IF(DATE(PlanYear,1,1)+131&lt;=DATE(PlanYear+1,1,31),DATE(PlanYear,1,1)+131,"")</f>
        <v/>
      </c>
      <c r="B137" s="31">
        <f>IF(A137="","",TEXT(A137,"ddd"))</f>
        <v/>
      </c>
      <c r="C137" s="32" t="n"/>
    </row>
    <row r="138">
      <c r="A138" s="30">
        <f>IF(DATE(PlanYear,1,1)+132&lt;=DATE(PlanYear+1,1,31),DATE(PlanYear,1,1)+132,"")</f>
        <v/>
      </c>
      <c r="B138" s="31">
        <f>IF(A138="","",TEXT(A138,"ddd"))</f>
        <v/>
      </c>
      <c r="C138" s="32" t="n"/>
    </row>
    <row r="139">
      <c r="A139" s="30">
        <f>IF(DATE(PlanYear,1,1)+133&lt;=DATE(PlanYear+1,1,31),DATE(PlanYear,1,1)+133,"")</f>
        <v/>
      </c>
      <c r="B139" s="31">
        <f>IF(A139="","",TEXT(A139,"ddd"))</f>
        <v/>
      </c>
      <c r="C139" s="32" t="n"/>
    </row>
    <row r="140">
      <c r="A140" s="30">
        <f>IF(DATE(PlanYear,1,1)+134&lt;=DATE(PlanYear+1,1,31),DATE(PlanYear,1,1)+134,"")</f>
        <v/>
      </c>
      <c r="B140" s="31">
        <f>IF(A140="","",TEXT(A140,"ddd"))</f>
        <v/>
      </c>
      <c r="C140" s="32" t="n"/>
    </row>
    <row r="141">
      <c r="A141" s="30">
        <f>IF(DATE(PlanYear,1,1)+135&lt;=DATE(PlanYear+1,1,31),DATE(PlanYear,1,1)+135,"")</f>
        <v/>
      </c>
      <c r="B141" s="31">
        <f>IF(A141="","",TEXT(A141,"ddd"))</f>
        <v/>
      </c>
      <c r="C141" s="32" t="n"/>
    </row>
    <row r="142">
      <c r="A142" s="30">
        <f>IF(DATE(PlanYear,1,1)+136&lt;=DATE(PlanYear+1,1,31),DATE(PlanYear,1,1)+136,"")</f>
        <v/>
      </c>
      <c r="B142" s="31">
        <f>IF(A142="","",TEXT(A142,"ddd"))</f>
        <v/>
      </c>
      <c r="C142" s="32" t="n"/>
    </row>
    <row r="143">
      <c r="A143" s="30">
        <f>IF(DATE(PlanYear,1,1)+137&lt;=DATE(PlanYear+1,1,31),DATE(PlanYear,1,1)+137,"")</f>
        <v/>
      </c>
      <c r="B143" s="31">
        <f>IF(A143="","",TEXT(A143,"ddd"))</f>
        <v/>
      </c>
      <c r="C143" s="32" t="n"/>
    </row>
    <row r="144">
      <c r="A144" s="30">
        <f>IF(DATE(PlanYear,1,1)+138&lt;=DATE(PlanYear+1,1,31),DATE(PlanYear,1,1)+138,"")</f>
        <v/>
      </c>
      <c r="B144" s="31">
        <f>IF(A144="","",TEXT(A144,"ddd"))</f>
        <v/>
      </c>
      <c r="C144" s="32" t="n"/>
    </row>
    <row r="145">
      <c r="A145" s="30">
        <f>IF(DATE(PlanYear,1,1)+139&lt;=DATE(PlanYear+1,1,31),DATE(PlanYear,1,1)+139,"")</f>
        <v/>
      </c>
      <c r="B145" s="31">
        <f>IF(A145="","",TEXT(A145,"ddd"))</f>
        <v/>
      </c>
      <c r="C145" s="32" t="n"/>
    </row>
    <row r="146">
      <c r="A146" s="30">
        <f>IF(DATE(PlanYear,1,1)+140&lt;=DATE(PlanYear+1,1,31),DATE(PlanYear,1,1)+140,"")</f>
        <v/>
      </c>
      <c r="B146" s="31">
        <f>IF(A146="","",TEXT(A146,"ddd"))</f>
        <v/>
      </c>
      <c r="C146" s="32" t="n"/>
    </row>
    <row r="147">
      <c r="A147" s="30">
        <f>IF(DATE(PlanYear,1,1)+141&lt;=DATE(PlanYear+1,1,31),DATE(PlanYear,1,1)+141,"")</f>
        <v/>
      </c>
      <c r="B147" s="31">
        <f>IF(A147="","",TEXT(A147,"ddd"))</f>
        <v/>
      </c>
      <c r="C147" s="32" t="n"/>
    </row>
    <row r="148">
      <c r="A148" s="30">
        <f>IF(DATE(PlanYear,1,1)+142&lt;=DATE(PlanYear+1,1,31),DATE(PlanYear,1,1)+142,"")</f>
        <v/>
      </c>
      <c r="B148" s="31">
        <f>IF(A148="","",TEXT(A148,"ddd"))</f>
        <v/>
      </c>
      <c r="C148" s="32" t="n"/>
    </row>
    <row r="149">
      <c r="A149" s="30">
        <f>IF(DATE(PlanYear,1,1)+143&lt;=DATE(PlanYear+1,1,31),DATE(PlanYear,1,1)+143,"")</f>
        <v/>
      </c>
      <c r="B149" s="31">
        <f>IF(A149="","",TEXT(A149,"ddd"))</f>
        <v/>
      </c>
      <c r="C149" s="32" t="n"/>
    </row>
    <row r="150">
      <c r="A150" s="30">
        <f>IF(DATE(PlanYear,1,1)+144&lt;=DATE(PlanYear+1,1,31),DATE(PlanYear,1,1)+144,"")</f>
        <v/>
      </c>
      <c r="B150" s="31">
        <f>IF(A150="","",TEXT(A150,"ddd"))</f>
        <v/>
      </c>
      <c r="C150" s="32" t="n"/>
    </row>
    <row r="151">
      <c r="A151" s="30">
        <f>IF(DATE(PlanYear,1,1)+145&lt;=DATE(PlanYear+1,1,31),DATE(PlanYear,1,1)+145,"")</f>
        <v/>
      </c>
      <c r="B151" s="31">
        <f>IF(A151="","",TEXT(A151,"ddd"))</f>
        <v/>
      </c>
      <c r="C151" s="32" t="n"/>
    </row>
    <row r="152">
      <c r="A152" s="30">
        <f>IF(DATE(PlanYear,1,1)+146&lt;=DATE(PlanYear+1,1,31),DATE(PlanYear,1,1)+146,"")</f>
        <v/>
      </c>
      <c r="B152" s="31">
        <f>IF(A152="","",TEXT(A152,"ddd"))</f>
        <v/>
      </c>
      <c r="C152" s="32" t="n"/>
    </row>
    <row r="153">
      <c r="A153" s="30">
        <f>IF(DATE(PlanYear,1,1)+147&lt;=DATE(PlanYear+1,1,31),DATE(PlanYear,1,1)+147,"")</f>
        <v/>
      </c>
      <c r="B153" s="31">
        <f>IF(A153="","",TEXT(A153,"ddd"))</f>
        <v/>
      </c>
      <c r="C153" s="32" t="n"/>
    </row>
    <row r="154">
      <c r="A154" s="30">
        <f>IF(DATE(PlanYear,1,1)+148&lt;=DATE(PlanYear+1,1,31),DATE(PlanYear,1,1)+148,"")</f>
        <v/>
      </c>
      <c r="B154" s="31">
        <f>IF(A154="","",TEXT(A154,"ddd"))</f>
        <v/>
      </c>
      <c r="C154" s="32" t="n"/>
    </row>
    <row r="155">
      <c r="A155" s="30">
        <f>IF(DATE(PlanYear,1,1)+149&lt;=DATE(PlanYear+1,1,31),DATE(PlanYear,1,1)+149,"")</f>
        <v/>
      </c>
      <c r="B155" s="31">
        <f>IF(A155="","",TEXT(A155,"ddd"))</f>
        <v/>
      </c>
      <c r="C155" s="32" t="n"/>
    </row>
    <row r="156">
      <c r="A156" s="30">
        <f>IF(DATE(PlanYear,1,1)+150&lt;=DATE(PlanYear+1,1,31),DATE(PlanYear,1,1)+150,"")</f>
        <v/>
      </c>
      <c r="B156" s="31">
        <f>IF(A156="","",TEXT(A156,"ddd"))</f>
        <v/>
      </c>
      <c r="C156" s="32" t="n"/>
    </row>
    <row r="157">
      <c r="A157" s="30">
        <f>IF(DATE(PlanYear,1,1)+151&lt;=DATE(PlanYear+1,1,31),DATE(PlanYear,1,1)+151,"")</f>
        <v/>
      </c>
      <c r="B157" s="31">
        <f>IF(A157="","",TEXT(A157,"ddd"))</f>
        <v/>
      </c>
      <c r="C157" s="32" t="n"/>
    </row>
    <row r="158">
      <c r="A158" s="30">
        <f>IF(DATE(PlanYear,1,1)+152&lt;=DATE(PlanYear+1,1,31),DATE(PlanYear,1,1)+152,"")</f>
        <v/>
      </c>
      <c r="B158" s="31">
        <f>IF(A158="","",TEXT(A158,"ddd"))</f>
        <v/>
      </c>
      <c r="C158" s="32" t="n"/>
    </row>
    <row r="159">
      <c r="A159" s="30">
        <f>IF(DATE(PlanYear,1,1)+153&lt;=DATE(PlanYear+1,1,31),DATE(PlanYear,1,1)+153,"")</f>
        <v/>
      </c>
      <c r="B159" s="31">
        <f>IF(A159="","",TEXT(A159,"ddd"))</f>
        <v/>
      </c>
      <c r="C159" s="32" t="n"/>
    </row>
    <row r="160">
      <c r="A160" s="30">
        <f>IF(DATE(PlanYear,1,1)+154&lt;=DATE(PlanYear+1,1,31),DATE(PlanYear,1,1)+154,"")</f>
        <v/>
      </c>
      <c r="B160" s="31">
        <f>IF(A160="","",TEXT(A160,"ddd"))</f>
        <v/>
      </c>
      <c r="C160" s="32" t="n"/>
    </row>
    <row r="161">
      <c r="A161" s="30">
        <f>IF(DATE(PlanYear,1,1)+155&lt;=DATE(PlanYear+1,1,31),DATE(PlanYear,1,1)+155,"")</f>
        <v/>
      </c>
      <c r="B161" s="31">
        <f>IF(A161="","",TEXT(A161,"ddd"))</f>
        <v/>
      </c>
      <c r="C161" s="32" t="n"/>
    </row>
    <row r="162">
      <c r="A162" s="30">
        <f>IF(DATE(PlanYear,1,1)+156&lt;=DATE(PlanYear+1,1,31),DATE(PlanYear,1,1)+156,"")</f>
        <v/>
      </c>
      <c r="B162" s="31">
        <f>IF(A162="","",TEXT(A162,"ddd"))</f>
        <v/>
      </c>
      <c r="C162" s="32" t="n"/>
    </row>
    <row r="163">
      <c r="A163" s="30">
        <f>IF(DATE(PlanYear,1,1)+157&lt;=DATE(PlanYear+1,1,31),DATE(PlanYear,1,1)+157,"")</f>
        <v/>
      </c>
      <c r="B163" s="31">
        <f>IF(A163="","",TEXT(A163,"ddd"))</f>
        <v/>
      </c>
      <c r="C163" s="32" t="n"/>
    </row>
    <row r="164">
      <c r="A164" s="30">
        <f>IF(DATE(PlanYear,1,1)+158&lt;=DATE(PlanYear+1,1,31),DATE(PlanYear,1,1)+158,"")</f>
        <v/>
      </c>
      <c r="B164" s="31">
        <f>IF(A164="","",TEXT(A164,"ddd"))</f>
        <v/>
      </c>
      <c r="C164" s="32" t="n"/>
    </row>
    <row r="165">
      <c r="A165" s="30">
        <f>IF(DATE(PlanYear,1,1)+159&lt;=DATE(PlanYear+1,1,31),DATE(PlanYear,1,1)+159,"")</f>
        <v/>
      </c>
      <c r="B165" s="31">
        <f>IF(A165="","",TEXT(A165,"ddd"))</f>
        <v/>
      </c>
      <c r="C165" s="32" t="n"/>
    </row>
    <row r="166">
      <c r="A166" s="30">
        <f>IF(DATE(PlanYear,1,1)+160&lt;=DATE(PlanYear+1,1,31),DATE(PlanYear,1,1)+160,"")</f>
        <v/>
      </c>
      <c r="B166" s="31">
        <f>IF(A166="","",TEXT(A166,"ddd"))</f>
        <v/>
      </c>
      <c r="C166" s="32" t="n"/>
    </row>
    <row r="167">
      <c r="A167" s="30">
        <f>IF(DATE(PlanYear,1,1)+161&lt;=DATE(PlanYear+1,1,31),DATE(PlanYear,1,1)+161,"")</f>
        <v/>
      </c>
      <c r="B167" s="31">
        <f>IF(A167="","",TEXT(A167,"ddd"))</f>
        <v/>
      </c>
      <c r="C167" s="32" t="n"/>
    </row>
    <row r="168">
      <c r="A168" s="30">
        <f>IF(DATE(PlanYear,1,1)+162&lt;=DATE(PlanYear+1,1,31),DATE(PlanYear,1,1)+162,"")</f>
        <v/>
      </c>
      <c r="B168" s="31">
        <f>IF(A168="","",TEXT(A168,"ddd"))</f>
        <v/>
      </c>
      <c r="C168" s="32" t="n"/>
    </row>
    <row r="169">
      <c r="A169" s="30">
        <f>IF(DATE(PlanYear,1,1)+163&lt;=DATE(PlanYear+1,1,31),DATE(PlanYear,1,1)+163,"")</f>
        <v/>
      </c>
      <c r="B169" s="31">
        <f>IF(A169="","",TEXT(A169,"ddd"))</f>
        <v/>
      </c>
      <c r="C169" s="32" t="n"/>
    </row>
    <row r="170">
      <c r="A170" s="30">
        <f>IF(DATE(PlanYear,1,1)+164&lt;=DATE(PlanYear+1,1,31),DATE(PlanYear,1,1)+164,"")</f>
        <v/>
      </c>
      <c r="B170" s="31">
        <f>IF(A170="","",TEXT(A170,"ddd"))</f>
        <v/>
      </c>
      <c r="C170" s="32" t="n"/>
    </row>
    <row r="171">
      <c r="A171" s="30">
        <f>IF(DATE(PlanYear,1,1)+165&lt;=DATE(PlanYear+1,1,31),DATE(PlanYear,1,1)+165,"")</f>
        <v/>
      </c>
      <c r="B171" s="31">
        <f>IF(A171="","",TEXT(A171,"ddd"))</f>
        <v/>
      </c>
      <c r="C171" s="32" t="n"/>
    </row>
    <row r="172">
      <c r="A172" s="30">
        <f>IF(DATE(PlanYear,1,1)+166&lt;=DATE(PlanYear+1,1,31),DATE(PlanYear,1,1)+166,"")</f>
        <v/>
      </c>
      <c r="B172" s="31">
        <f>IF(A172="","",TEXT(A172,"ddd"))</f>
        <v/>
      </c>
      <c r="C172" s="32" t="n"/>
    </row>
    <row r="173">
      <c r="A173" s="30">
        <f>IF(DATE(PlanYear,1,1)+167&lt;=DATE(PlanYear+1,1,31),DATE(PlanYear,1,1)+167,"")</f>
        <v/>
      </c>
      <c r="B173" s="31">
        <f>IF(A173="","",TEXT(A173,"ddd"))</f>
        <v/>
      </c>
      <c r="C173" s="32" t="n"/>
    </row>
    <row r="174">
      <c r="A174" s="30">
        <f>IF(DATE(PlanYear,1,1)+168&lt;=DATE(PlanYear+1,1,31),DATE(PlanYear,1,1)+168,"")</f>
        <v/>
      </c>
      <c r="B174" s="31">
        <f>IF(A174="","",TEXT(A174,"ddd"))</f>
        <v/>
      </c>
      <c r="C174" s="32" t="n"/>
    </row>
    <row r="175">
      <c r="A175" s="30">
        <f>IF(DATE(PlanYear,1,1)+169&lt;=DATE(PlanYear+1,1,31),DATE(PlanYear,1,1)+169,"")</f>
        <v/>
      </c>
      <c r="B175" s="31">
        <f>IF(A175="","",TEXT(A175,"ddd"))</f>
        <v/>
      </c>
      <c r="C175" s="32" t="n"/>
    </row>
    <row r="176">
      <c r="A176" s="30">
        <f>IF(DATE(PlanYear,1,1)+170&lt;=DATE(PlanYear+1,1,31),DATE(PlanYear,1,1)+170,"")</f>
        <v/>
      </c>
      <c r="B176" s="31">
        <f>IF(A176="","",TEXT(A176,"ddd"))</f>
        <v/>
      </c>
      <c r="C176" s="32" t="n"/>
    </row>
    <row r="177">
      <c r="A177" s="30">
        <f>IF(DATE(PlanYear,1,1)+171&lt;=DATE(PlanYear+1,1,31),DATE(PlanYear,1,1)+171,"")</f>
        <v/>
      </c>
      <c r="B177" s="31">
        <f>IF(A177="","",TEXT(A177,"ddd"))</f>
        <v/>
      </c>
      <c r="C177" s="32" t="n"/>
    </row>
    <row r="178">
      <c r="A178" s="30">
        <f>IF(DATE(PlanYear,1,1)+172&lt;=DATE(PlanYear+1,1,31),DATE(PlanYear,1,1)+172,"")</f>
        <v/>
      </c>
      <c r="B178" s="31">
        <f>IF(A178="","",TEXT(A178,"ddd"))</f>
        <v/>
      </c>
      <c r="C178" s="32" t="n"/>
    </row>
    <row r="179">
      <c r="A179" s="30">
        <f>IF(DATE(PlanYear,1,1)+173&lt;=DATE(PlanYear+1,1,31),DATE(PlanYear,1,1)+173,"")</f>
        <v/>
      </c>
      <c r="B179" s="31">
        <f>IF(A179="","",TEXT(A179,"ddd"))</f>
        <v/>
      </c>
      <c r="C179" s="32" t="n"/>
    </row>
    <row r="180">
      <c r="A180" s="30">
        <f>IF(DATE(PlanYear,1,1)+174&lt;=DATE(PlanYear+1,1,31),DATE(PlanYear,1,1)+174,"")</f>
        <v/>
      </c>
      <c r="B180" s="31">
        <f>IF(A180="","",TEXT(A180,"ddd"))</f>
        <v/>
      </c>
      <c r="C180" s="32" t="n"/>
    </row>
    <row r="181">
      <c r="A181" s="30">
        <f>IF(DATE(PlanYear,1,1)+175&lt;=DATE(PlanYear+1,1,31),DATE(PlanYear,1,1)+175,"")</f>
        <v/>
      </c>
      <c r="B181" s="31">
        <f>IF(A181="","",TEXT(A181,"ddd"))</f>
        <v/>
      </c>
      <c r="C181" s="32" t="n"/>
    </row>
    <row r="182">
      <c r="A182" s="30">
        <f>IF(DATE(PlanYear,1,1)+176&lt;=DATE(PlanYear+1,1,31),DATE(PlanYear,1,1)+176,"")</f>
        <v/>
      </c>
      <c r="B182" s="31">
        <f>IF(A182="","",TEXT(A182,"ddd"))</f>
        <v/>
      </c>
      <c r="C182" s="32" t="n"/>
    </row>
    <row r="183">
      <c r="A183" s="30">
        <f>IF(DATE(PlanYear,1,1)+177&lt;=DATE(PlanYear+1,1,31),DATE(PlanYear,1,1)+177,"")</f>
        <v/>
      </c>
      <c r="B183" s="31">
        <f>IF(A183="","",TEXT(A183,"ddd"))</f>
        <v/>
      </c>
      <c r="C183" s="32" t="n"/>
    </row>
    <row r="184">
      <c r="A184" s="30">
        <f>IF(DATE(PlanYear,1,1)+178&lt;=DATE(PlanYear+1,1,31),DATE(PlanYear,1,1)+178,"")</f>
        <v/>
      </c>
      <c r="B184" s="31">
        <f>IF(A184="","",TEXT(A184,"ddd"))</f>
        <v/>
      </c>
      <c r="C184" s="32" t="n"/>
    </row>
    <row r="185">
      <c r="A185" s="30">
        <f>IF(DATE(PlanYear,1,1)+179&lt;=DATE(PlanYear+1,1,31),DATE(PlanYear,1,1)+179,"")</f>
        <v/>
      </c>
      <c r="B185" s="31">
        <f>IF(A185="","",TEXT(A185,"ddd"))</f>
        <v/>
      </c>
      <c r="C185" s="32" t="n"/>
    </row>
    <row r="186">
      <c r="A186" s="30">
        <f>IF(DATE(PlanYear,1,1)+180&lt;=DATE(PlanYear+1,1,31),DATE(PlanYear,1,1)+180,"")</f>
        <v/>
      </c>
      <c r="B186" s="31">
        <f>IF(A186="","",TEXT(A186,"ddd"))</f>
        <v/>
      </c>
      <c r="C186" s="32" t="n"/>
    </row>
    <row r="187">
      <c r="A187" s="30">
        <f>IF(DATE(PlanYear,1,1)+181&lt;=DATE(PlanYear+1,1,31),DATE(PlanYear,1,1)+181,"")</f>
        <v/>
      </c>
      <c r="B187" s="31">
        <f>IF(A187="","",TEXT(A187,"ddd"))</f>
        <v/>
      </c>
      <c r="C187" s="32" t="n"/>
    </row>
    <row r="188">
      <c r="A188" s="30">
        <f>IF(DATE(PlanYear,1,1)+182&lt;=DATE(PlanYear+1,1,31),DATE(PlanYear,1,1)+182,"")</f>
        <v/>
      </c>
      <c r="B188" s="31">
        <f>IF(A188="","",TEXT(A188,"ddd"))</f>
        <v/>
      </c>
      <c r="C188" s="32" t="n"/>
    </row>
    <row r="189">
      <c r="A189" s="30">
        <f>IF(DATE(PlanYear,1,1)+183&lt;=DATE(PlanYear+1,1,31),DATE(PlanYear,1,1)+183,"")</f>
        <v/>
      </c>
      <c r="B189" s="31">
        <f>IF(A189="","",TEXT(A189,"ddd"))</f>
        <v/>
      </c>
      <c r="C189" s="32" t="n"/>
    </row>
    <row r="190">
      <c r="A190" s="30">
        <f>IF(DATE(PlanYear,1,1)+184&lt;=DATE(PlanYear+1,1,31),DATE(PlanYear,1,1)+184,"")</f>
        <v/>
      </c>
      <c r="B190" s="31">
        <f>IF(A190="","",TEXT(A190,"ddd"))</f>
        <v/>
      </c>
      <c r="C190" s="32" t="n"/>
    </row>
    <row r="191">
      <c r="A191" s="30">
        <f>IF(DATE(PlanYear,1,1)+185&lt;=DATE(PlanYear+1,1,31),DATE(PlanYear,1,1)+185,"")</f>
        <v/>
      </c>
      <c r="B191" s="31">
        <f>IF(A191="","",TEXT(A191,"ddd"))</f>
        <v/>
      </c>
      <c r="C191" s="32" t="n"/>
    </row>
    <row r="192">
      <c r="A192" s="30">
        <f>IF(DATE(PlanYear,1,1)+186&lt;=DATE(PlanYear+1,1,31),DATE(PlanYear,1,1)+186,"")</f>
        <v/>
      </c>
      <c r="B192" s="31">
        <f>IF(A192="","",TEXT(A192,"ddd"))</f>
        <v/>
      </c>
      <c r="C192" s="32" t="n"/>
    </row>
    <row r="193">
      <c r="A193" s="30">
        <f>IF(DATE(PlanYear,1,1)+187&lt;=DATE(PlanYear+1,1,31),DATE(PlanYear,1,1)+187,"")</f>
        <v/>
      </c>
      <c r="B193" s="31">
        <f>IF(A193="","",TEXT(A193,"ddd"))</f>
        <v/>
      </c>
      <c r="C193" s="32" t="n"/>
    </row>
    <row r="194">
      <c r="A194" s="30">
        <f>IF(DATE(PlanYear,1,1)+188&lt;=DATE(PlanYear+1,1,31),DATE(PlanYear,1,1)+188,"")</f>
        <v/>
      </c>
      <c r="B194" s="31">
        <f>IF(A194="","",TEXT(A194,"ddd"))</f>
        <v/>
      </c>
      <c r="C194" s="32" t="n"/>
    </row>
    <row r="195">
      <c r="A195" s="30">
        <f>IF(DATE(PlanYear,1,1)+189&lt;=DATE(PlanYear+1,1,31),DATE(PlanYear,1,1)+189,"")</f>
        <v/>
      </c>
      <c r="B195" s="31">
        <f>IF(A195="","",TEXT(A195,"ddd"))</f>
        <v/>
      </c>
      <c r="C195" s="32" t="n"/>
    </row>
    <row r="196">
      <c r="A196" s="30">
        <f>IF(DATE(PlanYear,1,1)+190&lt;=DATE(PlanYear+1,1,31),DATE(PlanYear,1,1)+190,"")</f>
        <v/>
      </c>
      <c r="B196" s="31">
        <f>IF(A196="","",TEXT(A196,"ddd"))</f>
        <v/>
      </c>
      <c r="C196" s="32" t="n"/>
    </row>
    <row r="197">
      <c r="A197" s="30">
        <f>IF(DATE(PlanYear,1,1)+191&lt;=DATE(PlanYear+1,1,31),DATE(PlanYear,1,1)+191,"")</f>
        <v/>
      </c>
      <c r="B197" s="31">
        <f>IF(A197="","",TEXT(A197,"ddd"))</f>
        <v/>
      </c>
      <c r="C197" s="32" t="n"/>
    </row>
    <row r="198">
      <c r="A198" s="30">
        <f>IF(DATE(PlanYear,1,1)+192&lt;=DATE(PlanYear+1,1,31),DATE(PlanYear,1,1)+192,"")</f>
        <v/>
      </c>
      <c r="B198" s="31">
        <f>IF(A198="","",TEXT(A198,"ddd"))</f>
        <v/>
      </c>
      <c r="C198" s="32" t="n"/>
    </row>
    <row r="199">
      <c r="A199" s="30">
        <f>IF(DATE(PlanYear,1,1)+193&lt;=DATE(PlanYear+1,1,31),DATE(PlanYear,1,1)+193,"")</f>
        <v/>
      </c>
      <c r="B199" s="31">
        <f>IF(A199="","",TEXT(A199,"ddd"))</f>
        <v/>
      </c>
      <c r="C199" s="32" t="n"/>
    </row>
    <row r="200">
      <c r="A200" s="30">
        <f>IF(DATE(PlanYear,1,1)+194&lt;=DATE(PlanYear+1,1,31),DATE(PlanYear,1,1)+194,"")</f>
        <v/>
      </c>
      <c r="B200" s="31">
        <f>IF(A200="","",TEXT(A200,"ddd"))</f>
        <v/>
      </c>
      <c r="C200" s="32" t="n"/>
    </row>
    <row r="201">
      <c r="A201" s="30">
        <f>IF(DATE(PlanYear,1,1)+195&lt;=DATE(PlanYear+1,1,31),DATE(PlanYear,1,1)+195,"")</f>
        <v/>
      </c>
      <c r="B201" s="31">
        <f>IF(A201="","",TEXT(A201,"ddd"))</f>
        <v/>
      </c>
      <c r="C201" s="32" t="n"/>
    </row>
    <row r="202">
      <c r="A202" s="30">
        <f>IF(DATE(PlanYear,1,1)+196&lt;=DATE(PlanYear+1,1,31),DATE(PlanYear,1,1)+196,"")</f>
        <v/>
      </c>
      <c r="B202" s="31">
        <f>IF(A202="","",TEXT(A202,"ddd"))</f>
        <v/>
      </c>
      <c r="C202" s="32" t="n"/>
    </row>
    <row r="203">
      <c r="A203" s="30">
        <f>IF(DATE(PlanYear,1,1)+197&lt;=DATE(PlanYear+1,1,31),DATE(PlanYear,1,1)+197,"")</f>
        <v/>
      </c>
      <c r="B203" s="31">
        <f>IF(A203="","",TEXT(A203,"ddd"))</f>
        <v/>
      </c>
      <c r="C203" s="32" t="n"/>
    </row>
    <row r="204">
      <c r="A204" s="30">
        <f>IF(DATE(PlanYear,1,1)+198&lt;=DATE(PlanYear+1,1,31),DATE(PlanYear,1,1)+198,"")</f>
        <v/>
      </c>
      <c r="B204" s="31">
        <f>IF(A204="","",TEXT(A204,"ddd"))</f>
        <v/>
      </c>
      <c r="C204" s="32" t="n"/>
    </row>
    <row r="205">
      <c r="A205" s="30">
        <f>IF(DATE(PlanYear,1,1)+199&lt;=DATE(PlanYear+1,1,31),DATE(PlanYear,1,1)+199,"")</f>
        <v/>
      </c>
      <c r="B205" s="31">
        <f>IF(A205="","",TEXT(A205,"ddd"))</f>
        <v/>
      </c>
      <c r="C205" s="32" t="n"/>
    </row>
    <row r="206">
      <c r="A206" s="30">
        <f>IF(DATE(PlanYear,1,1)+200&lt;=DATE(PlanYear+1,1,31),DATE(PlanYear,1,1)+200,"")</f>
        <v/>
      </c>
      <c r="B206" s="31">
        <f>IF(A206="","",TEXT(A206,"ddd"))</f>
        <v/>
      </c>
      <c r="C206" s="32" t="n"/>
    </row>
    <row r="207">
      <c r="A207" s="30">
        <f>IF(DATE(PlanYear,1,1)+201&lt;=DATE(PlanYear+1,1,31),DATE(PlanYear,1,1)+201,"")</f>
        <v/>
      </c>
      <c r="B207" s="31">
        <f>IF(A207="","",TEXT(A207,"ddd"))</f>
        <v/>
      </c>
      <c r="C207" s="32" t="n"/>
    </row>
    <row r="208">
      <c r="A208" s="30">
        <f>IF(DATE(PlanYear,1,1)+202&lt;=DATE(PlanYear+1,1,31),DATE(PlanYear,1,1)+202,"")</f>
        <v/>
      </c>
      <c r="B208" s="31">
        <f>IF(A208="","",TEXT(A208,"ddd"))</f>
        <v/>
      </c>
      <c r="C208" s="32" t="n"/>
    </row>
    <row r="209">
      <c r="A209" s="30">
        <f>IF(DATE(PlanYear,1,1)+203&lt;=DATE(PlanYear+1,1,31),DATE(PlanYear,1,1)+203,"")</f>
        <v/>
      </c>
      <c r="B209" s="31">
        <f>IF(A209="","",TEXT(A209,"ddd"))</f>
        <v/>
      </c>
      <c r="C209" s="32" t="n"/>
    </row>
    <row r="210">
      <c r="A210" s="30">
        <f>IF(DATE(PlanYear,1,1)+204&lt;=DATE(PlanYear+1,1,31),DATE(PlanYear,1,1)+204,"")</f>
        <v/>
      </c>
      <c r="B210" s="31">
        <f>IF(A210="","",TEXT(A210,"ddd"))</f>
        <v/>
      </c>
      <c r="C210" s="32" t="n"/>
    </row>
    <row r="211">
      <c r="A211" s="30">
        <f>IF(DATE(PlanYear,1,1)+205&lt;=DATE(PlanYear+1,1,31),DATE(PlanYear,1,1)+205,"")</f>
        <v/>
      </c>
      <c r="B211" s="31">
        <f>IF(A211="","",TEXT(A211,"ddd"))</f>
        <v/>
      </c>
      <c r="C211" s="32" t="n"/>
    </row>
    <row r="212">
      <c r="A212" s="30">
        <f>IF(DATE(PlanYear,1,1)+206&lt;=DATE(PlanYear+1,1,31),DATE(PlanYear,1,1)+206,"")</f>
        <v/>
      </c>
      <c r="B212" s="31">
        <f>IF(A212="","",TEXT(A212,"ddd"))</f>
        <v/>
      </c>
      <c r="C212" s="32" t="n"/>
    </row>
    <row r="213">
      <c r="A213" s="30">
        <f>IF(DATE(PlanYear,1,1)+207&lt;=DATE(PlanYear+1,1,31),DATE(PlanYear,1,1)+207,"")</f>
        <v/>
      </c>
      <c r="B213" s="31">
        <f>IF(A213="","",TEXT(A213,"ddd"))</f>
        <v/>
      </c>
      <c r="C213" s="32" t="n"/>
    </row>
    <row r="214">
      <c r="A214" s="30">
        <f>IF(DATE(PlanYear,1,1)+208&lt;=DATE(PlanYear+1,1,31),DATE(PlanYear,1,1)+208,"")</f>
        <v/>
      </c>
      <c r="B214" s="31">
        <f>IF(A214="","",TEXT(A214,"ddd"))</f>
        <v/>
      </c>
      <c r="C214" s="32" t="n"/>
    </row>
    <row r="215">
      <c r="A215" s="30">
        <f>IF(DATE(PlanYear,1,1)+209&lt;=DATE(PlanYear+1,1,31),DATE(PlanYear,1,1)+209,"")</f>
        <v/>
      </c>
      <c r="B215" s="31">
        <f>IF(A215="","",TEXT(A215,"ddd"))</f>
        <v/>
      </c>
      <c r="C215" s="32" t="n"/>
    </row>
    <row r="216">
      <c r="A216" s="30">
        <f>IF(DATE(PlanYear,1,1)+210&lt;=DATE(PlanYear+1,1,31),DATE(PlanYear,1,1)+210,"")</f>
        <v/>
      </c>
      <c r="B216" s="31">
        <f>IF(A216="","",TEXT(A216,"ddd"))</f>
        <v/>
      </c>
      <c r="C216" s="32" t="n"/>
    </row>
    <row r="217">
      <c r="A217" s="30">
        <f>IF(DATE(PlanYear,1,1)+211&lt;=DATE(PlanYear+1,1,31),DATE(PlanYear,1,1)+211,"")</f>
        <v/>
      </c>
      <c r="B217" s="31">
        <f>IF(A217="","",TEXT(A217,"ddd"))</f>
        <v/>
      </c>
      <c r="C217" s="32" t="n"/>
    </row>
    <row r="218">
      <c r="A218" s="30">
        <f>IF(DATE(PlanYear,1,1)+212&lt;=DATE(PlanYear+1,1,31),DATE(PlanYear,1,1)+212,"")</f>
        <v/>
      </c>
      <c r="B218" s="31">
        <f>IF(A218="","",TEXT(A218,"ddd"))</f>
        <v/>
      </c>
      <c r="C218" s="32" t="n"/>
    </row>
    <row r="219">
      <c r="A219" s="30">
        <f>IF(DATE(PlanYear,1,1)+213&lt;=DATE(PlanYear+1,1,31),DATE(PlanYear,1,1)+213,"")</f>
        <v/>
      </c>
      <c r="B219" s="31">
        <f>IF(A219="","",TEXT(A219,"ddd"))</f>
        <v/>
      </c>
      <c r="C219" s="32" t="n"/>
    </row>
    <row r="220">
      <c r="A220" s="30">
        <f>IF(DATE(PlanYear,1,1)+214&lt;=DATE(PlanYear+1,1,31),DATE(PlanYear,1,1)+214,"")</f>
        <v/>
      </c>
      <c r="B220" s="31">
        <f>IF(A220="","",TEXT(A220,"ddd"))</f>
        <v/>
      </c>
      <c r="C220" s="32" t="n"/>
    </row>
    <row r="221">
      <c r="A221" s="30">
        <f>IF(DATE(PlanYear,1,1)+215&lt;=DATE(PlanYear+1,1,31),DATE(PlanYear,1,1)+215,"")</f>
        <v/>
      </c>
      <c r="B221" s="31">
        <f>IF(A221="","",TEXT(A221,"ddd"))</f>
        <v/>
      </c>
      <c r="C221" s="32" t="n"/>
    </row>
    <row r="222">
      <c r="A222" s="30">
        <f>IF(DATE(PlanYear,1,1)+216&lt;=DATE(PlanYear+1,1,31),DATE(PlanYear,1,1)+216,"")</f>
        <v/>
      </c>
      <c r="B222" s="31">
        <f>IF(A222="","",TEXT(A222,"ddd"))</f>
        <v/>
      </c>
      <c r="C222" s="32" t="n"/>
    </row>
    <row r="223">
      <c r="A223" s="30">
        <f>IF(DATE(PlanYear,1,1)+217&lt;=DATE(PlanYear+1,1,31),DATE(PlanYear,1,1)+217,"")</f>
        <v/>
      </c>
      <c r="B223" s="31">
        <f>IF(A223="","",TEXT(A223,"ddd"))</f>
        <v/>
      </c>
      <c r="C223" s="32" t="n"/>
    </row>
    <row r="224">
      <c r="A224" s="30">
        <f>IF(DATE(PlanYear,1,1)+218&lt;=DATE(PlanYear+1,1,31),DATE(PlanYear,1,1)+218,"")</f>
        <v/>
      </c>
      <c r="B224" s="31">
        <f>IF(A224="","",TEXT(A224,"ddd"))</f>
        <v/>
      </c>
      <c r="C224" s="32" t="n"/>
    </row>
    <row r="225">
      <c r="A225" s="30">
        <f>IF(DATE(PlanYear,1,1)+219&lt;=DATE(PlanYear+1,1,31),DATE(PlanYear,1,1)+219,"")</f>
        <v/>
      </c>
      <c r="B225" s="31">
        <f>IF(A225="","",TEXT(A225,"ddd"))</f>
        <v/>
      </c>
      <c r="C225" s="32" t="n"/>
    </row>
    <row r="226">
      <c r="A226" s="30">
        <f>IF(DATE(PlanYear,1,1)+220&lt;=DATE(PlanYear+1,1,31),DATE(PlanYear,1,1)+220,"")</f>
        <v/>
      </c>
      <c r="B226" s="31">
        <f>IF(A226="","",TEXT(A226,"ddd"))</f>
        <v/>
      </c>
      <c r="C226" s="32" t="n"/>
    </row>
    <row r="227">
      <c r="A227" s="30">
        <f>IF(DATE(PlanYear,1,1)+221&lt;=DATE(PlanYear+1,1,31),DATE(PlanYear,1,1)+221,"")</f>
        <v/>
      </c>
      <c r="B227" s="31">
        <f>IF(A227="","",TEXT(A227,"ddd"))</f>
        <v/>
      </c>
      <c r="C227" s="32" t="n"/>
    </row>
    <row r="228">
      <c r="A228" s="30">
        <f>IF(DATE(PlanYear,1,1)+222&lt;=DATE(PlanYear+1,1,31),DATE(PlanYear,1,1)+222,"")</f>
        <v/>
      </c>
      <c r="B228" s="31">
        <f>IF(A228="","",TEXT(A228,"ddd"))</f>
        <v/>
      </c>
      <c r="C228" s="32" t="n"/>
    </row>
    <row r="229">
      <c r="A229" s="30">
        <f>IF(DATE(PlanYear,1,1)+223&lt;=DATE(PlanYear+1,1,31),DATE(PlanYear,1,1)+223,"")</f>
        <v/>
      </c>
      <c r="B229" s="31">
        <f>IF(A229="","",TEXT(A229,"ddd"))</f>
        <v/>
      </c>
      <c r="C229" s="32" t="n"/>
    </row>
    <row r="230">
      <c r="A230" s="30">
        <f>IF(DATE(PlanYear,1,1)+224&lt;=DATE(PlanYear+1,1,31),DATE(PlanYear,1,1)+224,"")</f>
        <v/>
      </c>
      <c r="B230" s="31">
        <f>IF(A230="","",TEXT(A230,"ddd"))</f>
        <v/>
      </c>
      <c r="C230" s="32" t="n"/>
    </row>
    <row r="231">
      <c r="A231" s="30">
        <f>IF(DATE(PlanYear,1,1)+225&lt;=DATE(PlanYear+1,1,31),DATE(PlanYear,1,1)+225,"")</f>
        <v/>
      </c>
      <c r="B231" s="31">
        <f>IF(A231="","",TEXT(A231,"ddd"))</f>
        <v/>
      </c>
      <c r="C231" s="32" t="n"/>
    </row>
    <row r="232">
      <c r="A232" s="30">
        <f>IF(DATE(PlanYear,1,1)+226&lt;=DATE(PlanYear+1,1,31),DATE(PlanYear,1,1)+226,"")</f>
        <v/>
      </c>
      <c r="B232" s="31">
        <f>IF(A232="","",TEXT(A232,"ddd"))</f>
        <v/>
      </c>
      <c r="C232" s="32" t="n"/>
    </row>
    <row r="233">
      <c r="A233" s="30">
        <f>IF(DATE(PlanYear,1,1)+227&lt;=DATE(PlanYear+1,1,31),DATE(PlanYear,1,1)+227,"")</f>
        <v/>
      </c>
      <c r="B233" s="31">
        <f>IF(A233="","",TEXT(A233,"ddd"))</f>
        <v/>
      </c>
      <c r="C233" s="32" t="n"/>
    </row>
    <row r="234">
      <c r="A234" s="30">
        <f>IF(DATE(PlanYear,1,1)+228&lt;=DATE(PlanYear+1,1,31),DATE(PlanYear,1,1)+228,"")</f>
        <v/>
      </c>
      <c r="B234" s="31">
        <f>IF(A234="","",TEXT(A234,"ddd"))</f>
        <v/>
      </c>
      <c r="C234" s="32" t="n"/>
    </row>
    <row r="235">
      <c r="A235" s="30">
        <f>IF(DATE(PlanYear,1,1)+229&lt;=DATE(PlanYear+1,1,31),DATE(PlanYear,1,1)+229,"")</f>
        <v/>
      </c>
      <c r="B235" s="31">
        <f>IF(A235="","",TEXT(A235,"ddd"))</f>
        <v/>
      </c>
      <c r="C235" s="32" t="n"/>
    </row>
    <row r="236">
      <c r="A236" s="30">
        <f>IF(DATE(PlanYear,1,1)+230&lt;=DATE(PlanYear+1,1,31),DATE(PlanYear,1,1)+230,"")</f>
        <v/>
      </c>
      <c r="B236" s="31">
        <f>IF(A236="","",TEXT(A236,"ddd"))</f>
        <v/>
      </c>
      <c r="C236" s="32" t="n"/>
    </row>
    <row r="237">
      <c r="A237" s="30">
        <f>IF(DATE(PlanYear,1,1)+231&lt;=DATE(PlanYear+1,1,31),DATE(PlanYear,1,1)+231,"")</f>
        <v/>
      </c>
      <c r="B237" s="31">
        <f>IF(A237="","",TEXT(A237,"ddd"))</f>
        <v/>
      </c>
      <c r="C237" s="32" t="n"/>
    </row>
    <row r="238">
      <c r="A238" s="30">
        <f>IF(DATE(PlanYear,1,1)+232&lt;=DATE(PlanYear+1,1,31),DATE(PlanYear,1,1)+232,"")</f>
        <v/>
      </c>
      <c r="B238" s="31">
        <f>IF(A238="","",TEXT(A238,"ddd"))</f>
        <v/>
      </c>
      <c r="C238" s="32" t="n"/>
    </row>
    <row r="239">
      <c r="A239" s="30">
        <f>IF(DATE(PlanYear,1,1)+233&lt;=DATE(PlanYear+1,1,31),DATE(PlanYear,1,1)+233,"")</f>
        <v/>
      </c>
      <c r="B239" s="31">
        <f>IF(A239="","",TEXT(A239,"ddd"))</f>
        <v/>
      </c>
      <c r="C239" s="32" t="n"/>
    </row>
    <row r="240">
      <c r="A240" s="30">
        <f>IF(DATE(PlanYear,1,1)+234&lt;=DATE(PlanYear+1,1,31),DATE(PlanYear,1,1)+234,"")</f>
        <v/>
      </c>
      <c r="B240" s="31">
        <f>IF(A240="","",TEXT(A240,"ddd"))</f>
        <v/>
      </c>
      <c r="C240" s="32" t="n"/>
    </row>
    <row r="241">
      <c r="A241" s="30">
        <f>IF(DATE(PlanYear,1,1)+235&lt;=DATE(PlanYear+1,1,31),DATE(PlanYear,1,1)+235,"")</f>
        <v/>
      </c>
      <c r="B241" s="31">
        <f>IF(A241="","",TEXT(A241,"ddd"))</f>
        <v/>
      </c>
      <c r="C241" s="32" t="n"/>
    </row>
    <row r="242">
      <c r="A242" s="30">
        <f>IF(DATE(PlanYear,1,1)+236&lt;=DATE(PlanYear+1,1,31),DATE(PlanYear,1,1)+236,"")</f>
        <v/>
      </c>
      <c r="B242" s="31">
        <f>IF(A242="","",TEXT(A242,"ddd"))</f>
        <v/>
      </c>
      <c r="C242" s="32" t="n"/>
    </row>
    <row r="243">
      <c r="A243" s="30">
        <f>IF(DATE(PlanYear,1,1)+237&lt;=DATE(PlanYear+1,1,31),DATE(PlanYear,1,1)+237,"")</f>
        <v/>
      </c>
      <c r="B243" s="31">
        <f>IF(A243="","",TEXT(A243,"ddd"))</f>
        <v/>
      </c>
      <c r="C243" s="32" t="n"/>
    </row>
    <row r="244">
      <c r="A244" s="30">
        <f>IF(DATE(PlanYear,1,1)+238&lt;=DATE(PlanYear+1,1,31),DATE(PlanYear,1,1)+238,"")</f>
        <v/>
      </c>
      <c r="B244" s="31">
        <f>IF(A244="","",TEXT(A244,"ddd"))</f>
        <v/>
      </c>
      <c r="C244" s="32" t="n"/>
    </row>
    <row r="245">
      <c r="A245" s="30">
        <f>IF(DATE(PlanYear,1,1)+239&lt;=DATE(PlanYear+1,1,31),DATE(PlanYear,1,1)+239,"")</f>
        <v/>
      </c>
      <c r="B245" s="31">
        <f>IF(A245="","",TEXT(A245,"ddd"))</f>
        <v/>
      </c>
      <c r="C245" s="32" t="n"/>
    </row>
    <row r="246">
      <c r="A246" s="30">
        <f>IF(DATE(PlanYear,1,1)+240&lt;=DATE(PlanYear+1,1,31),DATE(PlanYear,1,1)+240,"")</f>
        <v/>
      </c>
      <c r="B246" s="31">
        <f>IF(A246="","",TEXT(A246,"ddd"))</f>
        <v/>
      </c>
      <c r="C246" s="32" t="n"/>
    </row>
    <row r="247">
      <c r="A247" s="30">
        <f>IF(DATE(PlanYear,1,1)+241&lt;=DATE(PlanYear+1,1,31),DATE(PlanYear,1,1)+241,"")</f>
        <v/>
      </c>
      <c r="B247" s="31">
        <f>IF(A247="","",TEXT(A247,"ddd"))</f>
        <v/>
      </c>
      <c r="C247" s="32" t="n"/>
    </row>
    <row r="248">
      <c r="A248" s="30">
        <f>IF(DATE(PlanYear,1,1)+242&lt;=DATE(PlanYear+1,1,31),DATE(PlanYear,1,1)+242,"")</f>
        <v/>
      </c>
      <c r="B248" s="31">
        <f>IF(A248="","",TEXT(A248,"ddd"))</f>
        <v/>
      </c>
      <c r="C248" s="32" t="n"/>
    </row>
    <row r="249">
      <c r="A249" s="30">
        <f>IF(DATE(PlanYear,1,1)+243&lt;=DATE(PlanYear+1,1,31),DATE(PlanYear,1,1)+243,"")</f>
        <v/>
      </c>
      <c r="B249" s="31">
        <f>IF(A249="","",TEXT(A249,"ddd"))</f>
        <v/>
      </c>
      <c r="C249" s="32" t="n"/>
    </row>
    <row r="250">
      <c r="A250" s="30">
        <f>IF(DATE(PlanYear,1,1)+244&lt;=DATE(PlanYear+1,1,31),DATE(PlanYear,1,1)+244,"")</f>
        <v/>
      </c>
      <c r="B250" s="31">
        <f>IF(A250="","",TEXT(A250,"ddd"))</f>
        <v/>
      </c>
      <c r="C250" s="32" t="n"/>
    </row>
    <row r="251">
      <c r="A251" s="30">
        <f>IF(DATE(PlanYear,1,1)+245&lt;=DATE(PlanYear+1,1,31),DATE(PlanYear,1,1)+245,"")</f>
        <v/>
      </c>
      <c r="B251" s="31">
        <f>IF(A251="","",TEXT(A251,"ddd"))</f>
        <v/>
      </c>
      <c r="C251" s="32" t="n"/>
    </row>
    <row r="252">
      <c r="A252" s="30">
        <f>IF(DATE(PlanYear,1,1)+246&lt;=DATE(PlanYear+1,1,31),DATE(PlanYear,1,1)+246,"")</f>
        <v/>
      </c>
      <c r="B252" s="31">
        <f>IF(A252="","",TEXT(A252,"ddd"))</f>
        <v/>
      </c>
      <c r="C252" s="32" t="n"/>
    </row>
    <row r="253">
      <c r="A253" s="30">
        <f>IF(DATE(PlanYear,1,1)+247&lt;=DATE(PlanYear+1,1,31),DATE(PlanYear,1,1)+247,"")</f>
        <v/>
      </c>
      <c r="B253" s="31">
        <f>IF(A253="","",TEXT(A253,"ddd"))</f>
        <v/>
      </c>
      <c r="C253" s="32" t="n"/>
    </row>
    <row r="254">
      <c r="A254" s="30">
        <f>IF(DATE(PlanYear,1,1)+248&lt;=DATE(PlanYear+1,1,31),DATE(PlanYear,1,1)+248,"")</f>
        <v/>
      </c>
      <c r="B254" s="31">
        <f>IF(A254="","",TEXT(A254,"ddd"))</f>
        <v/>
      </c>
      <c r="C254" s="32" t="n"/>
    </row>
    <row r="255">
      <c r="A255" s="30">
        <f>IF(DATE(PlanYear,1,1)+249&lt;=DATE(PlanYear+1,1,31),DATE(PlanYear,1,1)+249,"")</f>
        <v/>
      </c>
      <c r="B255" s="31">
        <f>IF(A255="","",TEXT(A255,"ddd"))</f>
        <v/>
      </c>
      <c r="C255" s="32" t="n"/>
    </row>
    <row r="256">
      <c r="A256" s="30">
        <f>IF(DATE(PlanYear,1,1)+250&lt;=DATE(PlanYear+1,1,31),DATE(PlanYear,1,1)+250,"")</f>
        <v/>
      </c>
      <c r="B256" s="31">
        <f>IF(A256="","",TEXT(A256,"ddd"))</f>
        <v/>
      </c>
      <c r="C256" s="32" t="n"/>
    </row>
    <row r="257">
      <c r="A257" s="30">
        <f>IF(DATE(PlanYear,1,1)+251&lt;=DATE(PlanYear+1,1,31),DATE(PlanYear,1,1)+251,"")</f>
        <v/>
      </c>
      <c r="B257" s="31">
        <f>IF(A257="","",TEXT(A257,"ddd"))</f>
        <v/>
      </c>
      <c r="C257" s="32" t="n"/>
    </row>
    <row r="258">
      <c r="A258" s="30">
        <f>IF(DATE(PlanYear,1,1)+252&lt;=DATE(PlanYear+1,1,31),DATE(PlanYear,1,1)+252,"")</f>
        <v/>
      </c>
      <c r="B258" s="31">
        <f>IF(A258="","",TEXT(A258,"ddd"))</f>
        <v/>
      </c>
      <c r="C258" s="32" t="n"/>
    </row>
    <row r="259">
      <c r="A259" s="30">
        <f>IF(DATE(PlanYear,1,1)+253&lt;=DATE(PlanYear+1,1,31),DATE(PlanYear,1,1)+253,"")</f>
        <v/>
      </c>
      <c r="B259" s="31">
        <f>IF(A259="","",TEXT(A259,"ddd"))</f>
        <v/>
      </c>
      <c r="C259" s="32" t="n"/>
    </row>
    <row r="260">
      <c r="A260" s="30">
        <f>IF(DATE(PlanYear,1,1)+254&lt;=DATE(PlanYear+1,1,31),DATE(PlanYear,1,1)+254,"")</f>
        <v/>
      </c>
      <c r="B260" s="31">
        <f>IF(A260="","",TEXT(A260,"ddd"))</f>
        <v/>
      </c>
      <c r="C260" s="32" t="n"/>
    </row>
    <row r="261">
      <c r="A261" s="30">
        <f>IF(DATE(PlanYear,1,1)+255&lt;=DATE(PlanYear+1,1,31),DATE(PlanYear,1,1)+255,"")</f>
        <v/>
      </c>
      <c r="B261" s="31">
        <f>IF(A261="","",TEXT(A261,"ddd"))</f>
        <v/>
      </c>
      <c r="C261" s="32" t="n"/>
    </row>
    <row r="262">
      <c r="A262" s="30">
        <f>IF(DATE(PlanYear,1,1)+256&lt;=DATE(PlanYear+1,1,31),DATE(PlanYear,1,1)+256,"")</f>
        <v/>
      </c>
      <c r="B262" s="31">
        <f>IF(A262="","",TEXT(A262,"ddd"))</f>
        <v/>
      </c>
      <c r="C262" s="32" t="n"/>
    </row>
    <row r="263">
      <c r="A263" s="30">
        <f>IF(DATE(PlanYear,1,1)+257&lt;=DATE(PlanYear+1,1,31),DATE(PlanYear,1,1)+257,"")</f>
        <v/>
      </c>
      <c r="B263" s="31">
        <f>IF(A263="","",TEXT(A263,"ddd"))</f>
        <v/>
      </c>
      <c r="C263" s="32" t="n"/>
    </row>
    <row r="264">
      <c r="A264" s="30">
        <f>IF(DATE(PlanYear,1,1)+258&lt;=DATE(PlanYear+1,1,31),DATE(PlanYear,1,1)+258,"")</f>
        <v/>
      </c>
      <c r="B264" s="31">
        <f>IF(A264="","",TEXT(A264,"ddd"))</f>
        <v/>
      </c>
      <c r="C264" s="32" t="n"/>
    </row>
    <row r="265">
      <c r="A265" s="30">
        <f>IF(DATE(PlanYear,1,1)+259&lt;=DATE(PlanYear+1,1,31),DATE(PlanYear,1,1)+259,"")</f>
        <v/>
      </c>
      <c r="B265" s="31">
        <f>IF(A265="","",TEXT(A265,"ddd"))</f>
        <v/>
      </c>
      <c r="C265" s="32" t="n"/>
    </row>
    <row r="266">
      <c r="A266" s="30">
        <f>IF(DATE(PlanYear,1,1)+260&lt;=DATE(PlanYear+1,1,31),DATE(PlanYear,1,1)+260,"")</f>
        <v/>
      </c>
      <c r="B266" s="31">
        <f>IF(A266="","",TEXT(A266,"ddd"))</f>
        <v/>
      </c>
      <c r="C266" s="32" t="n"/>
    </row>
    <row r="267">
      <c r="A267" s="30">
        <f>IF(DATE(PlanYear,1,1)+261&lt;=DATE(PlanYear+1,1,31),DATE(PlanYear,1,1)+261,"")</f>
        <v/>
      </c>
      <c r="B267" s="31">
        <f>IF(A267="","",TEXT(A267,"ddd"))</f>
        <v/>
      </c>
      <c r="C267" s="32" t="n"/>
    </row>
    <row r="268">
      <c r="A268" s="30">
        <f>IF(DATE(PlanYear,1,1)+262&lt;=DATE(PlanYear+1,1,31),DATE(PlanYear,1,1)+262,"")</f>
        <v/>
      </c>
      <c r="B268" s="31">
        <f>IF(A268="","",TEXT(A268,"ddd"))</f>
        <v/>
      </c>
      <c r="C268" s="32" t="n"/>
    </row>
    <row r="269">
      <c r="A269" s="30">
        <f>IF(DATE(PlanYear,1,1)+263&lt;=DATE(PlanYear+1,1,31),DATE(PlanYear,1,1)+263,"")</f>
        <v/>
      </c>
      <c r="B269" s="31">
        <f>IF(A269="","",TEXT(A269,"ddd"))</f>
        <v/>
      </c>
      <c r="C269" s="32" t="n"/>
    </row>
    <row r="270">
      <c r="A270" s="30">
        <f>IF(DATE(PlanYear,1,1)+264&lt;=DATE(PlanYear+1,1,31),DATE(PlanYear,1,1)+264,"")</f>
        <v/>
      </c>
      <c r="B270" s="31">
        <f>IF(A270="","",TEXT(A270,"ddd"))</f>
        <v/>
      </c>
      <c r="C270" s="32" t="n"/>
    </row>
    <row r="271">
      <c r="A271" s="30">
        <f>IF(DATE(PlanYear,1,1)+265&lt;=DATE(PlanYear+1,1,31),DATE(PlanYear,1,1)+265,"")</f>
        <v/>
      </c>
      <c r="B271" s="31">
        <f>IF(A271="","",TEXT(A271,"ddd"))</f>
        <v/>
      </c>
      <c r="C271" s="32" t="n"/>
    </row>
    <row r="272">
      <c r="A272" s="30">
        <f>IF(DATE(PlanYear,1,1)+266&lt;=DATE(PlanYear+1,1,31),DATE(PlanYear,1,1)+266,"")</f>
        <v/>
      </c>
      <c r="B272" s="31">
        <f>IF(A272="","",TEXT(A272,"ddd"))</f>
        <v/>
      </c>
      <c r="C272" s="32" t="n"/>
    </row>
    <row r="273">
      <c r="A273" s="30">
        <f>IF(DATE(PlanYear,1,1)+267&lt;=DATE(PlanYear+1,1,31),DATE(PlanYear,1,1)+267,"")</f>
        <v/>
      </c>
      <c r="B273" s="31">
        <f>IF(A273="","",TEXT(A273,"ddd"))</f>
        <v/>
      </c>
      <c r="C273" s="32" t="n"/>
    </row>
    <row r="274">
      <c r="A274" s="30">
        <f>IF(DATE(PlanYear,1,1)+268&lt;=DATE(PlanYear+1,1,31),DATE(PlanYear,1,1)+268,"")</f>
        <v/>
      </c>
      <c r="B274" s="31">
        <f>IF(A274="","",TEXT(A274,"ddd"))</f>
        <v/>
      </c>
      <c r="C274" s="32" t="n"/>
    </row>
    <row r="275">
      <c r="A275" s="30">
        <f>IF(DATE(PlanYear,1,1)+269&lt;=DATE(PlanYear+1,1,31),DATE(PlanYear,1,1)+269,"")</f>
        <v/>
      </c>
      <c r="B275" s="31">
        <f>IF(A275="","",TEXT(A275,"ddd"))</f>
        <v/>
      </c>
      <c r="C275" s="32" t="n"/>
    </row>
    <row r="276">
      <c r="A276" s="30">
        <f>IF(DATE(PlanYear,1,1)+270&lt;=DATE(PlanYear+1,1,31),DATE(PlanYear,1,1)+270,"")</f>
        <v/>
      </c>
      <c r="B276" s="31">
        <f>IF(A276="","",TEXT(A276,"ddd"))</f>
        <v/>
      </c>
      <c r="C276" s="32" t="n"/>
    </row>
    <row r="277">
      <c r="A277" s="30">
        <f>IF(DATE(PlanYear,1,1)+271&lt;=DATE(PlanYear+1,1,31),DATE(PlanYear,1,1)+271,"")</f>
        <v/>
      </c>
      <c r="B277" s="31">
        <f>IF(A277="","",TEXT(A277,"ddd"))</f>
        <v/>
      </c>
      <c r="C277" s="32" t="n"/>
    </row>
    <row r="278">
      <c r="A278" s="30">
        <f>IF(DATE(PlanYear,1,1)+272&lt;=DATE(PlanYear+1,1,31),DATE(PlanYear,1,1)+272,"")</f>
        <v/>
      </c>
      <c r="B278" s="31">
        <f>IF(A278="","",TEXT(A278,"ddd"))</f>
        <v/>
      </c>
      <c r="C278" s="32" t="n"/>
    </row>
    <row r="279">
      <c r="A279" s="30">
        <f>IF(DATE(PlanYear,1,1)+273&lt;=DATE(PlanYear+1,1,31),DATE(PlanYear,1,1)+273,"")</f>
        <v/>
      </c>
      <c r="B279" s="31">
        <f>IF(A279="","",TEXT(A279,"ddd"))</f>
        <v/>
      </c>
      <c r="C279" s="32" t="n"/>
    </row>
    <row r="280">
      <c r="A280" s="30">
        <f>IF(DATE(PlanYear,1,1)+274&lt;=DATE(PlanYear+1,1,31),DATE(PlanYear,1,1)+274,"")</f>
        <v/>
      </c>
      <c r="B280" s="31">
        <f>IF(A280="","",TEXT(A280,"ddd"))</f>
        <v/>
      </c>
      <c r="C280" s="32" t="n"/>
    </row>
    <row r="281">
      <c r="A281" s="30">
        <f>IF(DATE(PlanYear,1,1)+275&lt;=DATE(PlanYear+1,1,31),DATE(PlanYear,1,1)+275,"")</f>
        <v/>
      </c>
      <c r="B281" s="31">
        <f>IF(A281="","",TEXT(A281,"ddd"))</f>
        <v/>
      </c>
      <c r="C281" s="32" t="n"/>
    </row>
    <row r="282">
      <c r="A282" s="30">
        <f>IF(DATE(PlanYear,1,1)+276&lt;=DATE(PlanYear+1,1,31),DATE(PlanYear,1,1)+276,"")</f>
        <v/>
      </c>
      <c r="B282" s="31">
        <f>IF(A282="","",TEXT(A282,"ddd"))</f>
        <v/>
      </c>
      <c r="C282" s="32" t="n"/>
    </row>
    <row r="283">
      <c r="A283" s="30">
        <f>IF(DATE(PlanYear,1,1)+277&lt;=DATE(PlanYear+1,1,31),DATE(PlanYear,1,1)+277,"")</f>
        <v/>
      </c>
      <c r="B283" s="31">
        <f>IF(A283="","",TEXT(A283,"ddd"))</f>
        <v/>
      </c>
      <c r="C283" s="32" t="n"/>
    </row>
    <row r="284">
      <c r="A284" s="30">
        <f>IF(DATE(PlanYear,1,1)+278&lt;=DATE(PlanYear+1,1,31),DATE(PlanYear,1,1)+278,"")</f>
        <v/>
      </c>
      <c r="B284" s="31">
        <f>IF(A284="","",TEXT(A284,"ddd"))</f>
        <v/>
      </c>
      <c r="C284" s="32" t="n"/>
    </row>
    <row r="285">
      <c r="A285" s="30">
        <f>IF(DATE(PlanYear,1,1)+279&lt;=DATE(PlanYear+1,1,31),DATE(PlanYear,1,1)+279,"")</f>
        <v/>
      </c>
      <c r="B285" s="31">
        <f>IF(A285="","",TEXT(A285,"ddd"))</f>
        <v/>
      </c>
      <c r="C285" s="32" t="n"/>
    </row>
    <row r="286">
      <c r="A286" s="30">
        <f>IF(DATE(PlanYear,1,1)+280&lt;=DATE(PlanYear+1,1,31),DATE(PlanYear,1,1)+280,"")</f>
        <v/>
      </c>
      <c r="B286" s="31">
        <f>IF(A286="","",TEXT(A286,"ddd"))</f>
        <v/>
      </c>
      <c r="C286" s="32" t="n"/>
    </row>
    <row r="287">
      <c r="A287" s="30">
        <f>IF(DATE(PlanYear,1,1)+281&lt;=DATE(PlanYear+1,1,31),DATE(PlanYear,1,1)+281,"")</f>
        <v/>
      </c>
      <c r="B287" s="31">
        <f>IF(A287="","",TEXT(A287,"ddd"))</f>
        <v/>
      </c>
      <c r="C287" s="32" t="inlineStr">
        <is>
          <t>Maintenance</t>
        </is>
      </c>
    </row>
    <row r="288">
      <c r="A288" s="30">
        <f>IF(DATE(PlanYear,1,1)+282&lt;=DATE(PlanYear+1,1,31),DATE(PlanYear,1,1)+282,"")</f>
        <v/>
      </c>
      <c r="B288" s="31">
        <f>IF(A288="","",TEXT(A288,"ddd"))</f>
        <v/>
      </c>
      <c r="C288" s="32" t="n"/>
    </row>
    <row r="289">
      <c r="A289" s="30">
        <f>IF(DATE(PlanYear,1,1)+283&lt;=DATE(PlanYear+1,1,31),DATE(PlanYear,1,1)+283,"")</f>
        <v/>
      </c>
      <c r="B289" s="31">
        <f>IF(A289="","",TEXT(A289,"ddd"))</f>
        <v/>
      </c>
      <c r="C289" s="32" t="n"/>
    </row>
    <row r="290">
      <c r="A290" s="30">
        <f>IF(DATE(PlanYear,1,1)+284&lt;=DATE(PlanYear+1,1,31),DATE(PlanYear,1,1)+284,"")</f>
        <v/>
      </c>
      <c r="B290" s="31">
        <f>IF(A290="","",TEXT(A290,"ddd"))</f>
        <v/>
      </c>
      <c r="C290" s="32" t="n"/>
    </row>
    <row r="291">
      <c r="A291" s="30">
        <f>IF(DATE(PlanYear,1,1)+285&lt;=DATE(PlanYear+1,1,31),DATE(PlanYear,1,1)+285,"")</f>
        <v/>
      </c>
      <c r="B291" s="31">
        <f>IF(A291="","",TEXT(A291,"ddd"))</f>
        <v/>
      </c>
      <c r="C291" s="32" t="n"/>
    </row>
    <row r="292">
      <c r="A292" s="30">
        <f>IF(DATE(PlanYear,1,1)+286&lt;=DATE(PlanYear+1,1,31),DATE(PlanYear,1,1)+286,"")</f>
        <v/>
      </c>
      <c r="B292" s="31">
        <f>IF(A292="","",TEXT(A292,"ddd"))</f>
        <v/>
      </c>
      <c r="C292" s="32" t="n"/>
    </row>
    <row r="293">
      <c r="A293" s="30">
        <f>IF(DATE(PlanYear,1,1)+287&lt;=DATE(PlanYear+1,1,31),DATE(PlanYear,1,1)+287,"")</f>
        <v/>
      </c>
      <c r="B293" s="31">
        <f>IF(A293="","",TEXT(A293,"ddd"))</f>
        <v/>
      </c>
      <c r="C293" s="32" t="n"/>
    </row>
    <row r="294">
      <c r="A294" s="30">
        <f>IF(DATE(PlanYear,1,1)+288&lt;=DATE(PlanYear+1,1,31),DATE(PlanYear,1,1)+288,"")</f>
        <v/>
      </c>
      <c r="B294" s="31">
        <f>IF(A294="","",TEXT(A294,"ddd"))</f>
        <v/>
      </c>
      <c r="C294" s="32" t="inlineStr">
        <is>
          <t>Stand-down</t>
        </is>
      </c>
    </row>
    <row r="295">
      <c r="A295" s="30">
        <f>IF(DATE(PlanYear,1,1)+289&lt;=DATE(PlanYear+1,1,31),DATE(PlanYear,1,1)+289,"")</f>
        <v/>
      </c>
      <c r="B295" s="31">
        <f>IF(A295="","",TEXT(A295,"ddd"))</f>
        <v/>
      </c>
      <c r="C295" s="32" t="n"/>
    </row>
    <row r="296">
      <c r="A296" s="30">
        <f>IF(DATE(PlanYear,1,1)+290&lt;=DATE(PlanYear+1,1,31),DATE(PlanYear,1,1)+290,"")</f>
        <v/>
      </c>
      <c r="B296" s="31">
        <f>IF(A296="","",TEXT(A296,"ddd"))</f>
        <v/>
      </c>
      <c r="C296" s="32" t="n"/>
    </row>
    <row r="297">
      <c r="A297" s="30">
        <f>IF(DATE(PlanYear,1,1)+291&lt;=DATE(PlanYear+1,1,31),DATE(PlanYear,1,1)+291,"")</f>
        <v/>
      </c>
      <c r="B297" s="31">
        <f>IF(A297="","",TEXT(A297,"ddd"))</f>
        <v/>
      </c>
      <c r="C297" s="32" t="n"/>
    </row>
    <row r="298">
      <c r="A298" s="30">
        <f>IF(DATE(PlanYear,1,1)+292&lt;=DATE(PlanYear+1,1,31),DATE(PlanYear,1,1)+292,"")</f>
        <v/>
      </c>
      <c r="B298" s="31">
        <f>IF(A298="","",TEXT(A298,"ddd"))</f>
        <v/>
      </c>
      <c r="C298" s="32" t="n"/>
    </row>
    <row r="299">
      <c r="A299" s="30">
        <f>IF(DATE(PlanYear,1,1)+293&lt;=DATE(PlanYear+1,1,31),DATE(PlanYear,1,1)+293,"")</f>
        <v/>
      </c>
      <c r="B299" s="31">
        <f>IF(A299="","",TEXT(A299,"ddd"))</f>
        <v/>
      </c>
      <c r="C299" s="32" t="n"/>
    </row>
    <row r="300">
      <c r="A300" s="30">
        <f>IF(DATE(PlanYear,1,1)+294&lt;=DATE(PlanYear+1,1,31),DATE(PlanYear,1,1)+294,"")</f>
        <v/>
      </c>
      <c r="B300" s="31">
        <f>IF(A300="","",TEXT(A300,"ddd"))</f>
        <v/>
      </c>
      <c r="C300" s="32" t="n"/>
    </row>
    <row r="301">
      <c r="A301" s="30">
        <f>IF(DATE(PlanYear,1,1)+295&lt;=DATE(PlanYear+1,1,31),DATE(PlanYear,1,1)+295,"")</f>
        <v/>
      </c>
      <c r="B301" s="31">
        <f>IF(A301="","",TEXT(A301,"ddd"))</f>
        <v/>
      </c>
      <c r="C301" s="32" t="n"/>
    </row>
    <row r="302">
      <c r="A302" s="30">
        <f>IF(DATE(PlanYear,1,1)+296&lt;=DATE(PlanYear+1,1,31),DATE(PlanYear,1,1)+296,"")</f>
        <v/>
      </c>
      <c r="B302" s="31">
        <f>IF(A302="","",TEXT(A302,"ddd"))</f>
        <v/>
      </c>
      <c r="C302" s="32" t="n"/>
    </row>
    <row r="303">
      <c r="A303" s="30">
        <f>IF(DATE(PlanYear,1,1)+297&lt;=DATE(PlanYear+1,1,31),DATE(PlanYear,1,1)+297,"")</f>
        <v/>
      </c>
      <c r="B303" s="31">
        <f>IF(A303="","",TEXT(A303,"ddd"))</f>
        <v/>
      </c>
      <c r="C303" s="32" t="n"/>
    </row>
    <row r="304">
      <c r="A304" s="30">
        <f>IF(DATE(PlanYear,1,1)+298&lt;=DATE(PlanYear+1,1,31),DATE(PlanYear,1,1)+298,"")</f>
        <v/>
      </c>
      <c r="B304" s="31">
        <f>IF(A304="","",TEXT(A304,"ddd"))</f>
        <v/>
      </c>
      <c r="C304" s="32" t="n"/>
    </row>
    <row r="305">
      <c r="A305" s="30">
        <f>IF(DATE(PlanYear,1,1)+299&lt;=DATE(PlanYear+1,1,31),DATE(PlanYear,1,1)+299,"")</f>
        <v/>
      </c>
      <c r="B305" s="31">
        <f>IF(A305="","",TEXT(A305,"ddd"))</f>
        <v/>
      </c>
      <c r="C305" s="32" t="n"/>
    </row>
    <row r="306">
      <c r="A306" s="30">
        <f>IF(DATE(PlanYear,1,1)+300&lt;=DATE(PlanYear+1,1,31),DATE(PlanYear,1,1)+300,"")</f>
        <v/>
      </c>
      <c r="B306" s="31">
        <f>IF(A306="","",TEXT(A306,"ddd"))</f>
        <v/>
      </c>
      <c r="C306" s="32" t="n"/>
    </row>
    <row r="307">
      <c r="A307" s="30">
        <f>IF(DATE(PlanYear,1,1)+301&lt;=DATE(PlanYear+1,1,31),DATE(PlanYear,1,1)+301,"")</f>
        <v/>
      </c>
      <c r="B307" s="31">
        <f>IF(A307="","",TEXT(A307,"ddd"))</f>
        <v/>
      </c>
      <c r="C307" s="32" t="n"/>
    </row>
    <row r="308">
      <c r="A308" s="30">
        <f>IF(DATE(PlanYear,1,1)+302&lt;=DATE(PlanYear+1,1,31),DATE(PlanYear,1,1)+302,"")</f>
        <v/>
      </c>
      <c r="B308" s="31">
        <f>IF(A308="","",TEXT(A308,"ddd"))</f>
        <v/>
      </c>
      <c r="C308" s="32" t="n"/>
    </row>
    <row r="309">
      <c r="A309" s="30">
        <f>IF(DATE(PlanYear,1,1)+303&lt;=DATE(PlanYear+1,1,31),DATE(PlanYear,1,1)+303,"")</f>
        <v/>
      </c>
      <c r="B309" s="31">
        <f>IF(A309="","",TEXT(A309,"ddd"))</f>
        <v/>
      </c>
      <c r="C309" s="32" t="n"/>
    </row>
    <row r="310">
      <c r="A310" s="30">
        <f>IF(DATE(PlanYear,1,1)+304&lt;=DATE(PlanYear+1,1,31),DATE(PlanYear,1,1)+304,"")</f>
        <v/>
      </c>
      <c r="B310" s="31">
        <f>IF(A310="","",TEXT(A310,"ddd"))</f>
        <v/>
      </c>
      <c r="C310" s="32" t="n"/>
    </row>
    <row r="311">
      <c r="A311" s="30">
        <f>IF(DATE(PlanYear,1,1)+305&lt;=DATE(PlanYear+1,1,31),DATE(PlanYear,1,1)+305,"")</f>
        <v/>
      </c>
      <c r="B311" s="31">
        <f>IF(A311="","",TEXT(A311,"ddd"))</f>
        <v/>
      </c>
      <c r="C311" s="32" t="n"/>
    </row>
    <row r="312">
      <c r="A312" s="30">
        <f>IF(DATE(PlanYear,1,1)+306&lt;=DATE(PlanYear+1,1,31),DATE(PlanYear,1,1)+306,"")</f>
        <v/>
      </c>
      <c r="B312" s="31">
        <f>IF(A312="","",TEXT(A312,"ddd"))</f>
        <v/>
      </c>
      <c r="C312" s="32" t="n"/>
    </row>
    <row r="313">
      <c r="A313" s="30">
        <f>IF(DATE(PlanYear,1,1)+307&lt;=DATE(PlanYear+1,1,31),DATE(PlanYear,1,1)+307,"")</f>
        <v/>
      </c>
      <c r="B313" s="31">
        <f>IF(A313="","",TEXT(A313,"ddd"))</f>
        <v/>
      </c>
      <c r="C313" s="32" t="n"/>
    </row>
    <row r="314">
      <c r="A314" s="30">
        <f>IF(DATE(PlanYear,1,1)+308&lt;=DATE(PlanYear+1,1,31),DATE(PlanYear,1,1)+308,"")</f>
        <v/>
      </c>
      <c r="B314" s="31">
        <f>IF(A314="","",TEXT(A314,"ddd"))</f>
        <v/>
      </c>
      <c r="C314" s="32" t="n"/>
    </row>
    <row r="315">
      <c r="A315" s="30">
        <f>IF(DATE(PlanYear,1,1)+309&lt;=DATE(PlanYear+1,1,31),DATE(PlanYear,1,1)+309,"")</f>
        <v/>
      </c>
      <c r="B315" s="31">
        <f>IF(A315="","",TEXT(A315,"ddd"))</f>
        <v/>
      </c>
      <c r="C315" s="32" t="n"/>
    </row>
    <row r="316">
      <c r="A316" s="30">
        <f>IF(DATE(PlanYear,1,1)+310&lt;=DATE(PlanYear+1,1,31),DATE(PlanYear,1,1)+310,"")</f>
        <v/>
      </c>
      <c r="B316" s="31">
        <f>IF(A316="","",TEXT(A316,"ddd"))</f>
        <v/>
      </c>
      <c r="C316" s="32" t="n"/>
    </row>
    <row r="317">
      <c r="A317" s="30">
        <f>IF(DATE(PlanYear,1,1)+311&lt;=DATE(PlanYear+1,1,31),DATE(PlanYear,1,1)+311,"")</f>
        <v/>
      </c>
      <c r="B317" s="31">
        <f>IF(A317="","",TEXT(A317,"ddd"))</f>
        <v/>
      </c>
      <c r="C317" s="32" t="n"/>
    </row>
    <row r="318">
      <c r="A318" s="30">
        <f>IF(DATE(PlanYear,1,1)+312&lt;=DATE(PlanYear+1,1,31),DATE(PlanYear,1,1)+312,"")</f>
        <v/>
      </c>
      <c r="B318" s="31">
        <f>IF(A318="","",TEXT(A318,"ddd"))</f>
        <v/>
      </c>
      <c r="C318" s="32" t="inlineStr">
        <is>
          <t>Public Holiday</t>
        </is>
      </c>
    </row>
    <row r="319">
      <c r="A319" s="30">
        <f>IF(DATE(PlanYear,1,1)+313&lt;=DATE(PlanYear+1,1,31),DATE(PlanYear,1,1)+313,"")</f>
        <v/>
      </c>
      <c r="B319" s="31">
        <f>IF(A319="","",TEXT(A319,"ddd"))</f>
        <v/>
      </c>
      <c r="C319" s="32" t="n"/>
    </row>
    <row r="320">
      <c r="A320" s="30">
        <f>IF(DATE(PlanYear,1,1)+314&lt;=DATE(PlanYear+1,1,31),DATE(PlanYear,1,1)+314,"")</f>
        <v/>
      </c>
      <c r="B320" s="31">
        <f>IF(A320="","",TEXT(A320,"ddd"))</f>
        <v/>
      </c>
      <c r="C320" s="32" t="n"/>
    </row>
    <row r="321">
      <c r="A321" s="30">
        <f>IF(DATE(PlanYear,1,1)+315&lt;=DATE(PlanYear+1,1,31),DATE(PlanYear,1,1)+315,"")</f>
        <v/>
      </c>
      <c r="B321" s="31">
        <f>IF(A321="","",TEXT(A321,"ddd"))</f>
        <v/>
      </c>
      <c r="C321" s="32" t="n"/>
    </row>
    <row r="322">
      <c r="A322" s="30">
        <f>IF(DATE(PlanYear,1,1)+316&lt;=DATE(PlanYear+1,1,31),DATE(PlanYear,1,1)+316,"")</f>
        <v/>
      </c>
      <c r="B322" s="31">
        <f>IF(A322="","",TEXT(A322,"ddd"))</f>
        <v/>
      </c>
      <c r="C322" s="32" t="n"/>
    </row>
    <row r="323">
      <c r="A323" s="30">
        <f>IF(DATE(PlanYear,1,1)+317&lt;=DATE(PlanYear+1,1,31),DATE(PlanYear,1,1)+317,"")</f>
        <v/>
      </c>
      <c r="B323" s="31">
        <f>IF(A323="","",TEXT(A323,"ddd"))</f>
        <v/>
      </c>
      <c r="C323" s="32" t="n"/>
    </row>
    <row r="324">
      <c r="A324" s="30">
        <f>IF(DATE(PlanYear,1,1)+318&lt;=DATE(PlanYear+1,1,31),DATE(PlanYear,1,1)+318,"")</f>
        <v/>
      </c>
      <c r="B324" s="31">
        <f>IF(A324="","",TEXT(A324,"ddd"))</f>
        <v/>
      </c>
      <c r="C324" s="32" t="n"/>
    </row>
    <row r="325">
      <c r="A325" s="30">
        <f>IF(DATE(PlanYear,1,1)+319&lt;=DATE(PlanYear+1,1,31),DATE(PlanYear,1,1)+319,"")</f>
        <v/>
      </c>
      <c r="B325" s="31">
        <f>IF(A325="","",TEXT(A325,"ddd"))</f>
        <v/>
      </c>
      <c r="C325" s="32" t="n"/>
    </row>
    <row r="326">
      <c r="A326" s="30">
        <f>IF(DATE(PlanYear,1,1)+320&lt;=DATE(PlanYear+1,1,31),DATE(PlanYear,1,1)+320,"")</f>
        <v/>
      </c>
      <c r="B326" s="31">
        <f>IF(A326="","",TEXT(A326,"ddd"))</f>
        <v/>
      </c>
      <c r="C326" s="32" t="n"/>
    </row>
    <row r="327">
      <c r="A327" s="30">
        <f>IF(DATE(PlanYear,1,1)+321&lt;=DATE(PlanYear+1,1,31),DATE(PlanYear,1,1)+321,"")</f>
        <v/>
      </c>
      <c r="B327" s="31">
        <f>IF(A327="","",TEXT(A327,"ddd"))</f>
        <v/>
      </c>
      <c r="C327" s="32" t="n"/>
    </row>
    <row r="328">
      <c r="A328" s="30">
        <f>IF(DATE(PlanYear,1,1)+322&lt;=DATE(PlanYear+1,1,31),DATE(PlanYear,1,1)+322,"")</f>
        <v/>
      </c>
      <c r="B328" s="31">
        <f>IF(A328="","",TEXT(A328,"ddd"))</f>
        <v/>
      </c>
      <c r="C328" s="32" t="n"/>
    </row>
    <row r="329">
      <c r="A329" s="30">
        <f>IF(DATE(PlanYear,1,1)+323&lt;=DATE(PlanYear+1,1,31),DATE(PlanYear,1,1)+323,"")</f>
        <v/>
      </c>
      <c r="B329" s="31">
        <f>IF(A329="","",TEXT(A329,"ddd"))</f>
        <v/>
      </c>
      <c r="C329" s="32" t="n"/>
    </row>
    <row r="330">
      <c r="A330" s="30">
        <f>IF(DATE(PlanYear,1,1)+324&lt;=DATE(PlanYear+1,1,31),DATE(PlanYear,1,1)+324,"")</f>
        <v/>
      </c>
      <c r="B330" s="31">
        <f>IF(A330="","",TEXT(A330,"ddd"))</f>
        <v/>
      </c>
      <c r="C330" s="32" t="n"/>
    </row>
    <row r="331">
      <c r="A331" s="30">
        <f>IF(DATE(PlanYear,1,1)+325&lt;=DATE(PlanYear+1,1,31),DATE(PlanYear,1,1)+325,"")</f>
        <v/>
      </c>
      <c r="B331" s="31">
        <f>IF(A331="","",TEXT(A331,"ddd"))</f>
        <v/>
      </c>
      <c r="C331" s="32" t="n"/>
    </row>
    <row r="332">
      <c r="A332" s="30">
        <f>IF(DATE(PlanYear,1,1)+326&lt;=DATE(PlanYear+1,1,31),DATE(PlanYear,1,1)+326,"")</f>
        <v/>
      </c>
      <c r="B332" s="31">
        <f>IF(A332="","",TEXT(A332,"ddd"))</f>
        <v/>
      </c>
      <c r="C332" s="32" t="n"/>
    </row>
    <row r="333">
      <c r="A333" s="30">
        <f>IF(DATE(PlanYear,1,1)+327&lt;=DATE(PlanYear+1,1,31),DATE(PlanYear,1,1)+327,"")</f>
        <v/>
      </c>
      <c r="B333" s="31">
        <f>IF(A333="","",TEXT(A333,"ddd"))</f>
        <v/>
      </c>
      <c r="C333" s="32" t="n"/>
    </row>
    <row r="334">
      <c r="A334" s="30">
        <f>IF(DATE(PlanYear,1,1)+328&lt;=DATE(PlanYear+1,1,31),DATE(PlanYear,1,1)+328,"")</f>
        <v/>
      </c>
      <c r="B334" s="31">
        <f>IF(A334="","",TEXT(A334,"ddd"))</f>
        <v/>
      </c>
      <c r="C334" s="32" t="n"/>
    </row>
    <row r="335">
      <c r="A335" s="30">
        <f>IF(DATE(PlanYear,1,1)+329&lt;=DATE(PlanYear+1,1,31),DATE(PlanYear,1,1)+329,"")</f>
        <v/>
      </c>
      <c r="B335" s="31">
        <f>IF(A335="","",TEXT(A335,"ddd"))</f>
        <v/>
      </c>
      <c r="C335" s="32" t="n"/>
    </row>
    <row r="336">
      <c r="A336" s="30">
        <f>IF(DATE(PlanYear,1,1)+330&lt;=DATE(PlanYear+1,1,31),DATE(PlanYear,1,1)+330,"")</f>
        <v/>
      </c>
      <c r="B336" s="31">
        <f>IF(A336="","",TEXT(A336,"ddd"))</f>
        <v/>
      </c>
      <c r="C336" s="32" t="n"/>
    </row>
    <row r="337">
      <c r="A337" s="30">
        <f>IF(DATE(PlanYear,1,1)+331&lt;=DATE(PlanYear+1,1,31),DATE(PlanYear,1,1)+331,"")</f>
        <v/>
      </c>
      <c r="B337" s="31">
        <f>IF(A337="","",TEXT(A337,"ddd"))</f>
        <v/>
      </c>
      <c r="C337" s="32" t="n"/>
    </row>
    <row r="338">
      <c r="A338" s="30">
        <f>IF(DATE(PlanYear,1,1)+332&lt;=DATE(PlanYear+1,1,31),DATE(PlanYear,1,1)+332,"")</f>
        <v/>
      </c>
      <c r="B338" s="31">
        <f>IF(A338="","",TEXT(A338,"ddd"))</f>
        <v/>
      </c>
      <c r="C338" s="32" t="n"/>
    </row>
    <row r="339">
      <c r="A339" s="30">
        <f>IF(DATE(PlanYear,1,1)+333&lt;=DATE(PlanYear+1,1,31),DATE(PlanYear,1,1)+333,"")</f>
        <v/>
      </c>
      <c r="B339" s="31">
        <f>IF(A339="","",TEXT(A339,"ddd"))</f>
        <v/>
      </c>
      <c r="C339" s="32" t="n"/>
    </row>
    <row r="340">
      <c r="A340" s="30">
        <f>IF(DATE(PlanYear,1,1)+334&lt;=DATE(PlanYear+1,1,31),DATE(PlanYear,1,1)+334,"")</f>
        <v/>
      </c>
      <c r="B340" s="31">
        <f>IF(A340="","",TEXT(A340,"ddd"))</f>
        <v/>
      </c>
      <c r="C340" s="32" t="n"/>
    </row>
    <row r="341">
      <c r="A341" s="30">
        <f>IF(DATE(PlanYear,1,1)+335&lt;=DATE(PlanYear+1,1,31),DATE(PlanYear,1,1)+335,"")</f>
        <v/>
      </c>
      <c r="B341" s="31">
        <f>IF(A341="","",TEXT(A341,"ddd"))</f>
        <v/>
      </c>
      <c r="C341" s="32" t="n"/>
    </row>
    <row r="342">
      <c r="A342" s="30">
        <f>IF(DATE(PlanYear,1,1)+336&lt;=DATE(PlanYear+1,1,31),DATE(PlanYear,1,1)+336,"")</f>
        <v/>
      </c>
      <c r="B342" s="31">
        <f>IF(A342="","",TEXT(A342,"ddd"))</f>
        <v/>
      </c>
      <c r="C342" s="32" t="n"/>
    </row>
    <row r="343">
      <c r="A343" s="30">
        <f>IF(DATE(PlanYear,1,1)+337&lt;=DATE(PlanYear+1,1,31),DATE(PlanYear,1,1)+337,"")</f>
        <v/>
      </c>
      <c r="B343" s="31">
        <f>IF(A343="","",TEXT(A343,"ddd"))</f>
        <v/>
      </c>
      <c r="C343" s="32" t="n"/>
    </row>
    <row r="344">
      <c r="A344" s="30">
        <f>IF(DATE(PlanYear,1,1)+338&lt;=DATE(PlanYear+1,1,31),DATE(PlanYear,1,1)+338,"")</f>
        <v/>
      </c>
      <c r="B344" s="31">
        <f>IF(A344="","",TEXT(A344,"ddd"))</f>
        <v/>
      </c>
      <c r="C344" s="32" t="n"/>
    </row>
    <row r="345">
      <c r="A345" s="30">
        <f>IF(DATE(PlanYear,1,1)+339&lt;=DATE(PlanYear+1,1,31),DATE(PlanYear,1,1)+339,"")</f>
        <v/>
      </c>
      <c r="B345" s="31">
        <f>IF(A345="","",TEXT(A345,"ddd"))</f>
        <v/>
      </c>
      <c r="C345" s="32" t="n"/>
    </row>
    <row r="346">
      <c r="A346" s="30">
        <f>IF(DATE(PlanYear,1,1)+340&lt;=DATE(PlanYear+1,1,31),DATE(PlanYear,1,1)+340,"")</f>
        <v/>
      </c>
      <c r="B346" s="31">
        <f>IF(A346="","",TEXT(A346,"ddd"))</f>
        <v/>
      </c>
      <c r="C346" s="32" t="n"/>
    </row>
    <row r="347">
      <c r="A347" s="30">
        <f>IF(DATE(PlanYear,1,1)+341&lt;=DATE(PlanYear+1,1,31),DATE(PlanYear,1,1)+341,"")</f>
        <v/>
      </c>
      <c r="B347" s="31">
        <f>IF(A347="","",TEXT(A347,"ddd"))</f>
        <v/>
      </c>
      <c r="C347" s="32" t="n"/>
    </row>
    <row r="348">
      <c r="A348" s="30">
        <f>IF(DATE(PlanYear,1,1)+342&lt;=DATE(PlanYear+1,1,31),DATE(PlanYear,1,1)+342,"")</f>
        <v/>
      </c>
      <c r="B348" s="31">
        <f>IF(A348="","",TEXT(A348,"ddd"))</f>
        <v/>
      </c>
      <c r="C348" s="32" t="n"/>
    </row>
    <row r="349">
      <c r="A349" s="30">
        <f>IF(DATE(PlanYear,1,1)+343&lt;=DATE(PlanYear+1,1,31),DATE(PlanYear,1,1)+343,"")</f>
        <v/>
      </c>
      <c r="B349" s="31">
        <f>IF(A349="","",TEXT(A349,"ddd"))</f>
        <v/>
      </c>
      <c r="C349" s="32" t="n"/>
    </row>
    <row r="350">
      <c r="A350" s="30">
        <f>IF(DATE(PlanYear,1,1)+344&lt;=DATE(PlanYear+1,1,31),DATE(PlanYear,1,1)+344,"")</f>
        <v/>
      </c>
      <c r="B350" s="31">
        <f>IF(A350="","",TEXT(A350,"ddd"))</f>
        <v/>
      </c>
      <c r="C350" s="32" t="n"/>
    </row>
    <row r="351">
      <c r="A351" s="30">
        <f>IF(DATE(PlanYear,1,1)+345&lt;=DATE(PlanYear+1,1,31),DATE(PlanYear,1,1)+345,"")</f>
        <v/>
      </c>
      <c r="B351" s="31">
        <f>IF(A351="","",TEXT(A351,"ddd"))</f>
        <v/>
      </c>
      <c r="C351" s="32" t="n"/>
    </row>
    <row r="352">
      <c r="A352" s="30">
        <f>IF(DATE(PlanYear,1,1)+346&lt;=DATE(PlanYear+1,1,31),DATE(PlanYear,1,1)+346,"")</f>
        <v/>
      </c>
      <c r="B352" s="31">
        <f>IF(A352="","",TEXT(A352,"ddd"))</f>
        <v/>
      </c>
      <c r="C352" s="32" t="n"/>
    </row>
    <row r="353">
      <c r="A353" s="30">
        <f>IF(DATE(PlanYear,1,1)+347&lt;=DATE(PlanYear+1,1,31),DATE(PlanYear,1,1)+347,"")</f>
        <v/>
      </c>
      <c r="B353" s="31">
        <f>IF(A353="","",TEXT(A353,"ddd"))</f>
        <v/>
      </c>
      <c r="C353" s="32" t="n"/>
    </row>
    <row r="354">
      <c r="A354" s="30">
        <f>IF(DATE(PlanYear,1,1)+348&lt;=DATE(PlanYear+1,1,31),DATE(PlanYear,1,1)+348,"")</f>
        <v/>
      </c>
      <c r="B354" s="31">
        <f>IF(A354="","",TEXT(A354,"ddd"))</f>
        <v/>
      </c>
      <c r="C354" s="32" t="n"/>
    </row>
    <row r="355">
      <c r="A355" s="30">
        <f>IF(DATE(PlanYear,1,1)+349&lt;=DATE(PlanYear+1,1,31),DATE(PlanYear,1,1)+349,"")</f>
        <v/>
      </c>
      <c r="B355" s="31">
        <f>IF(A355="","",TEXT(A355,"ddd"))</f>
        <v/>
      </c>
      <c r="C355" s="32" t="n"/>
    </row>
    <row r="356">
      <c r="A356" s="30">
        <f>IF(DATE(PlanYear,1,1)+350&lt;=DATE(PlanYear+1,1,31),DATE(PlanYear,1,1)+350,"")</f>
        <v/>
      </c>
      <c r="B356" s="31">
        <f>IF(A356="","",TEXT(A356,"ddd"))</f>
        <v/>
      </c>
      <c r="C356" s="32" t="n"/>
    </row>
    <row r="357">
      <c r="A357" s="30">
        <f>IF(DATE(PlanYear,1,1)+351&lt;=DATE(PlanYear+1,1,31),DATE(PlanYear,1,1)+351,"")</f>
        <v/>
      </c>
      <c r="B357" s="31">
        <f>IF(A357="","",TEXT(A357,"ddd"))</f>
        <v/>
      </c>
      <c r="C357" s="32" t="n"/>
    </row>
    <row r="358">
      <c r="A358" s="30">
        <f>IF(DATE(PlanYear,1,1)+352&lt;=DATE(PlanYear+1,1,31),DATE(PlanYear,1,1)+352,"")</f>
        <v/>
      </c>
      <c r="B358" s="31">
        <f>IF(A358="","",TEXT(A358,"ddd"))</f>
        <v/>
      </c>
      <c r="C358" s="32" t="n"/>
    </row>
    <row r="359">
      <c r="A359" s="30">
        <f>IF(DATE(PlanYear,1,1)+353&lt;=DATE(PlanYear+1,1,31),DATE(PlanYear,1,1)+353,"")</f>
        <v/>
      </c>
      <c r="B359" s="31">
        <f>IF(A359="","",TEXT(A359,"ddd"))</f>
        <v/>
      </c>
      <c r="C359" s="32" t="n"/>
    </row>
    <row r="360">
      <c r="A360" s="30">
        <f>IF(DATE(PlanYear,1,1)+354&lt;=DATE(PlanYear+1,1,31),DATE(PlanYear,1,1)+354,"")</f>
        <v/>
      </c>
      <c r="B360" s="31">
        <f>IF(A360="","",TEXT(A360,"ddd"))</f>
        <v/>
      </c>
      <c r="C360" s="32" t="n"/>
    </row>
    <row r="361">
      <c r="A361" s="30">
        <f>IF(DATE(PlanYear,1,1)+355&lt;=DATE(PlanYear+1,1,31),DATE(PlanYear,1,1)+355,"")</f>
        <v/>
      </c>
      <c r="B361" s="31">
        <f>IF(A361="","",TEXT(A361,"ddd"))</f>
        <v/>
      </c>
      <c r="C361" s="32" t="n"/>
    </row>
    <row r="362">
      <c r="A362" s="30">
        <f>IF(DATE(PlanYear,1,1)+356&lt;=DATE(PlanYear+1,1,31),DATE(PlanYear,1,1)+356,"")</f>
        <v/>
      </c>
      <c r="B362" s="31">
        <f>IF(A362="","",TEXT(A362,"ddd"))</f>
        <v/>
      </c>
      <c r="C362" s="32" t="n"/>
    </row>
    <row r="363">
      <c r="A363" s="30">
        <f>IF(DATE(PlanYear,1,1)+357&lt;=DATE(PlanYear+1,1,31),DATE(PlanYear,1,1)+357,"")</f>
        <v/>
      </c>
      <c r="B363" s="31">
        <f>IF(A363="","",TEXT(A363,"ddd"))</f>
        <v/>
      </c>
      <c r="C363" s="32" t="n"/>
    </row>
    <row r="364">
      <c r="A364" s="30">
        <f>IF(DATE(PlanYear,1,1)+358&lt;=DATE(PlanYear+1,1,31),DATE(PlanYear,1,1)+358,"")</f>
        <v/>
      </c>
      <c r="B364" s="31">
        <f>IF(A364="","",TEXT(A364,"ddd"))</f>
        <v/>
      </c>
      <c r="C364" s="32" t="n"/>
    </row>
    <row r="365">
      <c r="A365" s="30">
        <f>IF(DATE(PlanYear,1,1)+359&lt;=DATE(PlanYear+1,1,31),DATE(PlanYear,1,1)+359,"")</f>
        <v/>
      </c>
      <c r="B365" s="31">
        <f>IF(A365="","",TEXT(A365,"ddd"))</f>
        <v/>
      </c>
      <c r="C365" s="32" t="n"/>
    </row>
    <row r="366">
      <c r="A366" s="30">
        <f>IF(DATE(PlanYear,1,1)+360&lt;=DATE(PlanYear+1,1,31),DATE(PlanYear,1,1)+360,"")</f>
        <v/>
      </c>
      <c r="B366" s="31">
        <f>IF(A366="","",TEXT(A366,"ddd"))</f>
        <v/>
      </c>
      <c r="C366" s="32" t="n"/>
    </row>
    <row r="367">
      <c r="A367" s="30">
        <f>IF(DATE(PlanYear,1,1)+361&lt;=DATE(PlanYear+1,1,31),DATE(PlanYear,1,1)+361,"")</f>
        <v/>
      </c>
      <c r="B367" s="31">
        <f>IF(A367="","",TEXT(A367,"ddd"))</f>
        <v/>
      </c>
      <c r="C367" s="32" t="n"/>
    </row>
    <row r="368">
      <c r="A368" s="30">
        <f>IF(DATE(PlanYear,1,1)+362&lt;=DATE(PlanYear+1,1,31),DATE(PlanYear,1,1)+362,"")</f>
        <v/>
      </c>
      <c r="B368" s="31">
        <f>IF(A368="","",TEXT(A368,"ddd"))</f>
        <v/>
      </c>
      <c r="C368" s="32" t="n"/>
    </row>
    <row r="369">
      <c r="A369" s="30">
        <f>IF(DATE(PlanYear,1,1)+363&lt;=DATE(PlanYear+1,1,31),DATE(PlanYear,1,1)+363,"")</f>
        <v/>
      </c>
      <c r="B369" s="31">
        <f>IF(A369="","",TEXT(A369,"ddd"))</f>
        <v/>
      </c>
      <c r="C369" s="32" t="n"/>
    </row>
    <row r="370">
      <c r="A370" s="30">
        <f>IF(DATE(PlanYear,1,1)+364&lt;=DATE(PlanYear+1,1,31),DATE(PlanYear,1,1)+364,"")</f>
        <v/>
      </c>
      <c r="B370" s="31">
        <f>IF(A370="","",TEXT(A370,"ddd"))</f>
        <v/>
      </c>
      <c r="C370" s="32" t="n"/>
    </row>
    <row r="371">
      <c r="A371" s="30">
        <f>IF(DATE(PlanYear,1,1)+365&lt;=DATE(PlanYear+1,1,31),DATE(PlanYear,1,1)+365,"")</f>
        <v/>
      </c>
      <c r="B371" s="31">
        <f>IF(A371="","",TEXT(A371,"ddd"))</f>
        <v/>
      </c>
      <c r="C371" s="32" t="inlineStr">
        <is>
          <t>Public Holiday</t>
        </is>
      </c>
    </row>
    <row r="372">
      <c r="A372" s="30">
        <f>IF(DATE(PlanYear,1,1)+366&lt;=DATE(PlanYear+1,1,31),DATE(PlanYear,1,1)+366,"")</f>
        <v/>
      </c>
      <c r="B372" s="31">
        <f>IF(A372="","",TEXT(A372,"ddd"))</f>
        <v/>
      </c>
      <c r="C372" s="32" t="n"/>
    </row>
    <row r="373">
      <c r="A373" s="30">
        <f>IF(DATE(PlanYear,1,1)+367&lt;=DATE(PlanYear+1,1,31),DATE(PlanYear,1,1)+367,"")</f>
        <v/>
      </c>
      <c r="B373" s="31">
        <f>IF(A373="","",TEXT(A373,"ddd"))</f>
        <v/>
      </c>
      <c r="C373" s="32" t="n"/>
    </row>
    <row r="374">
      <c r="A374" s="30">
        <f>IF(DATE(PlanYear,1,1)+368&lt;=DATE(PlanYear+1,1,31),DATE(PlanYear,1,1)+368,"")</f>
        <v/>
      </c>
      <c r="B374" s="31">
        <f>IF(A374="","",TEXT(A374,"ddd"))</f>
        <v/>
      </c>
      <c r="C374" s="32" t="n"/>
    </row>
    <row r="375">
      <c r="A375" s="30">
        <f>IF(DATE(PlanYear,1,1)+369&lt;=DATE(PlanYear+1,1,31),DATE(PlanYear,1,1)+369,"")</f>
        <v/>
      </c>
      <c r="B375" s="31">
        <f>IF(A375="","",TEXT(A375,"ddd"))</f>
        <v/>
      </c>
      <c r="C375" s="32" t="n"/>
    </row>
    <row r="376">
      <c r="A376" s="30">
        <f>IF(DATE(PlanYear,1,1)+370&lt;=DATE(PlanYear+1,1,31),DATE(PlanYear,1,1)+370,"")</f>
        <v/>
      </c>
      <c r="B376" s="31">
        <f>IF(A376="","",TEXT(A376,"ddd"))</f>
        <v/>
      </c>
      <c r="C376" s="32" t="n"/>
    </row>
    <row r="377">
      <c r="A377" s="30">
        <f>IF(DATE(PlanYear,1,1)+371&lt;=DATE(PlanYear+1,1,31),DATE(PlanYear,1,1)+371,"")</f>
        <v/>
      </c>
      <c r="B377" s="31">
        <f>IF(A377="","",TEXT(A377,"ddd"))</f>
        <v/>
      </c>
      <c r="C377" s="32" t="n"/>
    </row>
    <row r="378">
      <c r="A378" s="30">
        <f>IF(DATE(PlanYear,1,1)+372&lt;=DATE(PlanYear+1,1,31),DATE(PlanYear,1,1)+372,"")</f>
        <v/>
      </c>
      <c r="B378" s="31">
        <f>IF(A378="","",TEXT(A378,"ddd"))</f>
        <v/>
      </c>
      <c r="C378" s="32" t="n"/>
    </row>
    <row r="379">
      <c r="A379" s="30">
        <f>IF(DATE(PlanYear,1,1)+373&lt;=DATE(PlanYear+1,1,31),DATE(PlanYear,1,1)+373,"")</f>
        <v/>
      </c>
      <c r="B379" s="31">
        <f>IF(A379="","",TEXT(A379,"ddd"))</f>
        <v/>
      </c>
      <c r="C379" s="32" t="n"/>
    </row>
    <row r="380">
      <c r="A380" s="30">
        <f>IF(DATE(PlanYear,1,1)+374&lt;=DATE(PlanYear+1,1,31),DATE(PlanYear,1,1)+374,"")</f>
        <v/>
      </c>
      <c r="B380" s="31">
        <f>IF(A380="","",TEXT(A380,"ddd"))</f>
        <v/>
      </c>
      <c r="C380" s="32" t="n"/>
    </row>
    <row r="381">
      <c r="A381" s="30">
        <f>IF(DATE(PlanYear,1,1)+375&lt;=DATE(PlanYear+1,1,31),DATE(PlanYear,1,1)+375,"")</f>
        <v/>
      </c>
      <c r="B381" s="31">
        <f>IF(A381="","",TEXT(A381,"ddd"))</f>
        <v/>
      </c>
      <c r="C381" s="32" t="n"/>
    </row>
    <row r="382">
      <c r="A382" s="30">
        <f>IF(DATE(PlanYear,1,1)+376&lt;=DATE(PlanYear+1,1,31),DATE(PlanYear,1,1)+376,"")</f>
        <v/>
      </c>
      <c r="B382" s="31">
        <f>IF(A382="","",TEXT(A382,"ddd"))</f>
        <v/>
      </c>
      <c r="C382" s="32" t="n"/>
    </row>
    <row r="383">
      <c r="A383" s="30">
        <f>IF(DATE(PlanYear,1,1)+377&lt;=DATE(PlanYear+1,1,31),DATE(PlanYear,1,1)+377,"")</f>
        <v/>
      </c>
      <c r="B383" s="31">
        <f>IF(A383="","",TEXT(A383,"ddd"))</f>
        <v/>
      </c>
      <c r="C383" s="32" t="n"/>
    </row>
    <row r="384">
      <c r="A384" s="30">
        <f>IF(DATE(PlanYear,1,1)+378&lt;=DATE(PlanYear+1,1,31),DATE(PlanYear,1,1)+378,"")</f>
        <v/>
      </c>
      <c r="B384" s="31">
        <f>IF(A384="","",TEXT(A384,"ddd"))</f>
        <v/>
      </c>
      <c r="C384" s="32" t="n"/>
    </row>
    <row r="385">
      <c r="A385" s="30">
        <f>IF(DATE(PlanYear,1,1)+379&lt;=DATE(PlanYear+1,1,31),DATE(PlanYear,1,1)+379,"")</f>
        <v/>
      </c>
      <c r="B385" s="31">
        <f>IF(A385="","",TEXT(A385,"ddd"))</f>
        <v/>
      </c>
      <c r="C385" s="32" t="n"/>
    </row>
    <row r="386">
      <c r="A386" s="30">
        <f>IF(DATE(PlanYear,1,1)+380&lt;=DATE(PlanYear+1,1,31),DATE(PlanYear,1,1)+380,"")</f>
        <v/>
      </c>
      <c r="B386" s="31">
        <f>IF(A386="","",TEXT(A386,"ddd"))</f>
        <v/>
      </c>
      <c r="C386" s="32" t="n"/>
    </row>
    <row r="387">
      <c r="A387" s="30">
        <f>IF(DATE(PlanYear,1,1)+381&lt;=DATE(PlanYear+1,1,31),DATE(PlanYear,1,1)+381,"")</f>
        <v/>
      </c>
      <c r="B387" s="31">
        <f>IF(A387="","",TEXT(A387,"ddd"))</f>
        <v/>
      </c>
      <c r="C387" s="32" t="n"/>
    </row>
    <row r="388">
      <c r="A388" s="30">
        <f>IF(DATE(PlanYear,1,1)+382&lt;=DATE(PlanYear+1,1,31),DATE(PlanYear,1,1)+382,"")</f>
        <v/>
      </c>
      <c r="B388" s="31">
        <f>IF(A388="","",TEXT(A388,"ddd"))</f>
        <v/>
      </c>
      <c r="C388" s="32" t="n"/>
    </row>
    <row r="389">
      <c r="A389" s="30">
        <f>IF(DATE(PlanYear,1,1)+383&lt;=DATE(PlanYear+1,1,31),DATE(PlanYear,1,1)+383,"")</f>
        <v/>
      </c>
      <c r="B389" s="31">
        <f>IF(A389="","",TEXT(A389,"ddd"))</f>
        <v/>
      </c>
      <c r="C389" s="32" t="n"/>
    </row>
    <row r="390">
      <c r="A390" s="30">
        <f>IF(DATE(PlanYear,1,1)+384&lt;=DATE(PlanYear+1,1,31),DATE(PlanYear,1,1)+384,"")</f>
        <v/>
      </c>
      <c r="B390" s="31">
        <f>IF(A390="","",TEXT(A390,"ddd"))</f>
        <v/>
      </c>
      <c r="C390" s="32" t="n"/>
    </row>
    <row r="391">
      <c r="A391" s="30">
        <f>IF(DATE(PlanYear,1,1)+385&lt;=DATE(PlanYear+1,1,31),DATE(PlanYear,1,1)+385,"")</f>
        <v/>
      </c>
      <c r="B391" s="31">
        <f>IF(A391="","",TEXT(A391,"ddd"))</f>
        <v/>
      </c>
      <c r="C391" s="32" t="n"/>
    </row>
    <row r="392">
      <c r="A392" s="30">
        <f>IF(DATE(PlanYear,1,1)+386&lt;=DATE(PlanYear+1,1,31),DATE(PlanYear,1,1)+386,"")</f>
        <v/>
      </c>
      <c r="B392" s="31">
        <f>IF(A392="","",TEXT(A392,"ddd"))</f>
        <v/>
      </c>
      <c r="C392" s="32" t="n"/>
    </row>
    <row r="393">
      <c r="A393" s="30">
        <f>IF(DATE(PlanYear,1,1)+387&lt;=DATE(PlanYear+1,1,31),DATE(PlanYear,1,1)+387,"")</f>
        <v/>
      </c>
      <c r="B393" s="31">
        <f>IF(A393="","",TEXT(A393,"ddd"))</f>
        <v/>
      </c>
      <c r="C393" s="32" t="n"/>
    </row>
    <row r="394">
      <c r="A394" s="30">
        <f>IF(DATE(PlanYear,1,1)+388&lt;=DATE(PlanYear+1,1,31),DATE(PlanYear,1,1)+388,"")</f>
        <v/>
      </c>
      <c r="B394" s="31">
        <f>IF(A394="","",TEXT(A394,"ddd"))</f>
        <v/>
      </c>
      <c r="C394" s="32" t="n"/>
    </row>
    <row r="395">
      <c r="A395" s="30">
        <f>IF(DATE(PlanYear,1,1)+389&lt;=DATE(PlanYear+1,1,31),DATE(PlanYear,1,1)+389,"")</f>
        <v/>
      </c>
      <c r="B395" s="31">
        <f>IF(A395="","",TEXT(A395,"ddd"))</f>
        <v/>
      </c>
      <c r="C395" s="32" t="n"/>
    </row>
    <row r="396">
      <c r="A396" s="30">
        <f>IF(DATE(PlanYear,1,1)+390&lt;=DATE(PlanYear+1,1,31),DATE(PlanYear,1,1)+390,"")</f>
        <v/>
      </c>
      <c r="B396" s="31">
        <f>IF(A396="","",TEXT(A396,"ddd"))</f>
        <v/>
      </c>
      <c r="C396" s="32" t="n"/>
    </row>
    <row r="397">
      <c r="A397" s="30">
        <f>IF(DATE(PlanYear,1,1)+391&lt;=DATE(PlanYear+1,1,31),DATE(PlanYear,1,1)+391,"")</f>
        <v/>
      </c>
      <c r="B397" s="31">
        <f>IF(A397="","",TEXT(A397,"ddd"))</f>
        <v/>
      </c>
      <c r="C397" s="32" t="n"/>
    </row>
    <row r="398">
      <c r="A398" s="30">
        <f>IF(DATE(PlanYear,1,1)+392&lt;=DATE(PlanYear+1,1,31),DATE(PlanYear,1,1)+392,"")</f>
        <v/>
      </c>
      <c r="B398" s="31">
        <f>IF(A398="","",TEXT(A398,"ddd"))</f>
        <v/>
      </c>
      <c r="C398" s="32" t="n"/>
    </row>
    <row r="399">
      <c r="A399" s="30">
        <f>IF(DATE(PlanYear,1,1)+393&lt;=DATE(PlanYear+1,1,31),DATE(PlanYear,1,1)+393,"")</f>
        <v/>
      </c>
      <c r="B399" s="31">
        <f>IF(A399="","",TEXT(A399,"ddd"))</f>
        <v/>
      </c>
      <c r="C399" s="32" t="n"/>
    </row>
    <row r="400">
      <c r="A400" s="30">
        <f>IF(DATE(PlanYear,1,1)+394&lt;=DATE(PlanYear+1,1,31),DATE(PlanYear,1,1)+394,"")</f>
        <v/>
      </c>
      <c r="B400" s="31">
        <f>IF(A400="","",TEXT(A400,"ddd"))</f>
        <v/>
      </c>
      <c r="C400" s="32" t="n"/>
    </row>
    <row r="401">
      <c r="A401" s="30">
        <f>IF(DATE(PlanYear,1,1)+395&lt;=DATE(PlanYear+1,1,31),DATE(PlanYear,1,1)+395,"")</f>
        <v/>
      </c>
      <c r="B401" s="31">
        <f>IF(A401="","",TEXT(A401,"ddd"))</f>
        <v/>
      </c>
      <c r="C401" s="32" t="n"/>
    </row>
    <row r="402">
      <c r="A402" s="30">
        <f>IF(DATE(PlanYear,1,1)+396&lt;=DATE(PlanYear+1,1,31),DATE(PlanYear,1,1)+396,"")</f>
        <v/>
      </c>
      <c r="B402" s="31">
        <f>IF(A402="","",TEXT(A402,"ddd"))</f>
        <v/>
      </c>
      <c r="C402" s="32" t="n"/>
    </row>
  </sheetData>
  <mergeCells count="2">
    <mergeCell ref="A1:C1"/>
    <mergeCell ref="A2:C2"/>
  </mergeCells>
  <conditionalFormatting sqref="A6:B402">
    <cfRule type="expression" priority="1" dxfId="0">
      <formula>AND($A6&lt;&gt;"",WEEKDAY($A6,2)&gt;5)</formula>
    </cfRule>
  </conditionalFormatting>
  <conditionalFormatting sqref="A6:C402">
    <cfRule type="expression" priority="2" dxfId="1">
      <formula>$C6&lt;&gt;""</formula>
    </cfRule>
  </conditionalFormatting>
  <dataValidations count="1">
    <dataValidation sqref="C6:C402" showDropDown="0" showInputMessage="0" showErrorMessage="1" allowBlank="1" errorTitle="Day status" error="Not on the list, but it will still mark the day as no flying." type="list" errorStyle="information">
      <formula1>DayStatusList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803D"/>
    <outlinePr summaryBelow="1" summaryRight="1"/>
    <pageSetUpPr/>
  </sheetPr>
  <dimension ref="A1:E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16" customWidth="1" min="4" max="4"/>
    <col width="40" customWidth="1" min="5" max="5"/>
  </cols>
  <sheetData>
    <row r="1" ht="30" customHeight="1">
      <c r="A1" s="1" t="inlineStr">
        <is>
          <t>GROUND PROGRAMME</t>
        </is>
      </c>
      <c r="B1" s="2" t="n"/>
      <c r="C1" s="2" t="n"/>
      <c r="D1" s="2" t="n"/>
      <c r="E1" s="2" t="n"/>
    </row>
    <row r="2" ht="18" customHeight="1">
      <c r="A2" s="3" t="inlineStr">
        <is>
          <t>Ground events for the office: lectures, briefs, sim, meetings. One per row, any number per day. Crew blank = everyone; or tags P L T S1 S2.</t>
        </is>
      </c>
      <c r="B2" s="2" t="n"/>
      <c r="C2" s="2" t="n"/>
      <c r="D2" s="2" t="n"/>
      <c r="E2" s="2" t="n"/>
    </row>
    <row r="5" ht="22" customHeight="1">
      <c r="A5" s="18" t="inlineStr">
        <is>
          <t>Date</t>
        </is>
      </c>
      <c r="B5" s="18" t="inlineStr">
        <is>
          <t>Time</t>
        </is>
      </c>
      <c r="C5" s="33" t="inlineStr">
        <is>
          <t>Activity</t>
        </is>
      </c>
      <c r="D5" s="18" t="inlineStr">
        <is>
          <t>Crew (blank = all)</t>
        </is>
      </c>
      <c r="E5" s="18" t="inlineStr">
        <is>
          <t>Comment</t>
        </is>
      </c>
    </row>
    <row r="6">
      <c r="A6" s="22" t="n">
        <v>46296</v>
      </c>
      <c r="B6" s="34" t="inlineStr">
        <is>
          <t>0730-0800</t>
        </is>
      </c>
      <c r="C6" s="35" t="inlineStr">
        <is>
          <t>Safety Brief</t>
        </is>
      </c>
      <c r="D6" s="26" t="n"/>
      <c r="E6" s="26" t="inlineStr">
        <is>
          <t>Monthly safety brief</t>
        </is>
      </c>
    </row>
    <row r="7">
      <c r="A7" s="22" t="n">
        <v>46302</v>
      </c>
      <c r="B7" s="34" t="inlineStr">
        <is>
          <t>1400-1600</t>
        </is>
      </c>
      <c r="C7" s="35" t="inlineStr">
        <is>
          <t>CRM Lecture</t>
        </is>
      </c>
      <c r="D7" s="26" t="inlineStr">
        <is>
          <t>S1 S2</t>
        </is>
      </c>
      <c r="E7" s="26" t="n"/>
    </row>
    <row r="8">
      <c r="A8" s="22" t="n">
        <v>46304</v>
      </c>
      <c r="B8" s="34" t="inlineStr">
        <is>
          <t>0900-1200</t>
        </is>
      </c>
      <c r="C8" s="35" t="inlineStr">
        <is>
          <t>Ground School</t>
        </is>
      </c>
      <c r="D8" s="26" t="n"/>
      <c r="E8" s="26" t="inlineStr">
        <is>
          <t>While the aircraft are in maintenance</t>
        </is>
      </c>
    </row>
    <row r="9">
      <c r="A9" s="22" t="n">
        <v>46309</v>
      </c>
      <c r="B9" s="34" t="inlineStr">
        <is>
          <t>1500</t>
        </is>
      </c>
      <c r="C9" s="35" t="inlineStr">
        <is>
          <t>Sqn Meeting</t>
        </is>
      </c>
      <c r="D9" s="26" t="n"/>
      <c r="E9" s="26" t="n"/>
    </row>
    <row r="10">
      <c r="A10" s="22" t="n">
        <v>46317</v>
      </c>
      <c r="B10" s="34" t="inlineStr">
        <is>
          <t>1400-1600</t>
        </is>
      </c>
      <c r="C10" s="35" t="inlineStr">
        <is>
          <t>CRM Lecture</t>
        </is>
      </c>
      <c r="D10" s="26" t="inlineStr">
        <is>
          <t>P T</t>
        </is>
      </c>
      <c r="E10" s="26" t="n"/>
    </row>
    <row r="11">
      <c r="A11" s="22" t="n">
        <v>46323</v>
      </c>
      <c r="B11" s="34" t="inlineStr">
        <is>
          <t>1500</t>
        </is>
      </c>
      <c r="C11" s="35" t="inlineStr">
        <is>
          <t>Sqn Meeting</t>
        </is>
      </c>
      <c r="D11" s="26" t="n"/>
      <c r="E11" s="26" t="n"/>
    </row>
    <row r="12">
      <c r="A12" s="22" t="n">
        <v>46328</v>
      </c>
      <c r="B12" s="34" t="inlineStr">
        <is>
          <t>0730-0800</t>
        </is>
      </c>
      <c r="C12" s="35" t="inlineStr">
        <is>
          <t>Safety Brief</t>
        </is>
      </c>
      <c r="D12" s="26" t="n"/>
      <c r="E12" s="26" t="inlineStr">
        <is>
          <t>Monthly safety brief</t>
        </is>
      </c>
    </row>
    <row r="13">
      <c r="A13" s="22" t="n">
        <v>46337</v>
      </c>
      <c r="B13" s="34" t="inlineStr">
        <is>
          <t>0900-1200</t>
        </is>
      </c>
      <c r="C13" s="35" t="inlineStr">
        <is>
          <t>Ground School</t>
        </is>
      </c>
      <c r="D13" s="26" t="inlineStr">
        <is>
          <t>L S1 S2</t>
        </is>
      </c>
      <c r="E13" s="26" t="inlineStr">
        <is>
          <t>Sonobuoy refresher</t>
        </is>
      </c>
    </row>
    <row r="14">
      <c r="A14" s="22" t="n">
        <v>46344</v>
      </c>
      <c r="B14" s="34" t="inlineStr">
        <is>
          <t>1500</t>
        </is>
      </c>
      <c r="C14" s="35" t="inlineStr">
        <is>
          <t>Sqn Meeting</t>
        </is>
      </c>
      <c r="D14" s="26" t="n"/>
      <c r="E14" s="26" t="n"/>
    </row>
    <row r="15">
      <c r="A15" s="22" t="n">
        <v>46352</v>
      </c>
      <c r="B15" s="34" t="inlineStr">
        <is>
          <t>1400-1600</t>
        </is>
      </c>
      <c r="C15" s="35" t="inlineStr">
        <is>
          <t>CRM Lecture</t>
        </is>
      </c>
      <c r="D15" s="26" t="n"/>
      <c r="E15" s="26" t="n"/>
    </row>
    <row r="16">
      <c r="A16" s="22" t="n"/>
      <c r="B16" s="34" t="n"/>
      <c r="C16" s="35" t="n"/>
      <c r="D16" s="26" t="n"/>
      <c r="E16" s="26" t="n"/>
    </row>
    <row r="17">
      <c r="A17" s="22" t="n"/>
      <c r="B17" s="34" t="n"/>
      <c r="C17" s="35" t="n"/>
      <c r="D17" s="26" t="n"/>
      <c r="E17" s="26" t="n"/>
    </row>
    <row r="18">
      <c r="A18" s="22" t="n"/>
      <c r="B18" s="34" t="n"/>
      <c r="C18" s="35" t="n"/>
      <c r="D18" s="26" t="n"/>
      <c r="E18" s="26" t="n"/>
    </row>
    <row r="19">
      <c r="A19" s="22" t="n"/>
      <c r="B19" s="34" t="n"/>
      <c r="C19" s="35" t="n"/>
      <c r="D19" s="26" t="n"/>
      <c r="E19" s="26" t="n"/>
    </row>
    <row r="20">
      <c r="A20" s="22" t="n"/>
      <c r="B20" s="34" t="n"/>
      <c r="C20" s="35" t="n"/>
      <c r="D20" s="26" t="n"/>
      <c r="E20" s="26" t="n"/>
    </row>
    <row r="21">
      <c r="A21" s="22" t="n"/>
      <c r="B21" s="34" t="n"/>
      <c r="C21" s="35" t="n"/>
      <c r="D21" s="26" t="n"/>
      <c r="E21" s="26" t="n"/>
    </row>
    <row r="22">
      <c r="A22" s="22" t="n"/>
      <c r="B22" s="34" t="n"/>
      <c r="C22" s="35" t="n"/>
      <c r="D22" s="26" t="n"/>
      <c r="E22" s="26" t="n"/>
    </row>
    <row r="23">
      <c r="A23" s="22" t="n"/>
      <c r="B23" s="34" t="n"/>
      <c r="C23" s="35" t="n"/>
      <c r="D23" s="26" t="n"/>
      <c r="E23" s="26" t="n"/>
    </row>
    <row r="24">
      <c r="A24" s="22" t="n"/>
      <c r="B24" s="34" t="n"/>
      <c r="C24" s="35" t="n"/>
      <c r="D24" s="26" t="n"/>
      <c r="E24" s="26" t="n"/>
    </row>
    <row r="25">
      <c r="A25" s="22" t="n"/>
      <c r="B25" s="34" t="n"/>
      <c r="C25" s="35" t="n"/>
      <c r="D25" s="26" t="n"/>
      <c r="E25" s="26" t="n"/>
    </row>
    <row r="26">
      <c r="A26" s="22" t="n"/>
      <c r="B26" s="34" t="n"/>
      <c r="C26" s="35" t="n"/>
      <c r="D26" s="26" t="n"/>
      <c r="E26" s="26" t="n"/>
    </row>
    <row r="27">
      <c r="A27" s="22" t="n"/>
      <c r="B27" s="34" t="n"/>
      <c r="C27" s="35" t="n"/>
      <c r="D27" s="26" t="n"/>
      <c r="E27" s="26" t="n"/>
    </row>
    <row r="28">
      <c r="A28" s="22" t="n"/>
      <c r="B28" s="34" t="n"/>
      <c r="C28" s="35" t="n"/>
      <c r="D28" s="26" t="n"/>
      <c r="E28" s="26" t="n"/>
    </row>
    <row r="29">
      <c r="A29" s="22" t="n"/>
      <c r="B29" s="34" t="n"/>
      <c r="C29" s="35" t="n"/>
      <c r="D29" s="26" t="n"/>
      <c r="E29" s="26" t="n"/>
    </row>
    <row r="30">
      <c r="A30" s="22" t="n"/>
      <c r="B30" s="34" t="n"/>
      <c r="C30" s="35" t="n"/>
      <c r="D30" s="26" t="n"/>
      <c r="E30" s="26" t="n"/>
    </row>
    <row r="31">
      <c r="A31" s="22" t="n"/>
      <c r="B31" s="34" t="n"/>
      <c r="C31" s="35" t="n"/>
      <c r="D31" s="26" t="n"/>
      <c r="E31" s="26" t="n"/>
    </row>
    <row r="32">
      <c r="A32" s="22" t="n"/>
      <c r="B32" s="34" t="n"/>
      <c r="C32" s="35" t="n"/>
      <c r="D32" s="26" t="n"/>
      <c r="E32" s="26" t="n"/>
    </row>
    <row r="33">
      <c r="A33" s="22" t="n"/>
      <c r="B33" s="34" t="n"/>
      <c r="C33" s="35" t="n"/>
      <c r="D33" s="26" t="n"/>
      <c r="E33" s="26" t="n"/>
    </row>
    <row r="34">
      <c r="A34" s="22" t="n"/>
      <c r="B34" s="34" t="n"/>
      <c r="C34" s="35" t="n"/>
      <c r="D34" s="26" t="n"/>
      <c r="E34" s="26" t="n"/>
    </row>
    <row r="35">
      <c r="A35" s="22" t="n"/>
      <c r="B35" s="34" t="n"/>
      <c r="C35" s="35" t="n"/>
      <c r="D35" s="26" t="n"/>
      <c r="E35" s="26" t="n"/>
    </row>
    <row r="36">
      <c r="A36" s="22" t="n"/>
      <c r="B36" s="34" t="n"/>
      <c r="C36" s="35" t="n"/>
      <c r="D36" s="26" t="n"/>
      <c r="E36" s="26" t="n"/>
    </row>
    <row r="37">
      <c r="A37" s="22" t="n"/>
      <c r="B37" s="34" t="n"/>
      <c r="C37" s="35" t="n"/>
      <c r="D37" s="26" t="n"/>
      <c r="E37" s="26" t="n"/>
    </row>
    <row r="38">
      <c r="A38" s="22" t="n"/>
      <c r="B38" s="34" t="n"/>
      <c r="C38" s="35" t="n"/>
      <c r="D38" s="26" t="n"/>
      <c r="E38" s="26" t="n"/>
    </row>
    <row r="39">
      <c r="A39" s="22" t="n"/>
      <c r="B39" s="34" t="n"/>
      <c r="C39" s="35" t="n"/>
      <c r="D39" s="26" t="n"/>
      <c r="E39" s="26" t="n"/>
    </row>
    <row r="40">
      <c r="A40" s="22" t="n"/>
      <c r="B40" s="34" t="n"/>
      <c r="C40" s="35" t="n"/>
      <c r="D40" s="26" t="n"/>
      <c r="E40" s="26" t="n"/>
    </row>
    <row r="41">
      <c r="A41" s="22" t="n"/>
      <c r="B41" s="34" t="n"/>
      <c r="C41" s="35" t="n"/>
      <c r="D41" s="26" t="n"/>
      <c r="E41" s="26" t="n"/>
    </row>
    <row r="42">
      <c r="A42" s="22" t="n"/>
      <c r="B42" s="34" t="n"/>
      <c r="C42" s="35" t="n"/>
      <c r="D42" s="26" t="n"/>
      <c r="E42" s="26" t="n"/>
    </row>
    <row r="43">
      <c r="A43" s="22" t="n"/>
      <c r="B43" s="34" t="n"/>
      <c r="C43" s="35" t="n"/>
      <c r="D43" s="26" t="n"/>
      <c r="E43" s="26" t="n"/>
    </row>
    <row r="44">
      <c r="A44" s="22" t="n"/>
      <c r="B44" s="34" t="n"/>
      <c r="C44" s="35" t="n"/>
      <c r="D44" s="26" t="n"/>
      <c r="E44" s="26" t="n"/>
    </row>
    <row r="45">
      <c r="A45" s="22" t="n"/>
      <c r="B45" s="34" t="n"/>
      <c r="C45" s="35" t="n"/>
      <c r="D45" s="26" t="n"/>
      <c r="E45" s="26" t="n"/>
    </row>
    <row r="46">
      <c r="A46" s="22" t="n"/>
      <c r="B46" s="34" t="n"/>
      <c r="C46" s="35" t="n"/>
      <c r="D46" s="26" t="n"/>
      <c r="E46" s="26" t="n"/>
    </row>
    <row r="47">
      <c r="A47" s="22" t="n"/>
      <c r="B47" s="34" t="n"/>
      <c r="C47" s="35" t="n"/>
      <c r="D47" s="26" t="n"/>
      <c r="E47" s="26" t="n"/>
    </row>
    <row r="48">
      <c r="A48" s="22" t="n"/>
      <c r="B48" s="34" t="n"/>
      <c r="C48" s="35" t="n"/>
      <c r="D48" s="26" t="n"/>
      <c r="E48" s="26" t="n"/>
    </row>
    <row r="49">
      <c r="A49" s="22" t="n"/>
      <c r="B49" s="34" t="n"/>
      <c r="C49" s="35" t="n"/>
      <c r="D49" s="26" t="n"/>
      <c r="E49" s="26" t="n"/>
    </row>
    <row r="50">
      <c r="A50" s="22" t="n"/>
      <c r="B50" s="34" t="n"/>
      <c r="C50" s="35" t="n"/>
      <c r="D50" s="26" t="n"/>
      <c r="E50" s="26" t="n"/>
    </row>
    <row r="51">
      <c r="A51" s="22" t="n"/>
      <c r="B51" s="34" t="n"/>
      <c r="C51" s="35" t="n"/>
      <c r="D51" s="26" t="n"/>
      <c r="E51" s="26" t="n"/>
    </row>
    <row r="52">
      <c r="A52" s="22" t="n"/>
      <c r="B52" s="34" t="n"/>
      <c r="C52" s="35" t="n"/>
      <c r="D52" s="26" t="n"/>
      <c r="E52" s="26" t="n"/>
    </row>
    <row r="53">
      <c r="A53" s="22" t="n"/>
      <c r="B53" s="34" t="n"/>
      <c r="C53" s="35" t="n"/>
      <c r="D53" s="26" t="n"/>
      <c r="E53" s="26" t="n"/>
    </row>
    <row r="54">
      <c r="A54" s="22" t="n"/>
      <c r="B54" s="34" t="n"/>
      <c r="C54" s="35" t="n"/>
      <c r="D54" s="26" t="n"/>
      <c r="E54" s="26" t="n"/>
    </row>
    <row r="55">
      <c r="A55" s="22" t="n"/>
      <c r="B55" s="34" t="n"/>
      <c r="C55" s="35" t="n"/>
      <c r="D55" s="26" t="n"/>
      <c r="E55" s="26" t="n"/>
    </row>
    <row r="56">
      <c r="A56" s="22" t="n"/>
      <c r="B56" s="34" t="n"/>
      <c r="C56" s="35" t="n"/>
      <c r="D56" s="26" t="n"/>
      <c r="E56" s="26" t="n"/>
    </row>
    <row r="57">
      <c r="A57" s="22" t="n"/>
      <c r="B57" s="34" t="n"/>
      <c r="C57" s="35" t="n"/>
      <c r="D57" s="26" t="n"/>
      <c r="E57" s="26" t="n"/>
    </row>
    <row r="58">
      <c r="A58" s="22" t="n"/>
      <c r="B58" s="34" t="n"/>
      <c r="C58" s="35" t="n"/>
      <c r="D58" s="26" t="n"/>
      <c r="E58" s="26" t="n"/>
    </row>
    <row r="59">
      <c r="A59" s="22" t="n"/>
      <c r="B59" s="34" t="n"/>
      <c r="C59" s="35" t="n"/>
      <c r="D59" s="26" t="n"/>
      <c r="E59" s="26" t="n"/>
    </row>
    <row r="60">
      <c r="A60" s="22" t="n"/>
      <c r="B60" s="34" t="n"/>
      <c r="C60" s="35" t="n"/>
      <c r="D60" s="26" t="n"/>
      <c r="E60" s="26" t="n"/>
    </row>
    <row r="61">
      <c r="A61" s="22" t="n"/>
      <c r="B61" s="34" t="n"/>
      <c r="C61" s="35" t="n"/>
      <c r="D61" s="26" t="n"/>
      <c r="E61" s="26" t="n"/>
    </row>
    <row r="62">
      <c r="A62" s="22" t="n"/>
      <c r="B62" s="34" t="n"/>
      <c r="C62" s="35" t="n"/>
      <c r="D62" s="26" t="n"/>
      <c r="E62" s="26" t="n"/>
    </row>
    <row r="63">
      <c r="A63" s="22" t="n"/>
      <c r="B63" s="34" t="n"/>
      <c r="C63" s="35" t="n"/>
      <c r="D63" s="26" t="n"/>
      <c r="E63" s="26" t="n"/>
    </row>
    <row r="64">
      <c r="A64" s="22" t="n"/>
      <c r="B64" s="34" t="n"/>
      <c r="C64" s="35" t="n"/>
      <c r="D64" s="26" t="n"/>
      <c r="E64" s="26" t="n"/>
    </row>
    <row r="65">
      <c r="A65" s="22" t="n"/>
      <c r="B65" s="34" t="n"/>
      <c r="C65" s="35" t="n"/>
      <c r="D65" s="26" t="n"/>
      <c r="E65" s="26" t="n"/>
    </row>
    <row r="66">
      <c r="A66" s="22" t="n"/>
      <c r="B66" s="34" t="n"/>
      <c r="C66" s="35" t="n"/>
      <c r="D66" s="26" t="n"/>
      <c r="E66" s="26" t="n"/>
    </row>
    <row r="67">
      <c r="A67" s="22" t="n"/>
      <c r="B67" s="34" t="n"/>
      <c r="C67" s="35" t="n"/>
      <c r="D67" s="26" t="n"/>
      <c r="E67" s="26" t="n"/>
    </row>
    <row r="68">
      <c r="A68" s="22" t="n"/>
      <c r="B68" s="34" t="n"/>
      <c r="C68" s="35" t="n"/>
      <c r="D68" s="26" t="n"/>
      <c r="E68" s="26" t="n"/>
    </row>
    <row r="69">
      <c r="A69" s="22" t="n"/>
      <c r="B69" s="34" t="n"/>
      <c r="C69" s="35" t="n"/>
      <c r="D69" s="26" t="n"/>
      <c r="E69" s="26" t="n"/>
    </row>
    <row r="70">
      <c r="A70" s="22" t="n"/>
      <c r="B70" s="34" t="n"/>
      <c r="C70" s="35" t="n"/>
      <c r="D70" s="26" t="n"/>
      <c r="E70" s="26" t="n"/>
    </row>
    <row r="71">
      <c r="A71" s="22" t="n"/>
      <c r="B71" s="34" t="n"/>
      <c r="C71" s="35" t="n"/>
      <c r="D71" s="26" t="n"/>
      <c r="E71" s="26" t="n"/>
    </row>
    <row r="72">
      <c r="A72" s="22" t="n"/>
      <c r="B72" s="34" t="n"/>
      <c r="C72" s="35" t="n"/>
      <c r="D72" s="26" t="n"/>
      <c r="E72" s="26" t="n"/>
    </row>
    <row r="73">
      <c r="A73" s="22" t="n"/>
      <c r="B73" s="34" t="n"/>
      <c r="C73" s="35" t="n"/>
      <c r="D73" s="26" t="n"/>
      <c r="E73" s="26" t="n"/>
    </row>
    <row r="74">
      <c r="A74" s="22" t="n"/>
      <c r="B74" s="34" t="n"/>
      <c r="C74" s="35" t="n"/>
      <c r="D74" s="26" t="n"/>
      <c r="E74" s="26" t="n"/>
    </row>
    <row r="75">
      <c r="A75" s="22" t="n"/>
      <c r="B75" s="34" t="n"/>
      <c r="C75" s="35" t="n"/>
      <c r="D75" s="26" t="n"/>
      <c r="E75" s="26" t="n"/>
    </row>
    <row r="76">
      <c r="A76" s="22" t="n"/>
      <c r="B76" s="34" t="n"/>
      <c r="C76" s="35" t="n"/>
      <c r="D76" s="26" t="n"/>
      <c r="E76" s="26" t="n"/>
    </row>
    <row r="77">
      <c r="A77" s="22" t="n"/>
      <c r="B77" s="34" t="n"/>
      <c r="C77" s="35" t="n"/>
      <c r="D77" s="26" t="n"/>
      <c r="E77" s="26" t="n"/>
    </row>
    <row r="78">
      <c r="A78" s="22" t="n"/>
      <c r="B78" s="34" t="n"/>
      <c r="C78" s="35" t="n"/>
      <c r="D78" s="26" t="n"/>
      <c r="E78" s="26" t="n"/>
    </row>
    <row r="79">
      <c r="A79" s="22" t="n"/>
      <c r="B79" s="34" t="n"/>
      <c r="C79" s="35" t="n"/>
      <c r="D79" s="26" t="n"/>
      <c r="E79" s="26" t="n"/>
    </row>
    <row r="80">
      <c r="A80" s="22" t="n"/>
      <c r="B80" s="34" t="n"/>
      <c r="C80" s="35" t="n"/>
      <c r="D80" s="26" t="n"/>
      <c r="E80" s="26" t="n"/>
    </row>
    <row r="81">
      <c r="A81" s="22" t="n"/>
      <c r="B81" s="34" t="n"/>
      <c r="C81" s="35" t="n"/>
      <c r="D81" s="26" t="n"/>
      <c r="E81" s="26" t="n"/>
    </row>
    <row r="82">
      <c r="A82" s="22" t="n"/>
      <c r="B82" s="34" t="n"/>
      <c r="C82" s="35" t="n"/>
      <c r="D82" s="26" t="n"/>
      <c r="E82" s="26" t="n"/>
    </row>
    <row r="83">
      <c r="A83" s="22" t="n"/>
      <c r="B83" s="34" t="n"/>
      <c r="C83" s="35" t="n"/>
      <c r="D83" s="26" t="n"/>
      <c r="E83" s="26" t="n"/>
    </row>
    <row r="84">
      <c r="A84" s="22" t="n"/>
      <c r="B84" s="34" t="n"/>
      <c r="C84" s="35" t="n"/>
      <c r="D84" s="26" t="n"/>
      <c r="E84" s="26" t="n"/>
    </row>
    <row r="85">
      <c r="A85" s="22" t="n"/>
      <c r="B85" s="34" t="n"/>
      <c r="C85" s="35" t="n"/>
      <c r="D85" s="26" t="n"/>
      <c r="E85" s="26" t="n"/>
    </row>
    <row r="86">
      <c r="A86" s="22" t="n"/>
      <c r="B86" s="34" t="n"/>
      <c r="C86" s="35" t="n"/>
      <c r="D86" s="26" t="n"/>
      <c r="E86" s="26" t="n"/>
    </row>
    <row r="87">
      <c r="A87" s="22" t="n"/>
      <c r="B87" s="34" t="n"/>
      <c r="C87" s="35" t="n"/>
      <c r="D87" s="26" t="n"/>
      <c r="E87" s="26" t="n"/>
    </row>
    <row r="88">
      <c r="A88" s="22" t="n"/>
      <c r="B88" s="34" t="n"/>
      <c r="C88" s="35" t="n"/>
      <c r="D88" s="26" t="n"/>
      <c r="E88" s="26" t="n"/>
    </row>
    <row r="89">
      <c r="A89" s="22" t="n"/>
      <c r="B89" s="34" t="n"/>
      <c r="C89" s="35" t="n"/>
      <c r="D89" s="26" t="n"/>
      <c r="E89" s="26" t="n"/>
    </row>
    <row r="90">
      <c r="A90" s="22" t="n"/>
      <c r="B90" s="34" t="n"/>
      <c r="C90" s="35" t="n"/>
      <c r="D90" s="26" t="n"/>
      <c r="E90" s="26" t="n"/>
    </row>
    <row r="91">
      <c r="A91" s="22" t="n"/>
      <c r="B91" s="34" t="n"/>
      <c r="C91" s="35" t="n"/>
      <c r="D91" s="26" t="n"/>
      <c r="E91" s="26" t="n"/>
    </row>
    <row r="92">
      <c r="A92" s="22" t="n"/>
      <c r="B92" s="34" t="n"/>
      <c r="C92" s="35" t="n"/>
      <c r="D92" s="26" t="n"/>
      <c r="E92" s="26" t="n"/>
    </row>
    <row r="93">
      <c r="A93" s="22" t="n"/>
      <c r="B93" s="34" t="n"/>
      <c r="C93" s="35" t="n"/>
      <c r="D93" s="26" t="n"/>
      <c r="E93" s="26" t="n"/>
    </row>
    <row r="94">
      <c r="A94" s="22" t="n"/>
      <c r="B94" s="34" t="n"/>
      <c r="C94" s="35" t="n"/>
      <c r="D94" s="26" t="n"/>
      <c r="E94" s="26" t="n"/>
    </row>
    <row r="95">
      <c r="A95" s="22" t="n"/>
      <c r="B95" s="34" t="n"/>
      <c r="C95" s="35" t="n"/>
      <c r="D95" s="26" t="n"/>
      <c r="E95" s="26" t="n"/>
    </row>
    <row r="96">
      <c r="A96" s="22" t="n"/>
      <c r="B96" s="34" t="n"/>
      <c r="C96" s="35" t="n"/>
      <c r="D96" s="26" t="n"/>
      <c r="E96" s="26" t="n"/>
    </row>
    <row r="97">
      <c r="A97" s="22" t="n"/>
      <c r="B97" s="34" t="n"/>
      <c r="C97" s="35" t="n"/>
      <c r="D97" s="26" t="n"/>
      <c r="E97" s="26" t="n"/>
    </row>
    <row r="98">
      <c r="A98" s="22" t="n"/>
      <c r="B98" s="34" t="n"/>
      <c r="C98" s="35" t="n"/>
      <c r="D98" s="26" t="n"/>
      <c r="E98" s="26" t="n"/>
    </row>
    <row r="99">
      <c r="A99" s="22" t="n"/>
      <c r="B99" s="34" t="n"/>
      <c r="C99" s="35" t="n"/>
      <c r="D99" s="26" t="n"/>
      <c r="E99" s="26" t="n"/>
    </row>
    <row r="100">
      <c r="A100" s="22" t="n"/>
      <c r="B100" s="34" t="n"/>
      <c r="C100" s="35" t="n"/>
      <c r="D100" s="26" t="n"/>
      <c r="E100" s="26" t="n"/>
    </row>
    <row r="101">
      <c r="A101" s="22" t="n"/>
      <c r="B101" s="34" t="n"/>
      <c r="C101" s="35" t="n"/>
      <c r="D101" s="26" t="n"/>
      <c r="E101" s="26" t="n"/>
    </row>
    <row r="102">
      <c r="A102" s="22" t="n"/>
      <c r="B102" s="34" t="n"/>
      <c r="C102" s="35" t="n"/>
      <c r="D102" s="26" t="n"/>
      <c r="E102" s="26" t="n"/>
    </row>
    <row r="103">
      <c r="A103" s="22" t="n"/>
      <c r="B103" s="34" t="n"/>
      <c r="C103" s="35" t="n"/>
      <c r="D103" s="26" t="n"/>
      <c r="E103" s="26" t="n"/>
    </row>
    <row r="104">
      <c r="A104" s="22" t="n"/>
      <c r="B104" s="34" t="n"/>
      <c r="C104" s="35" t="n"/>
      <c r="D104" s="26" t="n"/>
      <c r="E104" s="26" t="n"/>
    </row>
    <row r="105">
      <c r="A105" s="22" t="n"/>
      <c r="B105" s="34" t="n"/>
      <c r="C105" s="35" t="n"/>
      <c r="D105" s="26" t="n"/>
      <c r="E105" s="26" t="n"/>
    </row>
    <row r="106">
      <c r="A106" s="22" t="n"/>
      <c r="B106" s="34" t="n"/>
      <c r="C106" s="35" t="n"/>
      <c r="D106" s="26" t="n"/>
      <c r="E106" s="26" t="n"/>
    </row>
    <row r="107">
      <c r="A107" s="22" t="n"/>
      <c r="B107" s="34" t="n"/>
      <c r="C107" s="35" t="n"/>
      <c r="D107" s="26" t="n"/>
      <c r="E107" s="26" t="n"/>
    </row>
    <row r="108">
      <c r="A108" s="22" t="n"/>
      <c r="B108" s="34" t="n"/>
      <c r="C108" s="35" t="n"/>
      <c r="D108" s="26" t="n"/>
      <c r="E108" s="26" t="n"/>
    </row>
    <row r="109">
      <c r="A109" s="22" t="n"/>
      <c r="B109" s="34" t="n"/>
      <c r="C109" s="35" t="n"/>
      <c r="D109" s="26" t="n"/>
      <c r="E109" s="26" t="n"/>
    </row>
    <row r="110">
      <c r="A110" s="22" t="n"/>
      <c r="B110" s="34" t="n"/>
      <c r="C110" s="35" t="n"/>
      <c r="D110" s="26" t="n"/>
      <c r="E110" s="26" t="n"/>
    </row>
    <row r="111">
      <c r="A111" s="22" t="n"/>
      <c r="B111" s="34" t="n"/>
      <c r="C111" s="35" t="n"/>
      <c r="D111" s="26" t="n"/>
      <c r="E111" s="26" t="n"/>
    </row>
    <row r="112">
      <c r="A112" s="22" t="n"/>
      <c r="B112" s="34" t="n"/>
      <c r="C112" s="35" t="n"/>
      <c r="D112" s="26" t="n"/>
      <c r="E112" s="26" t="n"/>
    </row>
    <row r="113">
      <c r="A113" s="22" t="n"/>
      <c r="B113" s="34" t="n"/>
      <c r="C113" s="35" t="n"/>
      <c r="D113" s="26" t="n"/>
      <c r="E113" s="26" t="n"/>
    </row>
    <row r="114">
      <c r="A114" s="22" t="n"/>
      <c r="B114" s="34" t="n"/>
      <c r="C114" s="35" t="n"/>
      <c r="D114" s="26" t="n"/>
      <c r="E114" s="26" t="n"/>
    </row>
    <row r="115">
      <c r="A115" s="22" t="n"/>
      <c r="B115" s="34" t="n"/>
      <c r="C115" s="35" t="n"/>
      <c r="D115" s="26" t="n"/>
      <c r="E115" s="26" t="n"/>
    </row>
    <row r="116">
      <c r="A116" s="22" t="n"/>
      <c r="B116" s="34" t="n"/>
      <c r="C116" s="35" t="n"/>
      <c r="D116" s="26" t="n"/>
      <c r="E116" s="26" t="n"/>
    </row>
    <row r="117">
      <c r="A117" s="22" t="n"/>
      <c r="B117" s="34" t="n"/>
      <c r="C117" s="35" t="n"/>
      <c r="D117" s="26" t="n"/>
      <c r="E117" s="26" t="n"/>
    </row>
    <row r="118">
      <c r="A118" s="22" t="n"/>
      <c r="B118" s="34" t="n"/>
      <c r="C118" s="35" t="n"/>
      <c r="D118" s="26" t="n"/>
      <c r="E118" s="26" t="n"/>
    </row>
    <row r="119">
      <c r="A119" s="22" t="n"/>
      <c r="B119" s="34" t="n"/>
      <c r="C119" s="35" t="n"/>
      <c r="D119" s="26" t="n"/>
      <c r="E119" s="26" t="n"/>
    </row>
    <row r="120">
      <c r="A120" s="22" t="n"/>
      <c r="B120" s="34" t="n"/>
      <c r="C120" s="35" t="n"/>
      <c r="D120" s="26" t="n"/>
      <c r="E120" s="26" t="n"/>
    </row>
    <row r="121">
      <c r="A121" s="22" t="n"/>
      <c r="B121" s="34" t="n"/>
      <c r="C121" s="35" t="n"/>
      <c r="D121" s="26" t="n"/>
      <c r="E121" s="26" t="n"/>
    </row>
    <row r="122">
      <c r="A122" s="22" t="n"/>
      <c r="B122" s="34" t="n"/>
      <c r="C122" s="35" t="n"/>
      <c r="D122" s="26" t="n"/>
      <c r="E122" s="26" t="n"/>
    </row>
    <row r="123">
      <c r="A123" s="22" t="n"/>
      <c r="B123" s="34" t="n"/>
      <c r="C123" s="35" t="n"/>
      <c r="D123" s="26" t="n"/>
      <c r="E123" s="26" t="n"/>
    </row>
    <row r="124">
      <c r="A124" s="22" t="n"/>
      <c r="B124" s="34" t="n"/>
      <c r="C124" s="35" t="n"/>
      <c r="D124" s="26" t="n"/>
      <c r="E124" s="26" t="n"/>
    </row>
    <row r="125">
      <c r="A125" s="22" t="n"/>
      <c r="B125" s="34" t="n"/>
      <c r="C125" s="35" t="n"/>
      <c r="D125" s="26" t="n"/>
      <c r="E125" s="26" t="n"/>
    </row>
    <row r="126">
      <c r="A126" s="22" t="n"/>
      <c r="B126" s="34" t="n"/>
      <c r="C126" s="35" t="n"/>
      <c r="D126" s="26" t="n"/>
      <c r="E126" s="26" t="n"/>
    </row>
    <row r="127">
      <c r="A127" s="22" t="n"/>
      <c r="B127" s="34" t="n"/>
      <c r="C127" s="35" t="n"/>
      <c r="D127" s="26" t="n"/>
      <c r="E127" s="26" t="n"/>
    </row>
    <row r="128">
      <c r="A128" s="22" t="n"/>
      <c r="B128" s="34" t="n"/>
      <c r="C128" s="35" t="n"/>
      <c r="D128" s="26" t="n"/>
      <c r="E128" s="26" t="n"/>
    </row>
    <row r="129">
      <c r="A129" s="22" t="n"/>
      <c r="B129" s="34" t="n"/>
      <c r="C129" s="35" t="n"/>
      <c r="D129" s="26" t="n"/>
      <c r="E129" s="26" t="n"/>
    </row>
    <row r="130">
      <c r="A130" s="22" t="n"/>
      <c r="B130" s="34" t="n"/>
      <c r="C130" s="35" t="n"/>
      <c r="D130" s="26" t="n"/>
      <c r="E130" s="26" t="n"/>
    </row>
    <row r="131">
      <c r="A131" s="22" t="n"/>
      <c r="B131" s="34" t="n"/>
      <c r="C131" s="35" t="n"/>
      <c r="D131" s="26" t="n"/>
      <c r="E131" s="26" t="n"/>
    </row>
    <row r="132">
      <c r="A132" s="22" t="n"/>
      <c r="B132" s="34" t="n"/>
      <c r="C132" s="35" t="n"/>
      <c r="D132" s="26" t="n"/>
      <c r="E132" s="26" t="n"/>
    </row>
    <row r="133">
      <c r="A133" s="22" t="n"/>
      <c r="B133" s="34" t="n"/>
      <c r="C133" s="35" t="n"/>
      <c r="D133" s="26" t="n"/>
      <c r="E133" s="26" t="n"/>
    </row>
    <row r="134">
      <c r="A134" s="22" t="n"/>
      <c r="B134" s="34" t="n"/>
      <c r="C134" s="35" t="n"/>
      <c r="D134" s="26" t="n"/>
      <c r="E134" s="26" t="n"/>
    </row>
    <row r="135">
      <c r="A135" s="22" t="n"/>
      <c r="B135" s="34" t="n"/>
      <c r="C135" s="35" t="n"/>
      <c r="D135" s="26" t="n"/>
      <c r="E135" s="26" t="n"/>
    </row>
    <row r="136">
      <c r="A136" s="22" t="n"/>
      <c r="B136" s="34" t="n"/>
      <c r="C136" s="35" t="n"/>
      <c r="D136" s="26" t="n"/>
      <c r="E136" s="26" t="n"/>
    </row>
    <row r="137">
      <c r="A137" s="22" t="n"/>
      <c r="B137" s="34" t="n"/>
      <c r="C137" s="35" t="n"/>
      <c r="D137" s="26" t="n"/>
      <c r="E137" s="26" t="n"/>
    </row>
    <row r="138">
      <c r="A138" s="22" t="n"/>
      <c r="B138" s="34" t="n"/>
      <c r="C138" s="35" t="n"/>
      <c r="D138" s="26" t="n"/>
      <c r="E138" s="26" t="n"/>
    </row>
    <row r="139">
      <c r="A139" s="22" t="n"/>
      <c r="B139" s="34" t="n"/>
      <c r="C139" s="35" t="n"/>
      <c r="D139" s="26" t="n"/>
      <c r="E139" s="26" t="n"/>
    </row>
    <row r="140">
      <c r="A140" s="22" t="n"/>
      <c r="B140" s="34" t="n"/>
      <c r="C140" s="35" t="n"/>
      <c r="D140" s="26" t="n"/>
      <c r="E140" s="26" t="n"/>
    </row>
    <row r="141">
      <c r="A141" s="22" t="n"/>
      <c r="B141" s="34" t="n"/>
      <c r="C141" s="35" t="n"/>
      <c r="D141" s="26" t="n"/>
      <c r="E141" s="26" t="n"/>
    </row>
    <row r="142">
      <c r="A142" s="22" t="n"/>
      <c r="B142" s="34" t="n"/>
      <c r="C142" s="35" t="n"/>
      <c r="D142" s="26" t="n"/>
      <c r="E142" s="26" t="n"/>
    </row>
    <row r="143">
      <c r="A143" s="22" t="n"/>
      <c r="B143" s="34" t="n"/>
      <c r="C143" s="35" t="n"/>
      <c r="D143" s="26" t="n"/>
      <c r="E143" s="26" t="n"/>
    </row>
    <row r="144">
      <c r="A144" s="22" t="n"/>
      <c r="B144" s="34" t="n"/>
      <c r="C144" s="35" t="n"/>
      <c r="D144" s="26" t="n"/>
      <c r="E144" s="26" t="n"/>
    </row>
    <row r="145">
      <c r="A145" s="22" t="n"/>
      <c r="B145" s="34" t="n"/>
      <c r="C145" s="35" t="n"/>
      <c r="D145" s="26" t="n"/>
      <c r="E145" s="26" t="n"/>
    </row>
    <row r="146">
      <c r="A146" s="22" t="n"/>
      <c r="B146" s="34" t="n"/>
      <c r="C146" s="35" t="n"/>
      <c r="D146" s="26" t="n"/>
      <c r="E146" s="26" t="n"/>
    </row>
    <row r="147">
      <c r="A147" s="22" t="n"/>
      <c r="B147" s="34" t="n"/>
      <c r="C147" s="35" t="n"/>
      <c r="D147" s="26" t="n"/>
      <c r="E147" s="26" t="n"/>
    </row>
    <row r="148">
      <c r="A148" s="22" t="n"/>
      <c r="B148" s="34" t="n"/>
      <c r="C148" s="35" t="n"/>
      <c r="D148" s="26" t="n"/>
      <c r="E148" s="26" t="n"/>
    </row>
    <row r="149">
      <c r="A149" s="22" t="n"/>
      <c r="B149" s="34" t="n"/>
      <c r="C149" s="35" t="n"/>
      <c r="D149" s="26" t="n"/>
      <c r="E149" s="26" t="n"/>
    </row>
    <row r="150">
      <c r="A150" s="22" t="n"/>
      <c r="B150" s="34" t="n"/>
      <c r="C150" s="35" t="n"/>
      <c r="D150" s="26" t="n"/>
      <c r="E150" s="26" t="n"/>
    </row>
    <row r="151">
      <c r="A151" s="22" t="n"/>
      <c r="B151" s="34" t="n"/>
      <c r="C151" s="35" t="n"/>
      <c r="D151" s="26" t="n"/>
      <c r="E151" s="26" t="n"/>
    </row>
    <row r="152">
      <c r="A152" s="22" t="n"/>
      <c r="B152" s="34" t="n"/>
      <c r="C152" s="35" t="n"/>
      <c r="D152" s="26" t="n"/>
      <c r="E152" s="26" t="n"/>
    </row>
    <row r="153">
      <c r="A153" s="22" t="n"/>
      <c r="B153" s="34" t="n"/>
      <c r="C153" s="35" t="n"/>
      <c r="D153" s="26" t="n"/>
      <c r="E153" s="26" t="n"/>
    </row>
    <row r="154">
      <c r="A154" s="22" t="n"/>
      <c r="B154" s="34" t="n"/>
      <c r="C154" s="35" t="n"/>
      <c r="D154" s="26" t="n"/>
      <c r="E154" s="26" t="n"/>
    </row>
    <row r="155">
      <c r="A155" s="22" t="n"/>
      <c r="B155" s="34" t="n"/>
      <c r="C155" s="35" t="n"/>
      <c r="D155" s="26" t="n"/>
      <c r="E155" s="26" t="n"/>
    </row>
    <row r="156">
      <c r="A156" s="22" t="n"/>
      <c r="B156" s="34" t="n"/>
      <c r="C156" s="35" t="n"/>
      <c r="D156" s="26" t="n"/>
      <c r="E156" s="26" t="n"/>
    </row>
    <row r="157">
      <c r="A157" s="22" t="n"/>
      <c r="B157" s="34" t="n"/>
      <c r="C157" s="35" t="n"/>
      <c r="D157" s="26" t="n"/>
      <c r="E157" s="26" t="n"/>
    </row>
    <row r="158">
      <c r="A158" s="22" t="n"/>
      <c r="B158" s="34" t="n"/>
      <c r="C158" s="35" t="n"/>
      <c r="D158" s="26" t="n"/>
      <c r="E158" s="26" t="n"/>
    </row>
    <row r="159">
      <c r="A159" s="22" t="n"/>
      <c r="B159" s="34" t="n"/>
      <c r="C159" s="35" t="n"/>
      <c r="D159" s="26" t="n"/>
      <c r="E159" s="26" t="n"/>
    </row>
    <row r="160">
      <c r="A160" s="22" t="n"/>
      <c r="B160" s="34" t="n"/>
      <c r="C160" s="35" t="n"/>
      <c r="D160" s="26" t="n"/>
      <c r="E160" s="26" t="n"/>
    </row>
    <row r="161">
      <c r="A161" s="22" t="n"/>
      <c r="B161" s="34" t="n"/>
      <c r="C161" s="35" t="n"/>
      <c r="D161" s="26" t="n"/>
      <c r="E161" s="26" t="n"/>
    </row>
    <row r="162">
      <c r="A162" s="22" t="n"/>
      <c r="B162" s="34" t="n"/>
      <c r="C162" s="35" t="n"/>
      <c r="D162" s="26" t="n"/>
      <c r="E162" s="26" t="n"/>
    </row>
    <row r="163">
      <c r="A163" s="22" t="n"/>
      <c r="B163" s="34" t="n"/>
      <c r="C163" s="35" t="n"/>
      <c r="D163" s="26" t="n"/>
      <c r="E163" s="26" t="n"/>
    </row>
    <row r="164">
      <c r="A164" s="22" t="n"/>
      <c r="B164" s="34" t="n"/>
      <c r="C164" s="35" t="n"/>
      <c r="D164" s="26" t="n"/>
      <c r="E164" s="26" t="n"/>
    </row>
    <row r="165">
      <c r="A165" s="22" t="n"/>
      <c r="B165" s="34" t="n"/>
      <c r="C165" s="35" t="n"/>
      <c r="D165" s="26" t="n"/>
      <c r="E165" s="26" t="n"/>
    </row>
    <row r="166">
      <c r="A166" s="22" t="n"/>
      <c r="B166" s="34" t="n"/>
      <c r="C166" s="35" t="n"/>
      <c r="D166" s="26" t="n"/>
      <c r="E166" s="26" t="n"/>
    </row>
    <row r="167">
      <c r="A167" s="22" t="n"/>
      <c r="B167" s="34" t="n"/>
      <c r="C167" s="35" t="n"/>
      <c r="D167" s="26" t="n"/>
      <c r="E167" s="26" t="n"/>
    </row>
    <row r="168">
      <c r="A168" s="22" t="n"/>
      <c r="B168" s="34" t="n"/>
      <c r="C168" s="35" t="n"/>
      <c r="D168" s="26" t="n"/>
      <c r="E168" s="26" t="n"/>
    </row>
    <row r="169">
      <c r="A169" s="22" t="n"/>
      <c r="B169" s="34" t="n"/>
      <c r="C169" s="35" t="n"/>
      <c r="D169" s="26" t="n"/>
      <c r="E169" s="26" t="n"/>
    </row>
    <row r="170">
      <c r="A170" s="22" t="n"/>
      <c r="B170" s="34" t="n"/>
      <c r="C170" s="35" t="n"/>
      <c r="D170" s="26" t="n"/>
      <c r="E170" s="26" t="n"/>
    </row>
    <row r="171">
      <c r="A171" s="22" t="n"/>
      <c r="B171" s="34" t="n"/>
      <c r="C171" s="35" t="n"/>
      <c r="D171" s="26" t="n"/>
      <c r="E171" s="26" t="n"/>
    </row>
    <row r="172">
      <c r="A172" s="22" t="n"/>
      <c r="B172" s="34" t="n"/>
      <c r="C172" s="35" t="n"/>
      <c r="D172" s="26" t="n"/>
      <c r="E172" s="26" t="n"/>
    </row>
    <row r="173">
      <c r="A173" s="22" t="n"/>
      <c r="B173" s="34" t="n"/>
      <c r="C173" s="35" t="n"/>
      <c r="D173" s="26" t="n"/>
      <c r="E173" s="26" t="n"/>
    </row>
    <row r="174">
      <c r="A174" s="22" t="n"/>
      <c r="B174" s="34" t="n"/>
      <c r="C174" s="35" t="n"/>
      <c r="D174" s="26" t="n"/>
      <c r="E174" s="26" t="n"/>
    </row>
    <row r="175">
      <c r="A175" s="22" t="n"/>
      <c r="B175" s="34" t="n"/>
      <c r="C175" s="35" t="n"/>
      <c r="D175" s="26" t="n"/>
      <c r="E175" s="26" t="n"/>
    </row>
    <row r="176">
      <c r="A176" s="22" t="n"/>
      <c r="B176" s="34" t="n"/>
      <c r="C176" s="35" t="n"/>
      <c r="D176" s="26" t="n"/>
      <c r="E176" s="26" t="n"/>
    </row>
    <row r="177">
      <c r="A177" s="22" t="n"/>
      <c r="B177" s="34" t="n"/>
      <c r="C177" s="35" t="n"/>
      <c r="D177" s="26" t="n"/>
      <c r="E177" s="26" t="n"/>
    </row>
    <row r="178">
      <c r="A178" s="22" t="n"/>
      <c r="B178" s="34" t="n"/>
      <c r="C178" s="35" t="n"/>
      <c r="D178" s="26" t="n"/>
      <c r="E178" s="26" t="n"/>
    </row>
    <row r="179">
      <c r="A179" s="22" t="n"/>
      <c r="B179" s="34" t="n"/>
      <c r="C179" s="35" t="n"/>
      <c r="D179" s="26" t="n"/>
      <c r="E179" s="26" t="n"/>
    </row>
    <row r="180">
      <c r="A180" s="22" t="n"/>
      <c r="B180" s="34" t="n"/>
      <c r="C180" s="35" t="n"/>
      <c r="D180" s="26" t="n"/>
      <c r="E180" s="26" t="n"/>
    </row>
    <row r="181">
      <c r="A181" s="22" t="n"/>
      <c r="B181" s="34" t="n"/>
      <c r="C181" s="35" t="n"/>
      <c r="D181" s="26" t="n"/>
      <c r="E181" s="26" t="n"/>
    </row>
    <row r="182">
      <c r="A182" s="22" t="n"/>
      <c r="B182" s="34" t="n"/>
      <c r="C182" s="35" t="n"/>
      <c r="D182" s="26" t="n"/>
      <c r="E182" s="26" t="n"/>
    </row>
    <row r="183">
      <c r="A183" s="22" t="n"/>
      <c r="B183" s="34" t="n"/>
      <c r="C183" s="35" t="n"/>
      <c r="D183" s="26" t="n"/>
      <c r="E183" s="26" t="n"/>
    </row>
    <row r="184">
      <c r="A184" s="22" t="n"/>
      <c r="B184" s="34" t="n"/>
      <c r="C184" s="35" t="n"/>
      <c r="D184" s="26" t="n"/>
      <c r="E184" s="26" t="n"/>
    </row>
    <row r="185">
      <c r="A185" s="22" t="n"/>
      <c r="B185" s="34" t="n"/>
      <c r="C185" s="35" t="n"/>
      <c r="D185" s="26" t="n"/>
      <c r="E185" s="26" t="n"/>
    </row>
    <row r="186">
      <c r="A186" s="22" t="n"/>
      <c r="B186" s="34" t="n"/>
      <c r="C186" s="35" t="n"/>
      <c r="D186" s="26" t="n"/>
      <c r="E186" s="26" t="n"/>
    </row>
    <row r="187">
      <c r="A187" s="22" t="n"/>
      <c r="B187" s="34" t="n"/>
      <c r="C187" s="35" t="n"/>
      <c r="D187" s="26" t="n"/>
      <c r="E187" s="26" t="n"/>
    </row>
    <row r="188">
      <c r="A188" s="22" t="n"/>
      <c r="B188" s="34" t="n"/>
      <c r="C188" s="35" t="n"/>
      <c r="D188" s="26" t="n"/>
      <c r="E188" s="26" t="n"/>
    </row>
    <row r="189">
      <c r="A189" s="22" t="n"/>
      <c r="B189" s="34" t="n"/>
      <c r="C189" s="35" t="n"/>
      <c r="D189" s="26" t="n"/>
      <c r="E189" s="26" t="n"/>
    </row>
    <row r="190">
      <c r="A190" s="22" t="n"/>
      <c r="B190" s="34" t="n"/>
      <c r="C190" s="35" t="n"/>
      <c r="D190" s="26" t="n"/>
      <c r="E190" s="26" t="n"/>
    </row>
    <row r="191">
      <c r="A191" s="22" t="n"/>
      <c r="B191" s="34" t="n"/>
      <c r="C191" s="35" t="n"/>
      <c r="D191" s="26" t="n"/>
      <c r="E191" s="26" t="n"/>
    </row>
    <row r="192">
      <c r="A192" s="22" t="n"/>
      <c r="B192" s="34" t="n"/>
      <c r="C192" s="35" t="n"/>
      <c r="D192" s="26" t="n"/>
      <c r="E192" s="26" t="n"/>
    </row>
    <row r="193">
      <c r="A193" s="22" t="n"/>
      <c r="B193" s="34" t="n"/>
      <c r="C193" s="35" t="n"/>
      <c r="D193" s="26" t="n"/>
      <c r="E193" s="26" t="n"/>
    </row>
    <row r="194">
      <c r="A194" s="22" t="n"/>
      <c r="B194" s="34" t="n"/>
      <c r="C194" s="35" t="n"/>
      <c r="D194" s="26" t="n"/>
      <c r="E194" s="26" t="n"/>
    </row>
    <row r="195">
      <c r="A195" s="22" t="n"/>
      <c r="B195" s="34" t="n"/>
      <c r="C195" s="35" t="n"/>
      <c r="D195" s="26" t="n"/>
      <c r="E195" s="26" t="n"/>
    </row>
    <row r="196">
      <c r="A196" s="22" t="n"/>
      <c r="B196" s="34" t="n"/>
      <c r="C196" s="35" t="n"/>
      <c r="D196" s="26" t="n"/>
      <c r="E196" s="26" t="n"/>
    </row>
    <row r="197">
      <c r="A197" s="22" t="n"/>
      <c r="B197" s="34" t="n"/>
      <c r="C197" s="35" t="n"/>
      <c r="D197" s="26" t="n"/>
      <c r="E197" s="26" t="n"/>
    </row>
    <row r="198">
      <c r="A198" s="22" t="n"/>
      <c r="B198" s="34" t="n"/>
      <c r="C198" s="35" t="n"/>
      <c r="D198" s="26" t="n"/>
      <c r="E198" s="26" t="n"/>
    </row>
    <row r="199">
      <c r="A199" s="22" t="n"/>
      <c r="B199" s="34" t="n"/>
      <c r="C199" s="35" t="n"/>
      <c r="D199" s="26" t="n"/>
      <c r="E199" s="26" t="n"/>
    </row>
    <row r="200">
      <c r="A200" s="22" t="n"/>
      <c r="B200" s="34" t="n"/>
      <c r="C200" s="35" t="n"/>
      <c r="D200" s="26" t="n"/>
      <c r="E200" s="26" t="n"/>
    </row>
    <row r="201">
      <c r="A201" s="22" t="n"/>
      <c r="B201" s="34" t="n"/>
      <c r="C201" s="35" t="n"/>
      <c r="D201" s="26" t="n"/>
      <c r="E201" s="26" t="n"/>
    </row>
    <row r="202">
      <c r="A202" s="22" t="n"/>
      <c r="B202" s="34" t="n"/>
      <c r="C202" s="35" t="n"/>
      <c r="D202" s="26" t="n"/>
      <c r="E202" s="26" t="n"/>
    </row>
    <row r="203">
      <c r="A203" s="22" t="n"/>
      <c r="B203" s="34" t="n"/>
      <c r="C203" s="35" t="n"/>
      <c r="D203" s="26" t="n"/>
      <c r="E203" s="26" t="n"/>
    </row>
    <row r="204">
      <c r="A204" s="22" t="n"/>
      <c r="B204" s="34" t="n"/>
      <c r="C204" s="35" t="n"/>
      <c r="D204" s="26" t="n"/>
      <c r="E204" s="26" t="n"/>
    </row>
    <row r="205">
      <c r="A205" s="22" t="n"/>
      <c r="B205" s="34" t="n"/>
      <c r="C205" s="35" t="n"/>
      <c r="D205" s="26" t="n"/>
      <c r="E205" s="26" t="n"/>
    </row>
    <row r="206">
      <c r="A206" s="22" t="n"/>
      <c r="B206" s="34" t="n"/>
      <c r="C206" s="35" t="n"/>
      <c r="D206" s="26" t="n"/>
      <c r="E206" s="26" t="n"/>
    </row>
    <row r="207">
      <c r="A207" s="22" t="n"/>
      <c r="B207" s="34" t="n"/>
      <c r="C207" s="35" t="n"/>
      <c r="D207" s="26" t="n"/>
      <c r="E207" s="26" t="n"/>
    </row>
    <row r="208">
      <c r="A208" s="22" t="n"/>
      <c r="B208" s="34" t="n"/>
      <c r="C208" s="35" t="n"/>
      <c r="D208" s="26" t="n"/>
      <c r="E208" s="26" t="n"/>
    </row>
    <row r="209">
      <c r="A209" s="22" t="n"/>
      <c r="B209" s="34" t="n"/>
      <c r="C209" s="35" t="n"/>
      <c r="D209" s="26" t="n"/>
      <c r="E209" s="26" t="n"/>
    </row>
    <row r="210">
      <c r="A210" s="22" t="n"/>
      <c r="B210" s="34" t="n"/>
      <c r="C210" s="35" t="n"/>
      <c r="D210" s="26" t="n"/>
      <c r="E210" s="26" t="n"/>
    </row>
    <row r="211">
      <c r="A211" s="22" t="n"/>
      <c r="B211" s="34" t="n"/>
      <c r="C211" s="35" t="n"/>
      <c r="D211" s="26" t="n"/>
      <c r="E211" s="26" t="n"/>
    </row>
    <row r="212">
      <c r="A212" s="22" t="n"/>
      <c r="B212" s="34" t="n"/>
      <c r="C212" s="35" t="n"/>
      <c r="D212" s="26" t="n"/>
      <c r="E212" s="26" t="n"/>
    </row>
    <row r="213">
      <c r="A213" s="22" t="n"/>
      <c r="B213" s="34" t="n"/>
      <c r="C213" s="35" t="n"/>
      <c r="D213" s="26" t="n"/>
      <c r="E213" s="26" t="n"/>
    </row>
    <row r="214">
      <c r="A214" s="22" t="n"/>
      <c r="B214" s="34" t="n"/>
      <c r="C214" s="35" t="n"/>
      <c r="D214" s="26" t="n"/>
      <c r="E214" s="26" t="n"/>
    </row>
    <row r="215">
      <c r="A215" s="22" t="n"/>
      <c r="B215" s="34" t="n"/>
      <c r="C215" s="35" t="n"/>
      <c r="D215" s="26" t="n"/>
      <c r="E215" s="26" t="n"/>
    </row>
    <row r="216">
      <c r="A216" s="22" t="n"/>
      <c r="B216" s="34" t="n"/>
      <c r="C216" s="35" t="n"/>
      <c r="D216" s="26" t="n"/>
      <c r="E216" s="26" t="n"/>
    </row>
    <row r="217">
      <c r="A217" s="22" t="n"/>
      <c r="B217" s="34" t="n"/>
      <c r="C217" s="35" t="n"/>
      <c r="D217" s="26" t="n"/>
      <c r="E217" s="26" t="n"/>
    </row>
    <row r="218">
      <c r="A218" s="22" t="n"/>
      <c r="B218" s="34" t="n"/>
      <c r="C218" s="35" t="n"/>
      <c r="D218" s="26" t="n"/>
      <c r="E218" s="26" t="n"/>
    </row>
    <row r="219">
      <c r="A219" s="22" t="n"/>
      <c r="B219" s="34" t="n"/>
      <c r="C219" s="35" t="n"/>
      <c r="D219" s="26" t="n"/>
      <c r="E219" s="26" t="n"/>
    </row>
    <row r="220">
      <c r="A220" s="22" t="n"/>
      <c r="B220" s="34" t="n"/>
      <c r="C220" s="35" t="n"/>
      <c r="D220" s="26" t="n"/>
      <c r="E220" s="26" t="n"/>
    </row>
    <row r="221">
      <c r="A221" s="22" t="n"/>
      <c r="B221" s="34" t="n"/>
      <c r="C221" s="35" t="n"/>
      <c r="D221" s="26" t="n"/>
      <c r="E221" s="26" t="n"/>
    </row>
    <row r="222">
      <c r="A222" s="22" t="n"/>
      <c r="B222" s="34" t="n"/>
      <c r="C222" s="35" t="n"/>
      <c r="D222" s="26" t="n"/>
      <c r="E222" s="26" t="n"/>
    </row>
    <row r="223">
      <c r="A223" s="22" t="n"/>
      <c r="B223" s="34" t="n"/>
      <c r="C223" s="35" t="n"/>
      <c r="D223" s="26" t="n"/>
      <c r="E223" s="26" t="n"/>
    </row>
    <row r="224">
      <c r="A224" s="22" t="n"/>
      <c r="B224" s="34" t="n"/>
      <c r="C224" s="35" t="n"/>
      <c r="D224" s="26" t="n"/>
      <c r="E224" s="26" t="n"/>
    </row>
    <row r="225">
      <c r="A225" s="22" t="n"/>
      <c r="B225" s="34" t="n"/>
      <c r="C225" s="35" t="n"/>
      <c r="D225" s="26" t="n"/>
      <c r="E225" s="26" t="n"/>
    </row>
    <row r="226">
      <c r="A226" s="22" t="n"/>
      <c r="B226" s="34" t="n"/>
      <c r="C226" s="35" t="n"/>
      <c r="D226" s="26" t="n"/>
      <c r="E226" s="26" t="n"/>
    </row>
    <row r="227">
      <c r="A227" s="22" t="n"/>
      <c r="B227" s="34" t="n"/>
      <c r="C227" s="35" t="n"/>
      <c r="D227" s="26" t="n"/>
      <c r="E227" s="26" t="n"/>
    </row>
    <row r="228">
      <c r="A228" s="22" t="n"/>
      <c r="B228" s="34" t="n"/>
      <c r="C228" s="35" t="n"/>
      <c r="D228" s="26" t="n"/>
      <c r="E228" s="26" t="n"/>
    </row>
    <row r="229">
      <c r="A229" s="22" t="n"/>
      <c r="B229" s="34" t="n"/>
      <c r="C229" s="35" t="n"/>
      <c r="D229" s="26" t="n"/>
      <c r="E229" s="26" t="n"/>
    </row>
    <row r="230">
      <c r="A230" s="22" t="n"/>
      <c r="B230" s="34" t="n"/>
      <c r="C230" s="35" t="n"/>
      <c r="D230" s="26" t="n"/>
      <c r="E230" s="26" t="n"/>
    </row>
    <row r="231">
      <c r="A231" s="22" t="n"/>
      <c r="B231" s="34" t="n"/>
      <c r="C231" s="35" t="n"/>
      <c r="D231" s="26" t="n"/>
      <c r="E231" s="26" t="n"/>
    </row>
    <row r="232">
      <c r="A232" s="22" t="n"/>
      <c r="B232" s="34" t="n"/>
      <c r="C232" s="35" t="n"/>
      <c r="D232" s="26" t="n"/>
      <c r="E232" s="26" t="n"/>
    </row>
    <row r="233">
      <c r="A233" s="22" t="n"/>
      <c r="B233" s="34" t="n"/>
      <c r="C233" s="35" t="n"/>
      <c r="D233" s="26" t="n"/>
      <c r="E233" s="26" t="n"/>
    </row>
    <row r="234">
      <c r="A234" s="22" t="n"/>
      <c r="B234" s="34" t="n"/>
      <c r="C234" s="35" t="n"/>
      <c r="D234" s="26" t="n"/>
      <c r="E234" s="26" t="n"/>
    </row>
    <row r="235">
      <c r="A235" s="22" t="n"/>
      <c r="B235" s="34" t="n"/>
      <c r="C235" s="35" t="n"/>
      <c r="D235" s="26" t="n"/>
      <c r="E235" s="26" t="n"/>
    </row>
    <row r="236">
      <c r="A236" s="22" t="n"/>
      <c r="B236" s="34" t="n"/>
      <c r="C236" s="35" t="n"/>
      <c r="D236" s="26" t="n"/>
      <c r="E236" s="26" t="n"/>
    </row>
    <row r="237">
      <c r="A237" s="22" t="n"/>
      <c r="B237" s="34" t="n"/>
      <c r="C237" s="35" t="n"/>
      <c r="D237" s="26" t="n"/>
      <c r="E237" s="26" t="n"/>
    </row>
    <row r="238">
      <c r="A238" s="22" t="n"/>
      <c r="B238" s="34" t="n"/>
      <c r="C238" s="35" t="n"/>
      <c r="D238" s="26" t="n"/>
      <c r="E238" s="26" t="n"/>
    </row>
    <row r="239">
      <c r="A239" s="22" t="n"/>
      <c r="B239" s="34" t="n"/>
      <c r="C239" s="35" t="n"/>
      <c r="D239" s="26" t="n"/>
      <c r="E239" s="26" t="n"/>
    </row>
    <row r="240">
      <c r="A240" s="22" t="n"/>
      <c r="B240" s="34" t="n"/>
      <c r="C240" s="35" t="n"/>
      <c r="D240" s="26" t="n"/>
      <c r="E240" s="26" t="n"/>
    </row>
    <row r="241">
      <c r="A241" s="22" t="n"/>
      <c r="B241" s="34" t="n"/>
      <c r="C241" s="35" t="n"/>
      <c r="D241" s="26" t="n"/>
      <c r="E241" s="26" t="n"/>
    </row>
    <row r="242">
      <c r="A242" s="22" t="n"/>
      <c r="B242" s="34" t="n"/>
      <c r="C242" s="35" t="n"/>
      <c r="D242" s="26" t="n"/>
      <c r="E242" s="26" t="n"/>
    </row>
    <row r="243">
      <c r="A243" s="22" t="n"/>
      <c r="B243" s="34" t="n"/>
      <c r="C243" s="35" t="n"/>
      <c r="D243" s="26" t="n"/>
      <c r="E243" s="26" t="n"/>
    </row>
    <row r="244">
      <c r="A244" s="22" t="n"/>
      <c r="B244" s="34" t="n"/>
      <c r="C244" s="35" t="n"/>
      <c r="D244" s="26" t="n"/>
      <c r="E244" s="26" t="n"/>
    </row>
    <row r="245">
      <c r="A245" s="22" t="n"/>
      <c r="B245" s="34" t="n"/>
      <c r="C245" s="35" t="n"/>
      <c r="D245" s="26" t="n"/>
      <c r="E245" s="26" t="n"/>
    </row>
    <row r="246">
      <c r="A246" s="22" t="n"/>
      <c r="B246" s="34" t="n"/>
      <c r="C246" s="35" t="n"/>
      <c r="D246" s="26" t="n"/>
      <c r="E246" s="26" t="n"/>
    </row>
    <row r="247">
      <c r="A247" s="22" t="n"/>
      <c r="B247" s="34" t="n"/>
      <c r="C247" s="35" t="n"/>
      <c r="D247" s="26" t="n"/>
      <c r="E247" s="26" t="n"/>
    </row>
    <row r="248">
      <c r="A248" s="22" t="n"/>
      <c r="B248" s="34" t="n"/>
      <c r="C248" s="35" t="n"/>
      <c r="D248" s="26" t="n"/>
      <c r="E248" s="26" t="n"/>
    </row>
    <row r="249">
      <c r="A249" s="22" t="n"/>
      <c r="B249" s="34" t="n"/>
      <c r="C249" s="35" t="n"/>
      <c r="D249" s="26" t="n"/>
      <c r="E249" s="26" t="n"/>
    </row>
    <row r="250">
      <c r="A250" s="22" t="n"/>
      <c r="B250" s="34" t="n"/>
      <c r="C250" s="35" t="n"/>
      <c r="D250" s="26" t="n"/>
      <c r="E250" s="26" t="n"/>
    </row>
    <row r="251">
      <c r="A251" s="22" t="n"/>
      <c r="B251" s="34" t="n"/>
      <c r="C251" s="35" t="n"/>
      <c r="D251" s="26" t="n"/>
      <c r="E251" s="26" t="n"/>
    </row>
    <row r="252">
      <c r="A252" s="22" t="n"/>
      <c r="B252" s="34" t="n"/>
      <c r="C252" s="35" t="n"/>
      <c r="D252" s="26" t="n"/>
      <c r="E252" s="26" t="n"/>
    </row>
    <row r="253">
      <c r="A253" s="22" t="n"/>
      <c r="B253" s="34" t="n"/>
      <c r="C253" s="35" t="n"/>
      <c r="D253" s="26" t="n"/>
      <c r="E253" s="26" t="n"/>
    </row>
    <row r="254">
      <c r="A254" s="22" t="n"/>
      <c r="B254" s="34" t="n"/>
      <c r="C254" s="35" t="n"/>
      <c r="D254" s="26" t="n"/>
      <c r="E254" s="26" t="n"/>
    </row>
    <row r="255">
      <c r="A255" s="22" t="n"/>
      <c r="B255" s="34" t="n"/>
      <c r="C255" s="35" t="n"/>
      <c r="D255" s="26" t="n"/>
      <c r="E255" s="26" t="n"/>
    </row>
    <row r="256">
      <c r="A256" s="22" t="n"/>
      <c r="B256" s="34" t="n"/>
      <c r="C256" s="35" t="n"/>
      <c r="D256" s="26" t="n"/>
      <c r="E256" s="26" t="n"/>
    </row>
    <row r="257">
      <c r="A257" s="22" t="n"/>
      <c r="B257" s="34" t="n"/>
      <c r="C257" s="35" t="n"/>
      <c r="D257" s="26" t="n"/>
      <c r="E257" s="26" t="n"/>
    </row>
    <row r="258">
      <c r="A258" s="22" t="n"/>
      <c r="B258" s="34" t="n"/>
      <c r="C258" s="35" t="n"/>
      <c r="D258" s="26" t="n"/>
      <c r="E258" s="26" t="n"/>
    </row>
    <row r="259">
      <c r="A259" s="22" t="n"/>
      <c r="B259" s="34" t="n"/>
      <c r="C259" s="35" t="n"/>
      <c r="D259" s="26" t="n"/>
      <c r="E259" s="26" t="n"/>
    </row>
    <row r="260">
      <c r="A260" s="22" t="n"/>
      <c r="B260" s="34" t="n"/>
      <c r="C260" s="35" t="n"/>
      <c r="D260" s="26" t="n"/>
      <c r="E260" s="26" t="n"/>
    </row>
    <row r="261">
      <c r="A261" s="22" t="n"/>
      <c r="B261" s="34" t="n"/>
      <c r="C261" s="35" t="n"/>
      <c r="D261" s="26" t="n"/>
      <c r="E261" s="26" t="n"/>
    </row>
    <row r="262">
      <c r="A262" s="22" t="n"/>
      <c r="B262" s="34" t="n"/>
      <c r="C262" s="35" t="n"/>
      <c r="D262" s="26" t="n"/>
      <c r="E262" s="26" t="n"/>
    </row>
    <row r="263">
      <c r="A263" s="22" t="n"/>
      <c r="B263" s="34" t="n"/>
      <c r="C263" s="35" t="n"/>
      <c r="D263" s="26" t="n"/>
      <c r="E263" s="26" t="n"/>
    </row>
    <row r="264">
      <c r="A264" s="22" t="n"/>
      <c r="B264" s="34" t="n"/>
      <c r="C264" s="35" t="n"/>
      <c r="D264" s="26" t="n"/>
      <c r="E264" s="26" t="n"/>
    </row>
    <row r="265">
      <c r="A265" s="22" t="n"/>
      <c r="B265" s="34" t="n"/>
      <c r="C265" s="35" t="n"/>
      <c r="D265" s="26" t="n"/>
      <c r="E265" s="26" t="n"/>
    </row>
    <row r="266">
      <c r="A266" s="22" t="n"/>
      <c r="B266" s="34" t="n"/>
      <c r="C266" s="35" t="n"/>
      <c r="D266" s="26" t="n"/>
      <c r="E266" s="26" t="n"/>
    </row>
    <row r="267">
      <c r="A267" s="22" t="n"/>
      <c r="B267" s="34" t="n"/>
      <c r="C267" s="35" t="n"/>
      <c r="D267" s="26" t="n"/>
      <c r="E267" s="26" t="n"/>
    </row>
    <row r="268">
      <c r="A268" s="22" t="n"/>
      <c r="B268" s="34" t="n"/>
      <c r="C268" s="35" t="n"/>
      <c r="D268" s="26" t="n"/>
      <c r="E268" s="26" t="n"/>
    </row>
    <row r="269">
      <c r="A269" s="22" t="n"/>
      <c r="B269" s="34" t="n"/>
      <c r="C269" s="35" t="n"/>
      <c r="D269" s="26" t="n"/>
      <c r="E269" s="26" t="n"/>
    </row>
    <row r="270">
      <c r="A270" s="22" t="n"/>
      <c r="B270" s="34" t="n"/>
      <c r="C270" s="35" t="n"/>
      <c r="D270" s="26" t="n"/>
      <c r="E270" s="26" t="n"/>
    </row>
    <row r="271">
      <c r="A271" s="22" t="n"/>
      <c r="B271" s="34" t="n"/>
      <c r="C271" s="35" t="n"/>
      <c r="D271" s="26" t="n"/>
      <c r="E271" s="26" t="n"/>
    </row>
    <row r="272">
      <c r="A272" s="22" t="n"/>
      <c r="B272" s="34" t="n"/>
      <c r="C272" s="35" t="n"/>
      <c r="D272" s="26" t="n"/>
      <c r="E272" s="26" t="n"/>
    </row>
    <row r="273">
      <c r="A273" s="22" t="n"/>
      <c r="B273" s="34" t="n"/>
      <c r="C273" s="35" t="n"/>
      <c r="D273" s="26" t="n"/>
      <c r="E273" s="26" t="n"/>
    </row>
    <row r="274">
      <c r="A274" s="22" t="n"/>
      <c r="B274" s="34" t="n"/>
      <c r="C274" s="35" t="n"/>
      <c r="D274" s="26" t="n"/>
      <c r="E274" s="26" t="n"/>
    </row>
    <row r="275">
      <c r="A275" s="22" t="n"/>
      <c r="B275" s="34" t="n"/>
      <c r="C275" s="35" t="n"/>
      <c r="D275" s="26" t="n"/>
      <c r="E275" s="26" t="n"/>
    </row>
    <row r="276">
      <c r="A276" s="22" t="n"/>
      <c r="B276" s="34" t="n"/>
      <c r="C276" s="35" t="n"/>
      <c r="D276" s="26" t="n"/>
      <c r="E276" s="26" t="n"/>
    </row>
    <row r="277">
      <c r="A277" s="22" t="n"/>
      <c r="B277" s="34" t="n"/>
      <c r="C277" s="35" t="n"/>
      <c r="D277" s="26" t="n"/>
      <c r="E277" s="26" t="n"/>
    </row>
    <row r="278">
      <c r="A278" s="22" t="n"/>
      <c r="B278" s="34" t="n"/>
      <c r="C278" s="35" t="n"/>
      <c r="D278" s="26" t="n"/>
      <c r="E278" s="26" t="n"/>
    </row>
    <row r="279">
      <c r="A279" s="22" t="n"/>
      <c r="B279" s="34" t="n"/>
      <c r="C279" s="35" t="n"/>
      <c r="D279" s="26" t="n"/>
      <c r="E279" s="26" t="n"/>
    </row>
    <row r="280">
      <c r="A280" s="22" t="n"/>
      <c r="B280" s="34" t="n"/>
      <c r="C280" s="35" t="n"/>
      <c r="D280" s="26" t="n"/>
      <c r="E280" s="26" t="n"/>
    </row>
    <row r="281">
      <c r="A281" s="22" t="n"/>
      <c r="B281" s="34" t="n"/>
      <c r="C281" s="35" t="n"/>
      <c r="D281" s="26" t="n"/>
      <c r="E281" s="26" t="n"/>
    </row>
    <row r="282">
      <c r="A282" s="22" t="n"/>
      <c r="B282" s="34" t="n"/>
      <c r="C282" s="35" t="n"/>
      <c r="D282" s="26" t="n"/>
      <c r="E282" s="26" t="n"/>
    </row>
    <row r="283">
      <c r="A283" s="22" t="n"/>
      <c r="B283" s="34" t="n"/>
      <c r="C283" s="35" t="n"/>
      <c r="D283" s="26" t="n"/>
      <c r="E283" s="26" t="n"/>
    </row>
    <row r="284">
      <c r="A284" s="22" t="n"/>
      <c r="B284" s="34" t="n"/>
      <c r="C284" s="35" t="n"/>
      <c r="D284" s="26" t="n"/>
      <c r="E284" s="26" t="n"/>
    </row>
    <row r="285">
      <c r="A285" s="22" t="n"/>
      <c r="B285" s="34" t="n"/>
      <c r="C285" s="35" t="n"/>
      <c r="D285" s="26" t="n"/>
      <c r="E285" s="26" t="n"/>
    </row>
    <row r="286">
      <c r="A286" s="22" t="n"/>
      <c r="B286" s="34" t="n"/>
      <c r="C286" s="35" t="n"/>
      <c r="D286" s="26" t="n"/>
      <c r="E286" s="26" t="n"/>
    </row>
    <row r="287">
      <c r="A287" s="22" t="n"/>
      <c r="B287" s="34" t="n"/>
      <c r="C287" s="35" t="n"/>
      <c r="D287" s="26" t="n"/>
      <c r="E287" s="26" t="n"/>
    </row>
    <row r="288">
      <c r="A288" s="22" t="n"/>
      <c r="B288" s="34" t="n"/>
      <c r="C288" s="35" t="n"/>
      <c r="D288" s="26" t="n"/>
      <c r="E288" s="26" t="n"/>
    </row>
    <row r="289">
      <c r="A289" s="22" t="n"/>
      <c r="B289" s="34" t="n"/>
      <c r="C289" s="35" t="n"/>
      <c r="D289" s="26" t="n"/>
      <c r="E289" s="26" t="n"/>
    </row>
    <row r="290">
      <c r="A290" s="22" t="n"/>
      <c r="B290" s="34" t="n"/>
      <c r="C290" s="35" t="n"/>
      <c r="D290" s="26" t="n"/>
      <c r="E290" s="26" t="n"/>
    </row>
    <row r="291">
      <c r="A291" s="22" t="n"/>
      <c r="B291" s="34" t="n"/>
      <c r="C291" s="35" t="n"/>
      <c r="D291" s="26" t="n"/>
      <c r="E291" s="26" t="n"/>
    </row>
    <row r="292">
      <c r="A292" s="22" t="n"/>
      <c r="B292" s="34" t="n"/>
      <c r="C292" s="35" t="n"/>
      <c r="D292" s="26" t="n"/>
      <c r="E292" s="26" t="n"/>
    </row>
    <row r="293">
      <c r="A293" s="22" t="n"/>
      <c r="B293" s="34" t="n"/>
      <c r="C293" s="35" t="n"/>
      <c r="D293" s="26" t="n"/>
      <c r="E293" s="26" t="n"/>
    </row>
    <row r="294">
      <c r="A294" s="22" t="n"/>
      <c r="B294" s="34" t="n"/>
      <c r="C294" s="35" t="n"/>
      <c r="D294" s="26" t="n"/>
      <c r="E294" s="26" t="n"/>
    </row>
    <row r="295">
      <c r="A295" s="22" t="n"/>
      <c r="B295" s="34" t="n"/>
      <c r="C295" s="35" t="n"/>
      <c r="D295" s="26" t="n"/>
      <c r="E295" s="26" t="n"/>
    </row>
    <row r="296">
      <c r="A296" s="22" t="n"/>
      <c r="B296" s="34" t="n"/>
      <c r="C296" s="35" t="n"/>
      <c r="D296" s="26" t="n"/>
      <c r="E296" s="26" t="n"/>
    </row>
    <row r="297">
      <c r="A297" s="22" t="n"/>
      <c r="B297" s="34" t="n"/>
      <c r="C297" s="35" t="n"/>
      <c r="D297" s="26" t="n"/>
      <c r="E297" s="26" t="n"/>
    </row>
    <row r="298">
      <c r="A298" s="22" t="n"/>
      <c r="B298" s="34" t="n"/>
      <c r="C298" s="35" t="n"/>
      <c r="D298" s="26" t="n"/>
      <c r="E298" s="26" t="n"/>
    </row>
    <row r="299">
      <c r="A299" s="22" t="n"/>
      <c r="B299" s="34" t="n"/>
      <c r="C299" s="35" t="n"/>
      <c r="D299" s="26" t="n"/>
      <c r="E299" s="26" t="n"/>
    </row>
    <row r="300">
      <c r="A300" s="22" t="n"/>
      <c r="B300" s="34" t="n"/>
      <c r="C300" s="35" t="n"/>
      <c r="D300" s="26" t="n"/>
      <c r="E300" s="26" t="n"/>
    </row>
    <row r="301">
      <c r="A301" s="22" t="n"/>
      <c r="B301" s="34" t="n"/>
      <c r="C301" s="35" t="n"/>
      <c r="D301" s="26" t="n"/>
      <c r="E301" s="26" t="n"/>
    </row>
    <row r="302">
      <c r="A302" s="22" t="n"/>
      <c r="B302" s="34" t="n"/>
      <c r="C302" s="35" t="n"/>
      <c r="D302" s="26" t="n"/>
      <c r="E302" s="26" t="n"/>
    </row>
    <row r="303">
      <c r="A303" s="22" t="n"/>
      <c r="B303" s="34" t="n"/>
      <c r="C303" s="35" t="n"/>
      <c r="D303" s="26" t="n"/>
      <c r="E303" s="26" t="n"/>
    </row>
    <row r="304">
      <c r="A304" s="22" t="n"/>
      <c r="B304" s="34" t="n"/>
      <c r="C304" s="35" t="n"/>
      <c r="D304" s="26" t="n"/>
      <c r="E304" s="26" t="n"/>
    </row>
    <row r="305">
      <c r="A305" s="22" t="n"/>
      <c r="B305" s="34" t="n"/>
      <c r="C305" s="35" t="n"/>
      <c r="D305" s="26" t="n"/>
      <c r="E305" s="26" t="n"/>
    </row>
    <row r="306">
      <c r="A306" s="22" t="n"/>
      <c r="B306" s="34" t="n"/>
      <c r="C306" s="35" t="n"/>
      <c r="D306" s="26" t="n"/>
      <c r="E306" s="26" t="n"/>
    </row>
    <row r="307">
      <c r="A307" s="22" t="n"/>
      <c r="B307" s="34" t="n"/>
      <c r="C307" s="35" t="n"/>
      <c r="D307" s="26" t="n"/>
      <c r="E307" s="26" t="n"/>
    </row>
    <row r="308">
      <c r="A308" s="22" t="n"/>
      <c r="B308" s="34" t="n"/>
      <c r="C308" s="35" t="n"/>
      <c r="D308" s="26" t="n"/>
      <c r="E308" s="26" t="n"/>
    </row>
    <row r="309">
      <c r="A309" s="22" t="n"/>
      <c r="B309" s="34" t="n"/>
      <c r="C309" s="35" t="n"/>
      <c r="D309" s="26" t="n"/>
      <c r="E309" s="26" t="n"/>
    </row>
    <row r="310">
      <c r="A310" s="22" t="n"/>
      <c r="B310" s="34" t="n"/>
      <c r="C310" s="35" t="n"/>
      <c r="D310" s="26" t="n"/>
      <c r="E310" s="26" t="n"/>
    </row>
    <row r="311">
      <c r="A311" s="22" t="n"/>
      <c r="B311" s="34" t="n"/>
      <c r="C311" s="35" t="n"/>
      <c r="D311" s="26" t="n"/>
      <c r="E311" s="26" t="n"/>
    </row>
    <row r="312">
      <c r="A312" s="22" t="n"/>
      <c r="B312" s="34" t="n"/>
      <c r="C312" s="35" t="n"/>
      <c r="D312" s="26" t="n"/>
      <c r="E312" s="26" t="n"/>
    </row>
    <row r="313">
      <c r="A313" s="22" t="n"/>
      <c r="B313" s="34" t="n"/>
      <c r="C313" s="35" t="n"/>
      <c r="D313" s="26" t="n"/>
      <c r="E313" s="26" t="n"/>
    </row>
    <row r="314">
      <c r="A314" s="22" t="n"/>
      <c r="B314" s="34" t="n"/>
      <c r="C314" s="35" t="n"/>
      <c r="D314" s="26" t="n"/>
      <c r="E314" s="26" t="n"/>
    </row>
    <row r="315">
      <c r="A315" s="22" t="n"/>
      <c r="B315" s="34" t="n"/>
      <c r="C315" s="35" t="n"/>
      <c r="D315" s="26" t="n"/>
      <c r="E315" s="26" t="n"/>
    </row>
    <row r="316">
      <c r="A316" s="22" t="n"/>
      <c r="B316" s="34" t="n"/>
      <c r="C316" s="35" t="n"/>
      <c r="D316" s="26" t="n"/>
      <c r="E316" s="26" t="n"/>
    </row>
    <row r="317">
      <c r="A317" s="22" t="n"/>
      <c r="B317" s="34" t="n"/>
      <c r="C317" s="35" t="n"/>
      <c r="D317" s="26" t="n"/>
      <c r="E317" s="26" t="n"/>
    </row>
    <row r="318">
      <c r="A318" s="22" t="n"/>
      <c r="B318" s="34" t="n"/>
      <c r="C318" s="35" t="n"/>
      <c r="D318" s="26" t="n"/>
      <c r="E318" s="26" t="n"/>
    </row>
    <row r="319">
      <c r="A319" s="22" t="n"/>
      <c r="B319" s="34" t="n"/>
      <c r="C319" s="35" t="n"/>
      <c r="D319" s="26" t="n"/>
      <c r="E319" s="26" t="n"/>
    </row>
    <row r="320">
      <c r="A320" s="22" t="n"/>
      <c r="B320" s="34" t="n"/>
      <c r="C320" s="35" t="n"/>
      <c r="D320" s="26" t="n"/>
      <c r="E320" s="26" t="n"/>
    </row>
    <row r="321">
      <c r="A321" s="22" t="n"/>
      <c r="B321" s="34" t="n"/>
      <c r="C321" s="35" t="n"/>
      <c r="D321" s="26" t="n"/>
      <c r="E321" s="26" t="n"/>
    </row>
    <row r="322">
      <c r="A322" s="22" t="n"/>
      <c r="B322" s="34" t="n"/>
      <c r="C322" s="35" t="n"/>
      <c r="D322" s="26" t="n"/>
      <c r="E322" s="26" t="n"/>
    </row>
    <row r="323">
      <c r="A323" s="22" t="n"/>
      <c r="B323" s="34" t="n"/>
      <c r="C323" s="35" t="n"/>
      <c r="D323" s="26" t="n"/>
      <c r="E323" s="26" t="n"/>
    </row>
    <row r="324">
      <c r="A324" s="22" t="n"/>
      <c r="B324" s="34" t="n"/>
      <c r="C324" s="35" t="n"/>
      <c r="D324" s="26" t="n"/>
      <c r="E324" s="26" t="n"/>
    </row>
    <row r="325">
      <c r="A325" s="22" t="n"/>
      <c r="B325" s="34" t="n"/>
      <c r="C325" s="35" t="n"/>
      <c r="D325" s="26" t="n"/>
      <c r="E325" s="26" t="n"/>
    </row>
    <row r="326">
      <c r="A326" s="22" t="n"/>
      <c r="B326" s="34" t="n"/>
      <c r="C326" s="35" t="n"/>
      <c r="D326" s="26" t="n"/>
      <c r="E326" s="26" t="n"/>
    </row>
    <row r="327">
      <c r="A327" s="22" t="n"/>
      <c r="B327" s="34" t="n"/>
      <c r="C327" s="35" t="n"/>
      <c r="D327" s="26" t="n"/>
      <c r="E327" s="26" t="n"/>
    </row>
    <row r="328">
      <c r="A328" s="22" t="n"/>
      <c r="B328" s="34" t="n"/>
      <c r="C328" s="35" t="n"/>
      <c r="D328" s="26" t="n"/>
      <c r="E328" s="26" t="n"/>
    </row>
    <row r="329">
      <c r="A329" s="22" t="n"/>
      <c r="B329" s="34" t="n"/>
      <c r="C329" s="35" t="n"/>
      <c r="D329" s="26" t="n"/>
      <c r="E329" s="26" t="n"/>
    </row>
    <row r="330">
      <c r="A330" s="22" t="n"/>
      <c r="B330" s="34" t="n"/>
      <c r="C330" s="35" t="n"/>
      <c r="D330" s="26" t="n"/>
      <c r="E330" s="26" t="n"/>
    </row>
    <row r="331">
      <c r="A331" s="22" t="n"/>
      <c r="B331" s="34" t="n"/>
      <c r="C331" s="35" t="n"/>
      <c r="D331" s="26" t="n"/>
      <c r="E331" s="26" t="n"/>
    </row>
    <row r="332">
      <c r="A332" s="22" t="n"/>
      <c r="B332" s="34" t="n"/>
      <c r="C332" s="35" t="n"/>
      <c r="D332" s="26" t="n"/>
      <c r="E332" s="26" t="n"/>
    </row>
    <row r="333">
      <c r="A333" s="22" t="n"/>
      <c r="B333" s="34" t="n"/>
      <c r="C333" s="35" t="n"/>
      <c r="D333" s="26" t="n"/>
      <c r="E333" s="26" t="n"/>
    </row>
    <row r="334">
      <c r="A334" s="22" t="n"/>
      <c r="B334" s="34" t="n"/>
      <c r="C334" s="35" t="n"/>
      <c r="D334" s="26" t="n"/>
      <c r="E334" s="26" t="n"/>
    </row>
    <row r="335">
      <c r="A335" s="22" t="n"/>
      <c r="B335" s="34" t="n"/>
      <c r="C335" s="35" t="n"/>
      <c r="D335" s="26" t="n"/>
      <c r="E335" s="26" t="n"/>
    </row>
    <row r="336">
      <c r="A336" s="22" t="n"/>
      <c r="B336" s="34" t="n"/>
      <c r="C336" s="35" t="n"/>
      <c r="D336" s="26" t="n"/>
      <c r="E336" s="26" t="n"/>
    </row>
    <row r="337">
      <c r="A337" s="22" t="n"/>
      <c r="B337" s="34" t="n"/>
      <c r="C337" s="35" t="n"/>
      <c r="D337" s="26" t="n"/>
      <c r="E337" s="26" t="n"/>
    </row>
    <row r="338">
      <c r="A338" s="22" t="n"/>
      <c r="B338" s="34" t="n"/>
      <c r="C338" s="35" t="n"/>
      <c r="D338" s="26" t="n"/>
      <c r="E338" s="26" t="n"/>
    </row>
    <row r="339">
      <c r="A339" s="22" t="n"/>
      <c r="B339" s="34" t="n"/>
      <c r="C339" s="35" t="n"/>
      <c r="D339" s="26" t="n"/>
      <c r="E339" s="26" t="n"/>
    </row>
    <row r="340">
      <c r="A340" s="22" t="n"/>
      <c r="B340" s="34" t="n"/>
      <c r="C340" s="35" t="n"/>
      <c r="D340" s="26" t="n"/>
      <c r="E340" s="26" t="n"/>
    </row>
    <row r="341">
      <c r="A341" s="22" t="n"/>
      <c r="B341" s="34" t="n"/>
      <c r="C341" s="35" t="n"/>
      <c r="D341" s="26" t="n"/>
      <c r="E341" s="26" t="n"/>
    </row>
    <row r="342">
      <c r="A342" s="22" t="n"/>
      <c r="B342" s="34" t="n"/>
      <c r="C342" s="35" t="n"/>
      <c r="D342" s="26" t="n"/>
      <c r="E342" s="26" t="n"/>
    </row>
    <row r="343">
      <c r="A343" s="22" t="n"/>
      <c r="B343" s="34" t="n"/>
      <c r="C343" s="35" t="n"/>
      <c r="D343" s="26" t="n"/>
      <c r="E343" s="26" t="n"/>
    </row>
    <row r="344">
      <c r="A344" s="22" t="n"/>
      <c r="B344" s="34" t="n"/>
      <c r="C344" s="35" t="n"/>
      <c r="D344" s="26" t="n"/>
      <c r="E344" s="26" t="n"/>
    </row>
    <row r="345">
      <c r="A345" s="22" t="n"/>
      <c r="B345" s="34" t="n"/>
      <c r="C345" s="35" t="n"/>
      <c r="D345" s="26" t="n"/>
      <c r="E345" s="26" t="n"/>
    </row>
    <row r="346">
      <c r="A346" s="22" t="n"/>
      <c r="B346" s="34" t="n"/>
      <c r="C346" s="35" t="n"/>
      <c r="D346" s="26" t="n"/>
      <c r="E346" s="26" t="n"/>
    </row>
    <row r="347">
      <c r="A347" s="22" t="n"/>
      <c r="B347" s="34" t="n"/>
      <c r="C347" s="35" t="n"/>
      <c r="D347" s="26" t="n"/>
      <c r="E347" s="26" t="n"/>
    </row>
    <row r="348">
      <c r="A348" s="22" t="n"/>
      <c r="B348" s="34" t="n"/>
      <c r="C348" s="35" t="n"/>
      <c r="D348" s="26" t="n"/>
      <c r="E348" s="26" t="n"/>
    </row>
    <row r="349">
      <c r="A349" s="22" t="n"/>
      <c r="B349" s="34" t="n"/>
      <c r="C349" s="35" t="n"/>
      <c r="D349" s="26" t="n"/>
      <c r="E349" s="26" t="n"/>
    </row>
    <row r="350">
      <c r="A350" s="22" t="n"/>
      <c r="B350" s="34" t="n"/>
      <c r="C350" s="35" t="n"/>
      <c r="D350" s="26" t="n"/>
      <c r="E350" s="26" t="n"/>
    </row>
    <row r="351">
      <c r="A351" s="22" t="n"/>
      <c r="B351" s="34" t="n"/>
      <c r="C351" s="35" t="n"/>
      <c r="D351" s="26" t="n"/>
      <c r="E351" s="26" t="n"/>
    </row>
    <row r="352">
      <c r="A352" s="22" t="n"/>
      <c r="B352" s="34" t="n"/>
      <c r="C352" s="35" t="n"/>
      <c r="D352" s="26" t="n"/>
      <c r="E352" s="26" t="n"/>
    </row>
    <row r="353">
      <c r="A353" s="22" t="n"/>
      <c r="B353" s="34" t="n"/>
      <c r="C353" s="35" t="n"/>
      <c r="D353" s="26" t="n"/>
      <c r="E353" s="26" t="n"/>
    </row>
    <row r="354">
      <c r="A354" s="22" t="n"/>
      <c r="B354" s="34" t="n"/>
      <c r="C354" s="35" t="n"/>
      <c r="D354" s="26" t="n"/>
      <c r="E354" s="26" t="n"/>
    </row>
    <row r="355">
      <c r="A355" s="22" t="n"/>
      <c r="B355" s="34" t="n"/>
      <c r="C355" s="35" t="n"/>
      <c r="D355" s="26" t="n"/>
      <c r="E355" s="26" t="n"/>
    </row>
    <row r="356">
      <c r="A356" s="22" t="n"/>
      <c r="B356" s="34" t="n"/>
      <c r="C356" s="35" t="n"/>
      <c r="D356" s="26" t="n"/>
      <c r="E356" s="26" t="n"/>
    </row>
    <row r="357">
      <c r="A357" s="22" t="n"/>
      <c r="B357" s="34" t="n"/>
      <c r="C357" s="35" t="n"/>
      <c r="D357" s="26" t="n"/>
      <c r="E357" s="26" t="n"/>
    </row>
    <row r="358">
      <c r="A358" s="22" t="n"/>
      <c r="B358" s="34" t="n"/>
      <c r="C358" s="35" t="n"/>
      <c r="D358" s="26" t="n"/>
      <c r="E358" s="26" t="n"/>
    </row>
    <row r="359">
      <c r="A359" s="22" t="n"/>
      <c r="B359" s="34" t="n"/>
      <c r="C359" s="35" t="n"/>
      <c r="D359" s="26" t="n"/>
      <c r="E359" s="26" t="n"/>
    </row>
    <row r="360">
      <c r="A360" s="22" t="n"/>
      <c r="B360" s="34" t="n"/>
      <c r="C360" s="35" t="n"/>
      <c r="D360" s="26" t="n"/>
      <c r="E360" s="26" t="n"/>
    </row>
    <row r="361">
      <c r="A361" s="22" t="n"/>
      <c r="B361" s="34" t="n"/>
      <c r="C361" s="35" t="n"/>
      <c r="D361" s="26" t="n"/>
      <c r="E361" s="26" t="n"/>
    </row>
    <row r="362">
      <c r="A362" s="22" t="n"/>
      <c r="B362" s="34" t="n"/>
      <c r="C362" s="35" t="n"/>
      <c r="D362" s="26" t="n"/>
      <c r="E362" s="26" t="n"/>
    </row>
    <row r="363">
      <c r="A363" s="22" t="n"/>
      <c r="B363" s="34" t="n"/>
      <c r="C363" s="35" t="n"/>
      <c r="D363" s="26" t="n"/>
      <c r="E363" s="26" t="n"/>
    </row>
    <row r="364">
      <c r="A364" s="22" t="n"/>
      <c r="B364" s="34" t="n"/>
      <c r="C364" s="35" t="n"/>
      <c r="D364" s="26" t="n"/>
      <c r="E364" s="26" t="n"/>
    </row>
    <row r="365">
      <c r="A365" s="22" t="n"/>
      <c r="B365" s="34" t="n"/>
      <c r="C365" s="35" t="n"/>
      <c r="D365" s="26" t="n"/>
      <c r="E365" s="26" t="n"/>
    </row>
    <row r="366">
      <c r="A366" s="22" t="n"/>
      <c r="B366" s="34" t="n"/>
      <c r="C366" s="35" t="n"/>
      <c r="D366" s="26" t="n"/>
      <c r="E366" s="26" t="n"/>
    </row>
    <row r="367">
      <c r="A367" s="22" t="n"/>
      <c r="B367" s="34" t="n"/>
      <c r="C367" s="35" t="n"/>
      <c r="D367" s="26" t="n"/>
      <c r="E367" s="26" t="n"/>
    </row>
    <row r="368">
      <c r="A368" s="22" t="n"/>
      <c r="B368" s="34" t="n"/>
      <c r="C368" s="35" t="n"/>
      <c r="D368" s="26" t="n"/>
      <c r="E368" s="26" t="n"/>
    </row>
    <row r="369">
      <c r="A369" s="22" t="n"/>
      <c r="B369" s="34" t="n"/>
      <c r="C369" s="35" t="n"/>
      <c r="D369" s="26" t="n"/>
      <c r="E369" s="26" t="n"/>
    </row>
    <row r="370">
      <c r="A370" s="22" t="n"/>
      <c r="B370" s="34" t="n"/>
      <c r="C370" s="35" t="n"/>
      <c r="D370" s="26" t="n"/>
      <c r="E370" s="26" t="n"/>
    </row>
    <row r="371">
      <c r="A371" s="22" t="n"/>
      <c r="B371" s="34" t="n"/>
      <c r="C371" s="35" t="n"/>
      <c r="D371" s="26" t="n"/>
      <c r="E371" s="26" t="n"/>
    </row>
    <row r="372">
      <c r="A372" s="22" t="n"/>
      <c r="B372" s="34" t="n"/>
      <c r="C372" s="35" t="n"/>
      <c r="D372" s="26" t="n"/>
      <c r="E372" s="26" t="n"/>
    </row>
    <row r="373">
      <c r="A373" s="22" t="n"/>
      <c r="B373" s="34" t="n"/>
      <c r="C373" s="35" t="n"/>
      <c r="D373" s="26" t="n"/>
      <c r="E373" s="26" t="n"/>
    </row>
    <row r="374">
      <c r="A374" s="22" t="n"/>
      <c r="B374" s="34" t="n"/>
      <c r="C374" s="35" t="n"/>
      <c r="D374" s="26" t="n"/>
      <c r="E374" s="26" t="n"/>
    </row>
    <row r="375">
      <c r="A375" s="22" t="n"/>
      <c r="B375" s="34" t="n"/>
      <c r="C375" s="35" t="n"/>
      <c r="D375" s="26" t="n"/>
      <c r="E375" s="26" t="n"/>
    </row>
    <row r="376">
      <c r="A376" s="22" t="n"/>
      <c r="B376" s="34" t="n"/>
      <c r="C376" s="35" t="n"/>
      <c r="D376" s="26" t="n"/>
      <c r="E376" s="26" t="n"/>
    </row>
    <row r="377">
      <c r="A377" s="22" t="n"/>
      <c r="B377" s="34" t="n"/>
      <c r="C377" s="35" t="n"/>
      <c r="D377" s="26" t="n"/>
      <c r="E377" s="26" t="n"/>
    </row>
    <row r="378">
      <c r="A378" s="22" t="n"/>
      <c r="B378" s="34" t="n"/>
      <c r="C378" s="35" t="n"/>
      <c r="D378" s="26" t="n"/>
      <c r="E378" s="26" t="n"/>
    </row>
    <row r="379">
      <c r="A379" s="22" t="n"/>
      <c r="B379" s="34" t="n"/>
      <c r="C379" s="35" t="n"/>
      <c r="D379" s="26" t="n"/>
      <c r="E379" s="26" t="n"/>
    </row>
    <row r="380">
      <c r="A380" s="22" t="n"/>
      <c r="B380" s="34" t="n"/>
      <c r="C380" s="35" t="n"/>
      <c r="D380" s="26" t="n"/>
      <c r="E380" s="26" t="n"/>
    </row>
    <row r="381">
      <c r="A381" s="22" t="n"/>
      <c r="B381" s="34" t="n"/>
      <c r="C381" s="35" t="n"/>
      <c r="D381" s="26" t="n"/>
      <c r="E381" s="26" t="n"/>
    </row>
    <row r="382">
      <c r="A382" s="22" t="n"/>
      <c r="B382" s="34" t="n"/>
      <c r="C382" s="35" t="n"/>
      <c r="D382" s="26" t="n"/>
      <c r="E382" s="26" t="n"/>
    </row>
    <row r="383">
      <c r="A383" s="22" t="n"/>
      <c r="B383" s="34" t="n"/>
      <c r="C383" s="35" t="n"/>
      <c r="D383" s="26" t="n"/>
      <c r="E383" s="26" t="n"/>
    </row>
    <row r="384">
      <c r="A384" s="22" t="n"/>
      <c r="B384" s="34" t="n"/>
      <c r="C384" s="35" t="n"/>
      <c r="D384" s="26" t="n"/>
      <c r="E384" s="26" t="n"/>
    </row>
    <row r="385">
      <c r="A385" s="22" t="n"/>
      <c r="B385" s="34" t="n"/>
      <c r="C385" s="35" t="n"/>
      <c r="D385" s="26" t="n"/>
      <c r="E385" s="26" t="n"/>
    </row>
    <row r="386">
      <c r="A386" s="22" t="n"/>
      <c r="B386" s="34" t="n"/>
      <c r="C386" s="35" t="n"/>
      <c r="D386" s="26" t="n"/>
      <c r="E386" s="26" t="n"/>
    </row>
    <row r="387">
      <c r="A387" s="22" t="n"/>
      <c r="B387" s="34" t="n"/>
      <c r="C387" s="35" t="n"/>
      <c r="D387" s="26" t="n"/>
      <c r="E387" s="26" t="n"/>
    </row>
    <row r="388">
      <c r="A388" s="22" t="n"/>
      <c r="B388" s="34" t="n"/>
      <c r="C388" s="35" t="n"/>
      <c r="D388" s="26" t="n"/>
      <c r="E388" s="26" t="n"/>
    </row>
    <row r="389">
      <c r="A389" s="22" t="n"/>
      <c r="B389" s="34" t="n"/>
      <c r="C389" s="35" t="n"/>
      <c r="D389" s="26" t="n"/>
      <c r="E389" s="26" t="n"/>
    </row>
    <row r="390">
      <c r="A390" s="22" t="n"/>
      <c r="B390" s="34" t="n"/>
      <c r="C390" s="35" t="n"/>
      <c r="D390" s="26" t="n"/>
      <c r="E390" s="26" t="n"/>
    </row>
    <row r="391">
      <c r="A391" s="22" t="n"/>
      <c r="B391" s="34" t="n"/>
      <c r="C391" s="35" t="n"/>
      <c r="D391" s="26" t="n"/>
      <c r="E391" s="26" t="n"/>
    </row>
    <row r="392">
      <c r="A392" s="22" t="n"/>
      <c r="B392" s="34" t="n"/>
      <c r="C392" s="35" t="n"/>
      <c r="D392" s="26" t="n"/>
      <c r="E392" s="26" t="n"/>
    </row>
    <row r="393">
      <c r="A393" s="22" t="n"/>
      <c r="B393" s="34" t="n"/>
      <c r="C393" s="35" t="n"/>
      <c r="D393" s="26" t="n"/>
      <c r="E393" s="26" t="n"/>
    </row>
    <row r="394">
      <c r="A394" s="22" t="n"/>
      <c r="B394" s="34" t="n"/>
      <c r="C394" s="35" t="n"/>
      <c r="D394" s="26" t="n"/>
      <c r="E394" s="26" t="n"/>
    </row>
    <row r="395">
      <c r="A395" s="22" t="n"/>
      <c r="B395" s="34" t="n"/>
      <c r="C395" s="35" t="n"/>
      <c r="D395" s="26" t="n"/>
      <c r="E395" s="26" t="n"/>
    </row>
    <row r="396">
      <c r="A396" s="22" t="n"/>
      <c r="B396" s="34" t="n"/>
      <c r="C396" s="35" t="n"/>
      <c r="D396" s="26" t="n"/>
      <c r="E396" s="26" t="n"/>
    </row>
    <row r="397">
      <c r="A397" s="22" t="n"/>
      <c r="B397" s="34" t="n"/>
      <c r="C397" s="35" t="n"/>
      <c r="D397" s="26" t="n"/>
      <c r="E397" s="26" t="n"/>
    </row>
    <row r="398">
      <c r="A398" s="22" t="n"/>
      <c r="B398" s="34" t="n"/>
      <c r="C398" s="35" t="n"/>
      <c r="D398" s="26" t="n"/>
      <c r="E398" s="26" t="n"/>
    </row>
    <row r="399">
      <c r="A399" s="22" t="n"/>
      <c r="B399" s="34" t="n"/>
      <c r="C399" s="35" t="n"/>
      <c r="D399" s="26" t="n"/>
      <c r="E399" s="26" t="n"/>
    </row>
    <row r="400">
      <c r="A400" s="22" t="n"/>
      <c r="B400" s="34" t="n"/>
      <c r="C400" s="35" t="n"/>
      <c r="D400" s="26" t="n"/>
      <c r="E400" s="26" t="n"/>
    </row>
    <row r="401">
      <c r="A401" s="22" t="n"/>
      <c r="B401" s="34" t="n"/>
      <c r="C401" s="35" t="n"/>
      <c r="D401" s="26" t="n"/>
      <c r="E401" s="26" t="n"/>
    </row>
    <row r="402">
      <c r="A402" s="22" t="n"/>
      <c r="B402" s="34" t="n"/>
      <c r="C402" s="35" t="n"/>
      <c r="D402" s="26" t="n"/>
      <c r="E402" s="26" t="n"/>
    </row>
    <row r="403">
      <c r="A403" s="22" t="n"/>
      <c r="B403" s="34" t="n"/>
      <c r="C403" s="35" t="n"/>
      <c r="D403" s="26" t="n"/>
      <c r="E403" s="26" t="n"/>
    </row>
    <row r="404">
      <c r="A404" s="22" t="n"/>
      <c r="B404" s="34" t="n"/>
      <c r="C404" s="35" t="n"/>
      <c r="D404" s="26" t="n"/>
      <c r="E404" s="26" t="n"/>
    </row>
    <row r="405">
      <c r="A405" s="22" t="n"/>
      <c r="B405" s="34" t="n"/>
      <c r="C405" s="35" t="n"/>
      <c r="D405" s="26" t="n"/>
      <c r="E405" s="26" t="n"/>
    </row>
    <row r="406">
      <c r="A406" s="22" t="n"/>
      <c r="B406" s="34" t="n"/>
      <c r="C406" s="35" t="n"/>
      <c r="D406" s="26" t="n"/>
      <c r="E406" s="26" t="n"/>
    </row>
    <row r="407">
      <c r="A407" s="22" t="n"/>
      <c r="B407" s="34" t="n"/>
      <c r="C407" s="35" t="n"/>
      <c r="D407" s="26" t="n"/>
      <c r="E407" s="26" t="n"/>
    </row>
    <row r="408">
      <c r="A408" s="22" t="n"/>
      <c r="B408" s="34" t="n"/>
      <c r="C408" s="35" t="n"/>
      <c r="D408" s="26" t="n"/>
      <c r="E408" s="26" t="n"/>
    </row>
    <row r="409">
      <c r="A409" s="22" t="n"/>
      <c r="B409" s="34" t="n"/>
      <c r="C409" s="35" t="n"/>
      <c r="D409" s="26" t="n"/>
      <c r="E409" s="26" t="n"/>
    </row>
    <row r="410">
      <c r="A410" s="22" t="n"/>
      <c r="B410" s="34" t="n"/>
      <c r="C410" s="35" t="n"/>
      <c r="D410" s="26" t="n"/>
      <c r="E410" s="26" t="n"/>
    </row>
    <row r="411">
      <c r="A411" s="22" t="n"/>
      <c r="B411" s="34" t="n"/>
      <c r="C411" s="35" t="n"/>
      <c r="D411" s="26" t="n"/>
      <c r="E411" s="26" t="n"/>
    </row>
    <row r="412">
      <c r="A412" s="22" t="n"/>
      <c r="B412" s="34" t="n"/>
      <c r="C412" s="35" t="n"/>
      <c r="D412" s="26" t="n"/>
      <c r="E412" s="26" t="n"/>
    </row>
    <row r="413">
      <c r="A413" s="22" t="n"/>
      <c r="B413" s="34" t="n"/>
      <c r="C413" s="35" t="n"/>
      <c r="D413" s="26" t="n"/>
      <c r="E413" s="26" t="n"/>
    </row>
    <row r="414">
      <c r="A414" s="22" t="n"/>
      <c r="B414" s="34" t="n"/>
      <c r="C414" s="35" t="n"/>
      <c r="D414" s="26" t="n"/>
      <c r="E414" s="26" t="n"/>
    </row>
    <row r="415">
      <c r="A415" s="22" t="n"/>
      <c r="B415" s="34" t="n"/>
      <c r="C415" s="35" t="n"/>
      <c r="D415" s="26" t="n"/>
      <c r="E415" s="26" t="n"/>
    </row>
    <row r="416">
      <c r="A416" s="22" t="n"/>
      <c r="B416" s="34" t="n"/>
      <c r="C416" s="35" t="n"/>
      <c r="D416" s="26" t="n"/>
      <c r="E416" s="26" t="n"/>
    </row>
    <row r="417">
      <c r="A417" s="22" t="n"/>
      <c r="B417" s="34" t="n"/>
      <c r="C417" s="35" t="n"/>
      <c r="D417" s="26" t="n"/>
      <c r="E417" s="26" t="n"/>
    </row>
    <row r="418">
      <c r="A418" s="22" t="n"/>
      <c r="B418" s="34" t="n"/>
      <c r="C418" s="35" t="n"/>
      <c r="D418" s="26" t="n"/>
      <c r="E418" s="26" t="n"/>
    </row>
    <row r="419">
      <c r="A419" s="22" t="n"/>
      <c r="B419" s="34" t="n"/>
      <c r="C419" s="35" t="n"/>
      <c r="D419" s="26" t="n"/>
      <c r="E419" s="26" t="n"/>
    </row>
    <row r="420">
      <c r="A420" s="22" t="n"/>
      <c r="B420" s="34" t="n"/>
      <c r="C420" s="35" t="n"/>
      <c r="D420" s="26" t="n"/>
      <c r="E420" s="26" t="n"/>
    </row>
    <row r="421">
      <c r="A421" s="22" t="n"/>
      <c r="B421" s="34" t="n"/>
      <c r="C421" s="35" t="n"/>
      <c r="D421" s="26" t="n"/>
      <c r="E421" s="26" t="n"/>
    </row>
    <row r="422">
      <c r="A422" s="22" t="n"/>
      <c r="B422" s="34" t="n"/>
      <c r="C422" s="35" t="n"/>
      <c r="D422" s="26" t="n"/>
      <c r="E422" s="26" t="n"/>
    </row>
    <row r="423">
      <c r="A423" s="22" t="n"/>
      <c r="B423" s="34" t="n"/>
      <c r="C423" s="35" t="n"/>
      <c r="D423" s="26" t="n"/>
      <c r="E423" s="26" t="n"/>
    </row>
    <row r="424">
      <c r="A424" s="22" t="n"/>
      <c r="B424" s="34" t="n"/>
      <c r="C424" s="35" t="n"/>
      <c r="D424" s="26" t="n"/>
      <c r="E424" s="26" t="n"/>
    </row>
    <row r="425">
      <c r="A425" s="22" t="n"/>
      <c r="B425" s="34" t="n"/>
      <c r="C425" s="35" t="n"/>
      <c r="D425" s="26" t="n"/>
      <c r="E425" s="26" t="n"/>
    </row>
    <row r="426">
      <c r="A426" s="22" t="n"/>
      <c r="B426" s="34" t="n"/>
      <c r="C426" s="35" t="n"/>
      <c r="D426" s="26" t="n"/>
      <c r="E426" s="26" t="n"/>
    </row>
    <row r="427">
      <c r="A427" s="22" t="n"/>
      <c r="B427" s="34" t="n"/>
      <c r="C427" s="35" t="n"/>
      <c r="D427" s="26" t="n"/>
      <c r="E427" s="26" t="n"/>
    </row>
    <row r="428">
      <c r="A428" s="22" t="n"/>
      <c r="B428" s="34" t="n"/>
      <c r="C428" s="35" t="n"/>
      <c r="D428" s="26" t="n"/>
      <c r="E428" s="26" t="n"/>
    </row>
    <row r="429">
      <c r="A429" s="22" t="n"/>
      <c r="B429" s="34" t="n"/>
      <c r="C429" s="35" t="n"/>
      <c r="D429" s="26" t="n"/>
      <c r="E429" s="26" t="n"/>
    </row>
    <row r="430">
      <c r="A430" s="22" t="n"/>
      <c r="B430" s="34" t="n"/>
      <c r="C430" s="35" t="n"/>
      <c r="D430" s="26" t="n"/>
      <c r="E430" s="26" t="n"/>
    </row>
    <row r="431">
      <c r="A431" s="22" t="n"/>
      <c r="B431" s="34" t="n"/>
      <c r="C431" s="35" t="n"/>
      <c r="D431" s="26" t="n"/>
      <c r="E431" s="26" t="n"/>
    </row>
    <row r="432">
      <c r="A432" s="22" t="n"/>
      <c r="B432" s="34" t="n"/>
      <c r="C432" s="35" t="n"/>
      <c r="D432" s="26" t="n"/>
      <c r="E432" s="26" t="n"/>
    </row>
    <row r="433">
      <c r="A433" s="22" t="n"/>
      <c r="B433" s="34" t="n"/>
      <c r="C433" s="35" t="n"/>
      <c r="D433" s="26" t="n"/>
      <c r="E433" s="26" t="n"/>
    </row>
    <row r="434">
      <c r="A434" s="22" t="n"/>
      <c r="B434" s="34" t="n"/>
      <c r="C434" s="35" t="n"/>
      <c r="D434" s="26" t="n"/>
      <c r="E434" s="26" t="n"/>
    </row>
    <row r="435">
      <c r="A435" s="22" t="n"/>
      <c r="B435" s="34" t="n"/>
      <c r="C435" s="35" t="n"/>
      <c r="D435" s="26" t="n"/>
      <c r="E435" s="26" t="n"/>
    </row>
    <row r="436">
      <c r="A436" s="22" t="n"/>
      <c r="B436" s="34" t="n"/>
      <c r="C436" s="35" t="n"/>
      <c r="D436" s="26" t="n"/>
      <c r="E436" s="26" t="n"/>
    </row>
    <row r="437">
      <c r="A437" s="22" t="n"/>
      <c r="B437" s="34" t="n"/>
      <c r="C437" s="35" t="n"/>
      <c r="D437" s="26" t="n"/>
      <c r="E437" s="26" t="n"/>
    </row>
    <row r="438">
      <c r="A438" s="22" t="n"/>
      <c r="B438" s="34" t="n"/>
      <c r="C438" s="35" t="n"/>
      <c r="D438" s="26" t="n"/>
      <c r="E438" s="26" t="n"/>
    </row>
    <row r="439">
      <c r="A439" s="22" t="n"/>
      <c r="B439" s="34" t="n"/>
      <c r="C439" s="35" t="n"/>
      <c r="D439" s="26" t="n"/>
      <c r="E439" s="26" t="n"/>
    </row>
    <row r="440">
      <c r="A440" s="22" t="n"/>
      <c r="B440" s="34" t="n"/>
      <c r="C440" s="35" t="n"/>
      <c r="D440" s="26" t="n"/>
      <c r="E440" s="26" t="n"/>
    </row>
    <row r="441">
      <c r="A441" s="22" t="n"/>
      <c r="B441" s="34" t="n"/>
      <c r="C441" s="35" t="n"/>
      <c r="D441" s="26" t="n"/>
      <c r="E441" s="26" t="n"/>
    </row>
    <row r="442">
      <c r="A442" s="22" t="n"/>
      <c r="B442" s="34" t="n"/>
      <c r="C442" s="35" t="n"/>
      <c r="D442" s="26" t="n"/>
      <c r="E442" s="26" t="n"/>
    </row>
    <row r="443">
      <c r="A443" s="22" t="n"/>
      <c r="B443" s="34" t="n"/>
      <c r="C443" s="35" t="n"/>
      <c r="D443" s="26" t="n"/>
      <c r="E443" s="26" t="n"/>
    </row>
    <row r="444">
      <c r="A444" s="22" t="n"/>
      <c r="B444" s="34" t="n"/>
      <c r="C444" s="35" t="n"/>
      <c r="D444" s="26" t="n"/>
      <c r="E444" s="26" t="n"/>
    </row>
    <row r="445">
      <c r="A445" s="22" t="n"/>
      <c r="B445" s="34" t="n"/>
      <c r="C445" s="35" t="n"/>
      <c r="D445" s="26" t="n"/>
      <c r="E445" s="26" t="n"/>
    </row>
    <row r="446">
      <c r="A446" s="22" t="n"/>
      <c r="B446" s="34" t="n"/>
      <c r="C446" s="35" t="n"/>
      <c r="D446" s="26" t="n"/>
      <c r="E446" s="26" t="n"/>
    </row>
    <row r="447">
      <c r="A447" s="22" t="n"/>
      <c r="B447" s="34" t="n"/>
      <c r="C447" s="35" t="n"/>
      <c r="D447" s="26" t="n"/>
      <c r="E447" s="26" t="n"/>
    </row>
    <row r="448">
      <c r="A448" s="22" t="n"/>
      <c r="B448" s="34" t="n"/>
      <c r="C448" s="35" t="n"/>
      <c r="D448" s="26" t="n"/>
      <c r="E448" s="26" t="n"/>
    </row>
    <row r="449">
      <c r="A449" s="22" t="n"/>
      <c r="B449" s="34" t="n"/>
      <c r="C449" s="35" t="n"/>
      <c r="D449" s="26" t="n"/>
      <c r="E449" s="26" t="n"/>
    </row>
    <row r="450">
      <c r="A450" s="22" t="n"/>
      <c r="B450" s="34" t="n"/>
      <c r="C450" s="35" t="n"/>
      <c r="D450" s="26" t="n"/>
      <c r="E450" s="26" t="n"/>
    </row>
    <row r="451">
      <c r="A451" s="22" t="n"/>
      <c r="B451" s="34" t="n"/>
      <c r="C451" s="35" t="n"/>
      <c r="D451" s="26" t="n"/>
      <c r="E451" s="26" t="n"/>
    </row>
    <row r="452">
      <c r="A452" s="22" t="n"/>
      <c r="B452" s="34" t="n"/>
      <c r="C452" s="35" t="n"/>
      <c r="D452" s="26" t="n"/>
      <c r="E452" s="26" t="n"/>
    </row>
    <row r="453">
      <c r="A453" s="22" t="n"/>
      <c r="B453" s="34" t="n"/>
      <c r="C453" s="35" t="n"/>
      <c r="D453" s="26" t="n"/>
      <c r="E453" s="26" t="n"/>
    </row>
    <row r="454">
      <c r="A454" s="22" t="n"/>
      <c r="B454" s="34" t="n"/>
      <c r="C454" s="35" t="n"/>
      <c r="D454" s="26" t="n"/>
      <c r="E454" s="26" t="n"/>
    </row>
    <row r="455">
      <c r="A455" s="22" t="n"/>
      <c r="B455" s="34" t="n"/>
      <c r="C455" s="35" t="n"/>
      <c r="D455" s="26" t="n"/>
      <c r="E455" s="26" t="n"/>
    </row>
    <row r="456">
      <c r="A456" s="22" t="n"/>
      <c r="B456" s="34" t="n"/>
      <c r="C456" s="35" t="n"/>
      <c r="D456" s="26" t="n"/>
      <c r="E456" s="26" t="n"/>
    </row>
    <row r="457">
      <c r="A457" s="22" t="n"/>
      <c r="B457" s="34" t="n"/>
      <c r="C457" s="35" t="n"/>
      <c r="D457" s="26" t="n"/>
      <c r="E457" s="26" t="n"/>
    </row>
    <row r="458">
      <c r="A458" s="22" t="n"/>
      <c r="B458" s="34" t="n"/>
      <c r="C458" s="35" t="n"/>
      <c r="D458" s="26" t="n"/>
      <c r="E458" s="26" t="n"/>
    </row>
    <row r="459">
      <c r="A459" s="22" t="n"/>
      <c r="B459" s="34" t="n"/>
      <c r="C459" s="35" t="n"/>
      <c r="D459" s="26" t="n"/>
      <c r="E459" s="26" t="n"/>
    </row>
    <row r="460">
      <c r="A460" s="22" t="n"/>
      <c r="B460" s="34" t="n"/>
      <c r="C460" s="35" t="n"/>
      <c r="D460" s="26" t="n"/>
      <c r="E460" s="26" t="n"/>
    </row>
    <row r="461">
      <c r="A461" s="22" t="n"/>
      <c r="B461" s="34" t="n"/>
      <c r="C461" s="35" t="n"/>
      <c r="D461" s="26" t="n"/>
      <c r="E461" s="26" t="n"/>
    </row>
    <row r="462">
      <c r="A462" s="22" t="n"/>
      <c r="B462" s="34" t="n"/>
      <c r="C462" s="35" t="n"/>
      <c r="D462" s="26" t="n"/>
      <c r="E462" s="26" t="n"/>
    </row>
    <row r="463">
      <c r="A463" s="22" t="n"/>
      <c r="B463" s="34" t="n"/>
      <c r="C463" s="35" t="n"/>
      <c r="D463" s="26" t="n"/>
      <c r="E463" s="26" t="n"/>
    </row>
    <row r="464">
      <c r="A464" s="22" t="n"/>
      <c r="B464" s="34" t="n"/>
      <c r="C464" s="35" t="n"/>
      <c r="D464" s="26" t="n"/>
      <c r="E464" s="26" t="n"/>
    </row>
    <row r="465">
      <c r="A465" s="22" t="n"/>
      <c r="B465" s="34" t="n"/>
      <c r="C465" s="35" t="n"/>
      <c r="D465" s="26" t="n"/>
      <c r="E465" s="26" t="n"/>
    </row>
    <row r="466">
      <c r="A466" s="22" t="n"/>
      <c r="B466" s="34" t="n"/>
      <c r="C466" s="35" t="n"/>
      <c r="D466" s="26" t="n"/>
      <c r="E466" s="26" t="n"/>
    </row>
    <row r="467">
      <c r="A467" s="22" t="n"/>
      <c r="B467" s="34" t="n"/>
      <c r="C467" s="35" t="n"/>
      <c r="D467" s="26" t="n"/>
      <c r="E467" s="26" t="n"/>
    </row>
    <row r="468">
      <c r="A468" s="22" t="n"/>
      <c r="B468" s="34" t="n"/>
      <c r="C468" s="35" t="n"/>
      <c r="D468" s="26" t="n"/>
      <c r="E468" s="26" t="n"/>
    </row>
    <row r="469">
      <c r="A469" s="22" t="n"/>
      <c r="B469" s="34" t="n"/>
      <c r="C469" s="35" t="n"/>
      <c r="D469" s="26" t="n"/>
      <c r="E469" s="26" t="n"/>
    </row>
    <row r="470">
      <c r="A470" s="22" t="n"/>
      <c r="B470" s="34" t="n"/>
      <c r="C470" s="35" t="n"/>
      <c r="D470" s="26" t="n"/>
      <c r="E470" s="26" t="n"/>
    </row>
    <row r="471">
      <c r="A471" s="22" t="n"/>
      <c r="B471" s="34" t="n"/>
      <c r="C471" s="35" t="n"/>
      <c r="D471" s="26" t="n"/>
      <c r="E471" s="26" t="n"/>
    </row>
    <row r="472">
      <c r="A472" s="22" t="n"/>
      <c r="B472" s="34" t="n"/>
      <c r="C472" s="35" t="n"/>
      <c r="D472" s="26" t="n"/>
      <c r="E472" s="26" t="n"/>
    </row>
    <row r="473">
      <c r="A473" s="22" t="n"/>
      <c r="B473" s="34" t="n"/>
      <c r="C473" s="35" t="n"/>
      <c r="D473" s="26" t="n"/>
      <c r="E473" s="26" t="n"/>
    </row>
    <row r="474">
      <c r="A474" s="22" t="n"/>
      <c r="B474" s="34" t="n"/>
      <c r="C474" s="35" t="n"/>
      <c r="D474" s="26" t="n"/>
      <c r="E474" s="26" t="n"/>
    </row>
    <row r="475">
      <c r="A475" s="22" t="n"/>
      <c r="B475" s="34" t="n"/>
      <c r="C475" s="35" t="n"/>
      <c r="D475" s="26" t="n"/>
      <c r="E475" s="26" t="n"/>
    </row>
    <row r="476">
      <c r="A476" s="22" t="n"/>
      <c r="B476" s="34" t="n"/>
      <c r="C476" s="35" t="n"/>
      <c r="D476" s="26" t="n"/>
      <c r="E476" s="26" t="n"/>
    </row>
    <row r="477">
      <c r="A477" s="22" t="n"/>
      <c r="B477" s="34" t="n"/>
      <c r="C477" s="35" t="n"/>
      <c r="D477" s="26" t="n"/>
      <c r="E477" s="26" t="n"/>
    </row>
    <row r="478">
      <c r="A478" s="22" t="n"/>
      <c r="B478" s="34" t="n"/>
      <c r="C478" s="35" t="n"/>
      <c r="D478" s="26" t="n"/>
      <c r="E478" s="26" t="n"/>
    </row>
    <row r="479">
      <c r="A479" s="22" t="n"/>
      <c r="B479" s="34" t="n"/>
      <c r="C479" s="35" t="n"/>
      <c r="D479" s="26" t="n"/>
      <c r="E479" s="26" t="n"/>
    </row>
    <row r="480">
      <c r="A480" s="22" t="n"/>
      <c r="B480" s="34" t="n"/>
      <c r="C480" s="35" t="n"/>
      <c r="D480" s="26" t="n"/>
      <c r="E480" s="26" t="n"/>
    </row>
    <row r="481">
      <c r="A481" s="22" t="n"/>
      <c r="B481" s="34" t="n"/>
      <c r="C481" s="35" t="n"/>
      <c r="D481" s="26" t="n"/>
      <c r="E481" s="26" t="n"/>
    </row>
    <row r="482">
      <c r="A482" s="22" t="n"/>
      <c r="B482" s="34" t="n"/>
      <c r="C482" s="35" t="n"/>
      <c r="D482" s="26" t="n"/>
      <c r="E482" s="26" t="n"/>
    </row>
    <row r="483">
      <c r="A483" s="22" t="n"/>
      <c r="B483" s="34" t="n"/>
      <c r="C483" s="35" t="n"/>
      <c r="D483" s="26" t="n"/>
      <c r="E483" s="26" t="n"/>
    </row>
    <row r="484">
      <c r="A484" s="22" t="n"/>
      <c r="B484" s="34" t="n"/>
      <c r="C484" s="35" t="n"/>
      <c r="D484" s="26" t="n"/>
      <c r="E484" s="26" t="n"/>
    </row>
    <row r="485">
      <c r="A485" s="22" t="n"/>
      <c r="B485" s="34" t="n"/>
      <c r="C485" s="35" t="n"/>
      <c r="D485" s="26" t="n"/>
      <c r="E485" s="26" t="n"/>
    </row>
    <row r="486">
      <c r="A486" s="22" t="n"/>
      <c r="B486" s="34" t="n"/>
      <c r="C486" s="35" t="n"/>
      <c r="D486" s="26" t="n"/>
      <c r="E486" s="26" t="n"/>
    </row>
    <row r="487">
      <c r="A487" s="22" t="n"/>
      <c r="B487" s="34" t="n"/>
      <c r="C487" s="35" t="n"/>
      <c r="D487" s="26" t="n"/>
      <c r="E487" s="26" t="n"/>
    </row>
    <row r="488">
      <c r="A488" s="22" t="n"/>
      <c r="B488" s="34" t="n"/>
      <c r="C488" s="35" t="n"/>
      <c r="D488" s="26" t="n"/>
      <c r="E488" s="26" t="n"/>
    </row>
    <row r="489">
      <c r="A489" s="22" t="n"/>
      <c r="B489" s="34" t="n"/>
      <c r="C489" s="35" t="n"/>
      <c r="D489" s="26" t="n"/>
      <c r="E489" s="26" t="n"/>
    </row>
    <row r="490">
      <c r="A490" s="22" t="n"/>
      <c r="B490" s="34" t="n"/>
      <c r="C490" s="35" t="n"/>
      <c r="D490" s="26" t="n"/>
      <c r="E490" s="26" t="n"/>
    </row>
    <row r="491">
      <c r="A491" s="22" t="n"/>
      <c r="B491" s="34" t="n"/>
      <c r="C491" s="35" t="n"/>
      <c r="D491" s="26" t="n"/>
      <c r="E491" s="26" t="n"/>
    </row>
    <row r="492">
      <c r="A492" s="22" t="n"/>
      <c r="B492" s="34" t="n"/>
      <c r="C492" s="35" t="n"/>
      <c r="D492" s="26" t="n"/>
      <c r="E492" s="26" t="n"/>
    </row>
    <row r="493">
      <c r="A493" s="22" t="n"/>
      <c r="B493" s="34" t="n"/>
      <c r="C493" s="35" t="n"/>
      <c r="D493" s="26" t="n"/>
      <c r="E493" s="26" t="n"/>
    </row>
    <row r="494">
      <c r="A494" s="22" t="n"/>
      <c r="B494" s="34" t="n"/>
      <c r="C494" s="35" t="n"/>
      <c r="D494" s="26" t="n"/>
      <c r="E494" s="26" t="n"/>
    </row>
    <row r="495">
      <c r="A495" s="22" t="n"/>
      <c r="B495" s="34" t="n"/>
      <c r="C495" s="35" t="n"/>
      <c r="D495" s="26" t="n"/>
      <c r="E495" s="26" t="n"/>
    </row>
    <row r="496">
      <c r="A496" s="22" t="n"/>
      <c r="B496" s="34" t="n"/>
      <c r="C496" s="35" t="n"/>
      <c r="D496" s="26" t="n"/>
      <c r="E496" s="26" t="n"/>
    </row>
    <row r="497">
      <c r="A497" s="22" t="n"/>
      <c r="B497" s="34" t="n"/>
      <c r="C497" s="35" t="n"/>
      <c r="D497" s="26" t="n"/>
      <c r="E497" s="26" t="n"/>
    </row>
    <row r="498">
      <c r="A498" s="22" t="n"/>
      <c r="B498" s="34" t="n"/>
      <c r="C498" s="35" t="n"/>
      <c r="D498" s="26" t="n"/>
      <c r="E498" s="26" t="n"/>
    </row>
    <row r="499">
      <c r="A499" s="22" t="n"/>
      <c r="B499" s="34" t="n"/>
      <c r="C499" s="35" t="n"/>
      <c r="D499" s="26" t="n"/>
      <c r="E499" s="26" t="n"/>
    </row>
    <row r="500">
      <c r="A500" s="22" t="n"/>
      <c r="B500" s="34" t="n"/>
      <c r="C500" s="35" t="n"/>
      <c r="D500" s="26" t="n"/>
      <c r="E500" s="26" t="n"/>
    </row>
    <row r="501">
      <c r="A501" s="22" t="n"/>
      <c r="B501" s="34" t="n"/>
      <c r="C501" s="35" t="n"/>
      <c r="D501" s="26" t="n"/>
      <c r="E501" s="26" t="n"/>
    </row>
    <row r="502">
      <c r="A502" s="22" t="n"/>
      <c r="B502" s="34" t="n"/>
      <c r="C502" s="35" t="n"/>
      <c r="D502" s="26" t="n"/>
      <c r="E502" s="26" t="n"/>
    </row>
    <row r="503">
      <c r="A503" s="22" t="n"/>
      <c r="B503" s="34" t="n"/>
      <c r="C503" s="35" t="n"/>
      <c r="D503" s="26" t="n"/>
      <c r="E503" s="26" t="n"/>
    </row>
    <row r="504">
      <c r="A504" s="22" t="n"/>
      <c r="B504" s="34" t="n"/>
      <c r="C504" s="35" t="n"/>
      <c r="D504" s="26" t="n"/>
      <c r="E504" s="26" t="n"/>
    </row>
    <row r="505">
      <c r="A505" s="22" t="n"/>
      <c r="B505" s="34" t="n"/>
      <c r="C505" s="35" t="n"/>
      <c r="D505" s="26" t="n"/>
      <c r="E505" s="26" t="n"/>
    </row>
  </sheetData>
  <mergeCells count="2">
    <mergeCell ref="A2:E2"/>
    <mergeCell ref="A1:E1"/>
  </mergeCells>
  <dataValidations count="2">
    <dataValidation sqref="C6:C505" showDropDown="0" showInputMessage="0" showErrorMessage="1" allowBlank="1" errorTitle="Ground programme" error="Not on the list, but it will still be shown." type="list" errorStyle="information">
      <formula1>GrList</formula1>
    </dataValidation>
    <dataValidation sqref="A6:A505" showDropDown="0" showInputMessage="0" showErrorMessage="1" allowBlank="1" errorTitle="Date" error="Use a date in the planning year (Dashboard A5) or January of the next year." type="date" operator="between">
      <formula1>DATE(PlanYear,1,1)</formula1>
      <formula2>DATE(PlanYear+1,1,31)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F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44" customWidth="1" min="4" max="4"/>
    <col width="14" customWidth="1" min="5" max="5"/>
    <col width="50" customWidth="1" min="6" max="6"/>
  </cols>
  <sheetData>
    <row r="1" ht="30" customHeight="1">
      <c r="A1" s="1" t="inlineStr">
        <is>
          <t>REQUESTS FROM DEPARTMENTS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Answered in the dashboard (Master Planning, Requests inbox). Done or Declined with a reply; the department sees it.</t>
        </is>
      </c>
      <c r="B2" s="2" t="n"/>
      <c r="C2" s="2" t="n"/>
      <c r="D2" s="2" t="n"/>
      <c r="E2" s="2" t="n"/>
      <c r="F2" s="2" t="n"/>
    </row>
    <row r="5" ht="22" customHeight="1">
      <c r="A5" s="18" t="inlineStr">
        <is>
          <t>Dept</t>
        </is>
      </c>
      <c r="B5" s="18" t="inlineStr">
        <is>
          <t>Request ID</t>
        </is>
      </c>
      <c r="C5" s="18" t="inlineStr">
        <is>
          <t>Status</t>
        </is>
      </c>
      <c r="D5" s="18" t="inlineStr">
        <is>
          <t>Reply</t>
        </is>
      </c>
      <c r="E5" s="18" t="inlineStr">
        <is>
          <t>Answered on</t>
        </is>
      </c>
      <c r="F5" s="18" t="inlineStr">
        <is>
          <t>Request</t>
        </is>
      </c>
    </row>
    <row r="6">
      <c r="A6" s="26" t="inlineStr">
        <is>
          <t>SUP 2</t>
        </is>
      </c>
      <c r="B6" s="25" t="inlineStr">
        <is>
          <t>S2-SAMPLE2</t>
        </is>
      </c>
      <c r="C6" s="35" t="inlineStr">
        <is>
          <t>Declined</t>
        </is>
      </c>
      <c r="D6" s="26" t="inlineStr">
        <is>
          <t>Range is booked 0800-1000, keep 0830</t>
        </is>
      </c>
      <c r="E6" s="36" t="n">
        <v>46297</v>
      </c>
      <c r="F6" s="26" t="inlineStr">
        <is>
          <t>Raised Thu, 1 Oct: Can Friday's AM flight start 0900 instead? Ground school runs late</t>
        </is>
      </c>
    </row>
    <row r="7">
      <c r="A7" s="26" t="n"/>
      <c r="B7" s="25" t="n"/>
      <c r="C7" s="35" t="n"/>
      <c r="D7" s="26" t="n"/>
      <c r="E7" s="36" t="n"/>
      <c r="F7" s="26" t="n"/>
    </row>
    <row r="8">
      <c r="A8" s="26" t="n"/>
      <c r="B8" s="25" t="n"/>
      <c r="C8" s="35" t="n"/>
      <c r="D8" s="26" t="n"/>
      <c r="E8" s="36" t="n"/>
      <c r="F8" s="26" t="n"/>
    </row>
    <row r="9">
      <c r="A9" s="26" t="n"/>
      <c r="B9" s="25" t="n"/>
      <c r="C9" s="35" t="n"/>
      <c r="D9" s="26" t="n"/>
      <c r="E9" s="36" t="n"/>
      <c r="F9" s="26" t="n"/>
    </row>
    <row r="10">
      <c r="A10" s="26" t="n"/>
      <c r="B10" s="25" t="n"/>
      <c r="C10" s="35" t="n"/>
      <c r="D10" s="26" t="n"/>
      <c r="E10" s="36" t="n"/>
      <c r="F10" s="26" t="n"/>
    </row>
    <row r="11">
      <c r="A11" s="26" t="n"/>
      <c r="B11" s="25" t="n"/>
      <c r="C11" s="35" t="n"/>
      <c r="D11" s="26" t="n"/>
      <c r="E11" s="36" t="n"/>
      <c r="F11" s="26" t="n"/>
    </row>
    <row r="12">
      <c r="A12" s="26" t="n"/>
      <c r="B12" s="25" t="n"/>
      <c r="C12" s="35" t="n"/>
      <c r="D12" s="26" t="n"/>
      <c r="E12" s="36" t="n"/>
      <c r="F12" s="26" t="n"/>
    </row>
    <row r="13">
      <c r="A13" s="26" t="n"/>
      <c r="B13" s="25" t="n"/>
      <c r="C13" s="35" t="n"/>
      <c r="D13" s="26" t="n"/>
      <c r="E13" s="36" t="n"/>
      <c r="F13" s="26" t="n"/>
    </row>
    <row r="14">
      <c r="A14" s="26" t="n"/>
      <c r="B14" s="25" t="n"/>
      <c r="C14" s="35" t="n"/>
      <c r="D14" s="26" t="n"/>
      <c r="E14" s="36" t="n"/>
      <c r="F14" s="26" t="n"/>
    </row>
    <row r="15">
      <c r="A15" s="26" t="n"/>
      <c r="B15" s="25" t="n"/>
      <c r="C15" s="35" t="n"/>
      <c r="D15" s="26" t="n"/>
      <c r="E15" s="36" t="n"/>
      <c r="F15" s="26" t="n"/>
    </row>
    <row r="16">
      <c r="A16" s="26" t="n"/>
      <c r="B16" s="25" t="n"/>
      <c r="C16" s="35" t="n"/>
      <c r="D16" s="26" t="n"/>
      <c r="E16" s="36" t="n"/>
      <c r="F16" s="26" t="n"/>
    </row>
    <row r="17">
      <c r="A17" s="26" t="n"/>
      <c r="B17" s="25" t="n"/>
      <c r="C17" s="35" t="n"/>
      <c r="D17" s="26" t="n"/>
      <c r="E17" s="36" t="n"/>
      <c r="F17" s="26" t="n"/>
    </row>
    <row r="18">
      <c r="A18" s="26" t="n"/>
      <c r="B18" s="25" t="n"/>
      <c r="C18" s="35" t="n"/>
      <c r="D18" s="26" t="n"/>
      <c r="E18" s="36" t="n"/>
      <c r="F18" s="26" t="n"/>
    </row>
    <row r="19">
      <c r="A19" s="26" t="n"/>
      <c r="B19" s="25" t="n"/>
      <c r="C19" s="35" t="n"/>
      <c r="D19" s="26" t="n"/>
      <c r="E19" s="36" t="n"/>
      <c r="F19" s="26" t="n"/>
    </row>
    <row r="20">
      <c r="A20" s="26" t="n"/>
      <c r="B20" s="25" t="n"/>
      <c r="C20" s="35" t="n"/>
      <c r="D20" s="26" t="n"/>
      <c r="E20" s="36" t="n"/>
      <c r="F20" s="26" t="n"/>
    </row>
    <row r="21">
      <c r="A21" s="26" t="n"/>
      <c r="B21" s="25" t="n"/>
      <c r="C21" s="35" t="n"/>
      <c r="D21" s="26" t="n"/>
      <c r="E21" s="36" t="n"/>
      <c r="F21" s="26" t="n"/>
    </row>
    <row r="22">
      <c r="A22" s="26" t="n"/>
      <c r="B22" s="25" t="n"/>
      <c r="C22" s="35" t="n"/>
      <c r="D22" s="26" t="n"/>
      <c r="E22" s="36" t="n"/>
      <c r="F22" s="26" t="n"/>
    </row>
    <row r="23">
      <c r="A23" s="26" t="n"/>
      <c r="B23" s="25" t="n"/>
      <c r="C23" s="35" t="n"/>
      <c r="D23" s="26" t="n"/>
      <c r="E23" s="36" t="n"/>
      <c r="F23" s="26" t="n"/>
    </row>
    <row r="24">
      <c r="A24" s="26" t="n"/>
      <c r="B24" s="25" t="n"/>
      <c r="C24" s="35" t="n"/>
      <c r="D24" s="26" t="n"/>
      <c r="E24" s="36" t="n"/>
      <c r="F24" s="26" t="n"/>
    </row>
    <row r="25">
      <c r="A25" s="26" t="n"/>
      <c r="B25" s="25" t="n"/>
      <c r="C25" s="35" t="n"/>
      <c r="D25" s="26" t="n"/>
      <c r="E25" s="36" t="n"/>
      <c r="F25" s="26" t="n"/>
    </row>
    <row r="26">
      <c r="A26" s="26" t="n"/>
      <c r="B26" s="25" t="n"/>
      <c r="C26" s="35" t="n"/>
      <c r="D26" s="26" t="n"/>
      <c r="E26" s="36" t="n"/>
      <c r="F26" s="26" t="n"/>
    </row>
    <row r="27">
      <c r="A27" s="26" t="n"/>
      <c r="B27" s="25" t="n"/>
      <c r="C27" s="35" t="n"/>
      <c r="D27" s="26" t="n"/>
      <c r="E27" s="36" t="n"/>
      <c r="F27" s="26" t="n"/>
    </row>
    <row r="28">
      <c r="A28" s="26" t="n"/>
      <c r="B28" s="25" t="n"/>
      <c r="C28" s="35" t="n"/>
      <c r="D28" s="26" t="n"/>
      <c r="E28" s="36" t="n"/>
      <c r="F28" s="26" t="n"/>
    </row>
    <row r="29">
      <c r="A29" s="26" t="n"/>
      <c r="B29" s="25" t="n"/>
      <c r="C29" s="35" t="n"/>
      <c r="D29" s="26" t="n"/>
      <c r="E29" s="36" t="n"/>
      <c r="F29" s="26" t="n"/>
    </row>
    <row r="30">
      <c r="A30" s="26" t="n"/>
      <c r="B30" s="25" t="n"/>
      <c r="C30" s="35" t="n"/>
      <c r="D30" s="26" t="n"/>
      <c r="E30" s="36" t="n"/>
      <c r="F30" s="26" t="n"/>
    </row>
    <row r="31">
      <c r="A31" s="26" t="n"/>
      <c r="B31" s="25" t="n"/>
      <c r="C31" s="35" t="n"/>
      <c r="D31" s="26" t="n"/>
      <c r="E31" s="36" t="n"/>
      <c r="F31" s="26" t="n"/>
    </row>
    <row r="32">
      <c r="A32" s="26" t="n"/>
      <c r="B32" s="25" t="n"/>
      <c r="C32" s="35" t="n"/>
      <c r="D32" s="26" t="n"/>
      <c r="E32" s="36" t="n"/>
      <c r="F32" s="26" t="n"/>
    </row>
    <row r="33">
      <c r="A33" s="26" t="n"/>
      <c r="B33" s="25" t="n"/>
      <c r="C33" s="35" t="n"/>
      <c r="D33" s="26" t="n"/>
      <c r="E33" s="36" t="n"/>
      <c r="F33" s="26" t="n"/>
    </row>
    <row r="34">
      <c r="A34" s="26" t="n"/>
      <c r="B34" s="25" t="n"/>
      <c r="C34" s="35" t="n"/>
      <c r="D34" s="26" t="n"/>
      <c r="E34" s="36" t="n"/>
      <c r="F34" s="26" t="n"/>
    </row>
    <row r="35">
      <c r="A35" s="26" t="n"/>
      <c r="B35" s="25" t="n"/>
      <c r="C35" s="35" t="n"/>
      <c r="D35" s="26" t="n"/>
      <c r="E35" s="36" t="n"/>
      <c r="F35" s="26" t="n"/>
    </row>
    <row r="36">
      <c r="A36" s="26" t="n"/>
      <c r="B36" s="25" t="n"/>
      <c r="C36" s="35" t="n"/>
      <c r="D36" s="26" t="n"/>
      <c r="E36" s="36" t="n"/>
      <c r="F36" s="26" t="n"/>
    </row>
    <row r="37">
      <c r="A37" s="26" t="n"/>
      <c r="B37" s="25" t="n"/>
      <c r="C37" s="35" t="n"/>
      <c r="D37" s="26" t="n"/>
      <c r="E37" s="36" t="n"/>
      <c r="F37" s="26" t="n"/>
    </row>
    <row r="38">
      <c r="A38" s="26" t="n"/>
      <c r="B38" s="25" t="n"/>
      <c r="C38" s="35" t="n"/>
      <c r="D38" s="26" t="n"/>
      <c r="E38" s="36" t="n"/>
      <c r="F38" s="26" t="n"/>
    </row>
    <row r="39">
      <c r="A39" s="26" t="n"/>
      <c r="B39" s="25" t="n"/>
      <c r="C39" s="35" t="n"/>
      <c r="D39" s="26" t="n"/>
      <c r="E39" s="36" t="n"/>
      <c r="F39" s="26" t="n"/>
    </row>
    <row r="40">
      <c r="A40" s="26" t="n"/>
      <c r="B40" s="25" t="n"/>
      <c r="C40" s="35" t="n"/>
      <c r="D40" s="26" t="n"/>
      <c r="E40" s="36" t="n"/>
      <c r="F40" s="26" t="n"/>
    </row>
    <row r="41">
      <c r="A41" s="26" t="n"/>
      <c r="B41" s="25" t="n"/>
      <c r="C41" s="35" t="n"/>
      <c r="D41" s="26" t="n"/>
      <c r="E41" s="36" t="n"/>
      <c r="F41" s="26" t="n"/>
    </row>
    <row r="42">
      <c r="A42" s="26" t="n"/>
      <c r="B42" s="25" t="n"/>
      <c r="C42" s="35" t="n"/>
      <c r="D42" s="26" t="n"/>
      <c r="E42" s="36" t="n"/>
      <c r="F42" s="26" t="n"/>
    </row>
    <row r="43">
      <c r="A43" s="26" t="n"/>
      <c r="B43" s="25" t="n"/>
      <c r="C43" s="35" t="n"/>
      <c r="D43" s="26" t="n"/>
      <c r="E43" s="36" t="n"/>
      <c r="F43" s="26" t="n"/>
    </row>
    <row r="44">
      <c r="A44" s="26" t="n"/>
      <c r="B44" s="25" t="n"/>
      <c r="C44" s="35" t="n"/>
      <c r="D44" s="26" t="n"/>
      <c r="E44" s="36" t="n"/>
      <c r="F44" s="26" t="n"/>
    </row>
    <row r="45">
      <c r="A45" s="26" t="n"/>
      <c r="B45" s="25" t="n"/>
      <c r="C45" s="35" t="n"/>
      <c r="D45" s="26" t="n"/>
      <c r="E45" s="36" t="n"/>
      <c r="F45" s="26" t="n"/>
    </row>
    <row r="46">
      <c r="A46" s="26" t="n"/>
      <c r="B46" s="25" t="n"/>
      <c r="C46" s="35" t="n"/>
      <c r="D46" s="26" t="n"/>
      <c r="E46" s="36" t="n"/>
      <c r="F46" s="26" t="n"/>
    </row>
    <row r="47">
      <c r="A47" s="26" t="n"/>
      <c r="B47" s="25" t="n"/>
      <c r="C47" s="35" t="n"/>
      <c r="D47" s="26" t="n"/>
      <c r="E47" s="36" t="n"/>
      <c r="F47" s="26" t="n"/>
    </row>
    <row r="48">
      <c r="A48" s="26" t="n"/>
      <c r="B48" s="25" t="n"/>
      <c r="C48" s="35" t="n"/>
      <c r="D48" s="26" t="n"/>
      <c r="E48" s="36" t="n"/>
      <c r="F48" s="26" t="n"/>
    </row>
    <row r="49">
      <c r="A49" s="26" t="n"/>
      <c r="B49" s="25" t="n"/>
      <c r="C49" s="35" t="n"/>
      <c r="D49" s="26" t="n"/>
      <c r="E49" s="36" t="n"/>
      <c r="F49" s="26" t="n"/>
    </row>
    <row r="50">
      <c r="A50" s="26" t="n"/>
      <c r="B50" s="25" t="n"/>
      <c r="C50" s="35" t="n"/>
      <c r="D50" s="26" t="n"/>
      <c r="E50" s="36" t="n"/>
      <c r="F50" s="26" t="n"/>
    </row>
    <row r="51">
      <c r="A51" s="26" t="n"/>
      <c r="B51" s="25" t="n"/>
      <c r="C51" s="35" t="n"/>
      <c r="D51" s="26" t="n"/>
      <c r="E51" s="36" t="n"/>
      <c r="F51" s="26" t="n"/>
    </row>
    <row r="52">
      <c r="A52" s="26" t="n"/>
      <c r="B52" s="25" t="n"/>
      <c r="C52" s="35" t="n"/>
      <c r="D52" s="26" t="n"/>
      <c r="E52" s="36" t="n"/>
      <c r="F52" s="26" t="n"/>
    </row>
    <row r="53">
      <c r="A53" s="26" t="n"/>
      <c r="B53" s="25" t="n"/>
      <c r="C53" s="35" t="n"/>
      <c r="D53" s="26" t="n"/>
      <c r="E53" s="36" t="n"/>
      <c r="F53" s="26" t="n"/>
    </row>
    <row r="54">
      <c r="A54" s="26" t="n"/>
      <c r="B54" s="25" t="n"/>
      <c r="C54" s="35" t="n"/>
      <c r="D54" s="26" t="n"/>
      <c r="E54" s="36" t="n"/>
      <c r="F54" s="26" t="n"/>
    </row>
    <row r="55">
      <c r="A55" s="26" t="n"/>
      <c r="B55" s="25" t="n"/>
      <c r="C55" s="35" t="n"/>
      <c r="D55" s="26" t="n"/>
      <c r="E55" s="36" t="n"/>
      <c r="F55" s="26" t="n"/>
    </row>
    <row r="56">
      <c r="A56" s="26" t="n"/>
      <c r="B56" s="25" t="n"/>
      <c r="C56" s="35" t="n"/>
      <c r="D56" s="26" t="n"/>
      <c r="E56" s="36" t="n"/>
      <c r="F56" s="26" t="n"/>
    </row>
    <row r="57">
      <c r="A57" s="26" t="n"/>
      <c r="B57" s="25" t="n"/>
      <c r="C57" s="35" t="n"/>
      <c r="D57" s="26" t="n"/>
      <c r="E57" s="36" t="n"/>
      <c r="F57" s="26" t="n"/>
    </row>
    <row r="58">
      <c r="A58" s="26" t="n"/>
      <c r="B58" s="25" t="n"/>
      <c r="C58" s="35" t="n"/>
      <c r="D58" s="26" t="n"/>
      <c r="E58" s="36" t="n"/>
      <c r="F58" s="26" t="n"/>
    </row>
    <row r="59">
      <c r="A59" s="26" t="n"/>
      <c r="B59" s="25" t="n"/>
      <c r="C59" s="35" t="n"/>
      <c r="D59" s="26" t="n"/>
      <c r="E59" s="36" t="n"/>
      <c r="F59" s="26" t="n"/>
    </row>
    <row r="60">
      <c r="A60" s="26" t="n"/>
      <c r="B60" s="25" t="n"/>
      <c r="C60" s="35" t="n"/>
      <c r="D60" s="26" t="n"/>
      <c r="E60" s="36" t="n"/>
      <c r="F60" s="26" t="n"/>
    </row>
    <row r="61">
      <c r="A61" s="26" t="n"/>
      <c r="B61" s="25" t="n"/>
      <c r="C61" s="35" t="n"/>
      <c r="D61" s="26" t="n"/>
      <c r="E61" s="36" t="n"/>
      <c r="F61" s="26" t="n"/>
    </row>
    <row r="62">
      <c r="A62" s="26" t="n"/>
      <c r="B62" s="25" t="n"/>
      <c r="C62" s="35" t="n"/>
      <c r="D62" s="26" t="n"/>
      <c r="E62" s="36" t="n"/>
      <c r="F62" s="26" t="n"/>
    </row>
    <row r="63">
      <c r="A63" s="26" t="n"/>
      <c r="B63" s="25" t="n"/>
      <c r="C63" s="35" t="n"/>
      <c r="D63" s="26" t="n"/>
      <c r="E63" s="36" t="n"/>
      <c r="F63" s="26" t="n"/>
    </row>
    <row r="64">
      <c r="A64" s="26" t="n"/>
      <c r="B64" s="25" t="n"/>
      <c r="C64" s="35" t="n"/>
      <c r="D64" s="26" t="n"/>
      <c r="E64" s="36" t="n"/>
      <c r="F64" s="26" t="n"/>
    </row>
    <row r="65">
      <c r="A65" s="26" t="n"/>
      <c r="B65" s="25" t="n"/>
      <c r="C65" s="35" t="n"/>
      <c r="D65" s="26" t="n"/>
      <c r="E65" s="36" t="n"/>
      <c r="F65" s="26" t="n"/>
    </row>
    <row r="66">
      <c r="A66" s="26" t="n"/>
      <c r="B66" s="25" t="n"/>
      <c r="C66" s="35" t="n"/>
      <c r="D66" s="26" t="n"/>
      <c r="E66" s="36" t="n"/>
      <c r="F66" s="26" t="n"/>
    </row>
    <row r="67">
      <c r="A67" s="26" t="n"/>
      <c r="B67" s="25" t="n"/>
      <c r="C67" s="35" t="n"/>
      <c r="D67" s="26" t="n"/>
      <c r="E67" s="36" t="n"/>
      <c r="F67" s="26" t="n"/>
    </row>
    <row r="68">
      <c r="A68" s="26" t="n"/>
      <c r="B68" s="25" t="n"/>
      <c r="C68" s="35" t="n"/>
      <c r="D68" s="26" t="n"/>
      <c r="E68" s="36" t="n"/>
      <c r="F68" s="26" t="n"/>
    </row>
    <row r="69">
      <c r="A69" s="26" t="n"/>
      <c r="B69" s="25" t="n"/>
      <c r="C69" s="35" t="n"/>
      <c r="D69" s="26" t="n"/>
      <c r="E69" s="36" t="n"/>
      <c r="F69" s="26" t="n"/>
    </row>
    <row r="70">
      <c r="A70" s="26" t="n"/>
      <c r="B70" s="25" t="n"/>
      <c r="C70" s="35" t="n"/>
      <c r="D70" s="26" t="n"/>
      <c r="E70" s="36" t="n"/>
      <c r="F70" s="26" t="n"/>
    </row>
    <row r="71">
      <c r="A71" s="26" t="n"/>
      <c r="B71" s="25" t="n"/>
      <c r="C71" s="35" t="n"/>
      <c r="D71" s="26" t="n"/>
      <c r="E71" s="36" t="n"/>
      <c r="F71" s="26" t="n"/>
    </row>
    <row r="72">
      <c r="A72" s="26" t="n"/>
      <c r="B72" s="25" t="n"/>
      <c r="C72" s="35" t="n"/>
      <c r="D72" s="26" t="n"/>
      <c r="E72" s="36" t="n"/>
      <c r="F72" s="26" t="n"/>
    </row>
    <row r="73">
      <c r="A73" s="26" t="n"/>
      <c r="B73" s="25" t="n"/>
      <c r="C73" s="35" t="n"/>
      <c r="D73" s="26" t="n"/>
      <c r="E73" s="36" t="n"/>
      <c r="F73" s="26" t="n"/>
    </row>
    <row r="74">
      <c r="A74" s="26" t="n"/>
      <c r="B74" s="25" t="n"/>
      <c r="C74" s="35" t="n"/>
      <c r="D74" s="26" t="n"/>
      <c r="E74" s="36" t="n"/>
      <c r="F74" s="26" t="n"/>
    </row>
    <row r="75">
      <c r="A75" s="26" t="n"/>
      <c r="B75" s="25" t="n"/>
      <c r="C75" s="35" t="n"/>
      <c r="D75" s="26" t="n"/>
      <c r="E75" s="36" t="n"/>
      <c r="F75" s="26" t="n"/>
    </row>
    <row r="76">
      <c r="A76" s="26" t="n"/>
      <c r="B76" s="25" t="n"/>
      <c r="C76" s="35" t="n"/>
      <c r="D76" s="26" t="n"/>
      <c r="E76" s="36" t="n"/>
      <c r="F76" s="26" t="n"/>
    </row>
    <row r="77">
      <c r="A77" s="26" t="n"/>
      <c r="B77" s="25" t="n"/>
      <c r="C77" s="35" t="n"/>
      <c r="D77" s="26" t="n"/>
      <c r="E77" s="36" t="n"/>
      <c r="F77" s="26" t="n"/>
    </row>
    <row r="78">
      <c r="A78" s="26" t="n"/>
      <c r="B78" s="25" t="n"/>
      <c r="C78" s="35" t="n"/>
      <c r="D78" s="26" t="n"/>
      <c r="E78" s="36" t="n"/>
      <c r="F78" s="26" t="n"/>
    </row>
    <row r="79">
      <c r="A79" s="26" t="n"/>
      <c r="B79" s="25" t="n"/>
      <c r="C79" s="35" t="n"/>
      <c r="D79" s="26" t="n"/>
      <c r="E79" s="36" t="n"/>
      <c r="F79" s="26" t="n"/>
    </row>
    <row r="80">
      <c r="A80" s="26" t="n"/>
      <c r="B80" s="25" t="n"/>
      <c r="C80" s="35" t="n"/>
      <c r="D80" s="26" t="n"/>
      <c r="E80" s="36" t="n"/>
      <c r="F80" s="26" t="n"/>
    </row>
    <row r="81">
      <c r="A81" s="26" t="n"/>
      <c r="B81" s="25" t="n"/>
      <c r="C81" s="35" t="n"/>
      <c r="D81" s="26" t="n"/>
      <c r="E81" s="36" t="n"/>
      <c r="F81" s="26" t="n"/>
    </row>
    <row r="82">
      <c r="A82" s="26" t="n"/>
      <c r="B82" s="25" t="n"/>
      <c r="C82" s="35" t="n"/>
      <c r="D82" s="26" t="n"/>
      <c r="E82" s="36" t="n"/>
      <c r="F82" s="26" t="n"/>
    </row>
    <row r="83">
      <c r="A83" s="26" t="n"/>
      <c r="B83" s="25" t="n"/>
      <c r="C83" s="35" t="n"/>
      <c r="D83" s="26" t="n"/>
      <c r="E83" s="36" t="n"/>
      <c r="F83" s="26" t="n"/>
    </row>
    <row r="84">
      <c r="A84" s="26" t="n"/>
      <c r="B84" s="25" t="n"/>
      <c r="C84" s="35" t="n"/>
      <c r="D84" s="26" t="n"/>
      <c r="E84" s="36" t="n"/>
      <c r="F84" s="26" t="n"/>
    </row>
    <row r="85">
      <c r="A85" s="26" t="n"/>
      <c r="B85" s="25" t="n"/>
      <c r="C85" s="35" t="n"/>
      <c r="D85" s="26" t="n"/>
      <c r="E85" s="36" t="n"/>
      <c r="F85" s="26" t="n"/>
    </row>
    <row r="86">
      <c r="A86" s="26" t="n"/>
      <c r="B86" s="25" t="n"/>
      <c r="C86" s="35" t="n"/>
      <c r="D86" s="26" t="n"/>
      <c r="E86" s="36" t="n"/>
      <c r="F86" s="26" t="n"/>
    </row>
    <row r="87">
      <c r="A87" s="26" t="n"/>
      <c r="B87" s="25" t="n"/>
      <c r="C87" s="35" t="n"/>
      <c r="D87" s="26" t="n"/>
      <c r="E87" s="36" t="n"/>
      <c r="F87" s="26" t="n"/>
    </row>
    <row r="88">
      <c r="A88" s="26" t="n"/>
      <c r="B88" s="25" t="n"/>
      <c r="C88" s="35" t="n"/>
      <c r="D88" s="26" t="n"/>
      <c r="E88" s="36" t="n"/>
      <c r="F88" s="26" t="n"/>
    </row>
    <row r="89">
      <c r="A89" s="26" t="n"/>
      <c r="B89" s="25" t="n"/>
      <c r="C89" s="35" t="n"/>
      <c r="D89" s="26" t="n"/>
      <c r="E89" s="36" t="n"/>
      <c r="F89" s="26" t="n"/>
    </row>
    <row r="90">
      <c r="A90" s="26" t="n"/>
      <c r="B90" s="25" t="n"/>
      <c r="C90" s="35" t="n"/>
      <c r="D90" s="26" t="n"/>
      <c r="E90" s="36" t="n"/>
      <c r="F90" s="26" t="n"/>
    </row>
    <row r="91">
      <c r="A91" s="26" t="n"/>
      <c r="B91" s="25" t="n"/>
      <c r="C91" s="35" t="n"/>
      <c r="D91" s="26" t="n"/>
      <c r="E91" s="36" t="n"/>
      <c r="F91" s="26" t="n"/>
    </row>
    <row r="92">
      <c r="A92" s="26" t="n"/>
      <c r="B92" s="25" t="n"/>
      <c r="C92" s="35" t="n"/>
      <c r="D92" s="26" t="n"/>
      <c r="E92" s="36" t="n"/>
      <c r="F92" s="26" t="n"/>
    </row>
    <row r="93">
      <c r="A93" s="26" t="n"/>
      <c r="B93" s="25" t="n"/>
      <c r="C93" s="35" t="n"/>
      <c r="D93" s="26" t="n"/>
      <c r="E93" s="36" t="n"/>
      <c r="F93" s="26" t="n"/>
    </row>
    <row r="94">
      <c r="A94" s="26" t="n"/>
      <c r="B94" s="25" t="n"/>
      <c r="C94" s="35" t="n"/>
      <c r="D94" s="26" t="n"/>
      <c r="E94" s="36" t="n"/>
      <c r="F94" s="26" t="n"/>
    </row>
    <row r="95">
      <c r="A95" s="26" t="n"/>
      <c r="B95" s="25" t="n"/>
      <c r="C95" s="35" t="n"/>
      <c r="D95" s="26" t="n"/>
      <c r="E95" s="36" t="n"/>
      <c r="F95" s="26" t="n"/>
    </row>
    <row r="96">
      <c r="A96" s="26" t="n"/>
      <c r="B96" s="25" t="n"/>
      <c r="C96" s="35" t="n"/>
      <c r="D96" s="26" t="n"/>
      <c r="E96" s="36" t="n"/>
      <c r="F96" s="26" t="n"/>
    </row>
    <row r="97">
      <c r="A97" s="26" t="n"/>
      <c r="B97" s="25" t="n"/>
      <c r="C97" s="35" t="n"/>
      <c r="D97" s="26" t="n"/>
      <c r="E97" s="36" t="n"/>
      <c r="F97" s="26" t="n"/>
    </row>
    <row r="98">
      <c r="A98" s="26" t="n"/>
      <c r="B98" s="25" t="n"/>
      <c r="C98" s="35" t="n"/>
      <c r="D98" s="26" t="n"/>
      <c r="E98" s="36" t="n"/>
      <c r="F98" s="26" t="n"/>
    </row>
    <row r="99">
      <c r="A99" s="26" t="n"/>
      <c r="B99" s="25" t="n"/>
      <c r="C99" s="35" t="n"/>
      <c r="D99" s="26" t="n"/>
      <c r="E99" s="36" t="n"/>
      <c r="F99" s="26" t="n"/>
    </row>
    <row r="100">
      <c r="A100" s="26" t="n"/>
      <c r="B100" s="25" t="n"/>
      <c r="C100" s="35" t="n"/>
      <c r="D100" s="26" t="n"/>
      <c r="E100" s="36" t="n"/>
      <c r="F100" s="26" t="n"/>
    </row>
    <row r="101">
      <c r="A101" s="26" t="n"/>
      <c r="B101" s="25" t="n"/>
      <c r="C101" s="35" t="n"/>
      <c r="D101" s="26" t="n"/>
      <c r="E101" s="36" t="n"/>
      <c r="F101" s="26" t="n"/>
    </row>
    <row r="102">
      <c r="A102" s="26" t="n"/>
      <c r="B102" s="25" t="n"/>
      <c r="C102" s="35" t="n"/>
      <c r="D102" s="26" t="n"/>
      <c r="E102" s="36" t="n"/>
      <c r="F102" s="26" t="n"/>
    </row>
    <row r="103">
      <c r="A103" s="26" t="n"/>
      <c r="B103" s="25" t="n"/>
      <c r="C103" s="35" t="n"/>
      <c r="D103" s="26" t="n"/>
      <c r="E103" s="36" t="n"/>
      <c r="F103" s="26" t="n"/>
    </row>
    <row r="104">
      <c r="A104" s="26" t="n"/>
      <c r="B104" s="25" t="n"/>
      <c r="C104" s="35" t="n"/>
      <c r="D104" s="26" t="n"/>
      <c r="E104" s="36" t="n"/>
      <c r="F104" s="26" t="n"/>
    </row>
    <row r="105">
      <c r="A105" s="26" t="n"/>
      <c r="B105" s="25" t="n"/>
      <c r="C105" s="35" t="n"/>
      <c r="D105" s="26" t="n"/>
      <c r="E105" s="36" t="n"/>
      <c r="F105" s="26" t="n"/>
    </row>
    <row r="106">
      <c r="A106" s="26" t="n"/>
      <c r="B106" s="25" t="n"/>
      <c r="C106" s="35" t="n"/>
      <c r="D106" s="26" t="n"/>
      <c r="E106" s="36" t="n"/>
      <c r="F106" s="26" t="n"/>
    </row>
    <row r="107">
      <c r="A107" s="26" t="n"/>
      <c r="B107" s="25" t="n"/>
      <c r="C107" s="35" t="n"/>
      <c r="D107" s="26" t="n"/>
      <c r="E107" s="36" t="n"/>
      <c r="F107" s="26" t="n"/>
    </row>
    <row r="108">
      <c r="A108" s="26" t="n"/>
      <c r="B108" s="25" t="n"/>
      <c r="C108" s="35" t="n"/>
      <c r="D108" s="26" t="n"/>
      <c r="E108" s="36" t="n"/>
      <c r="F108" s="26" t="n"/>
    </row>
    <row r="109">
      <c r="A109" s="26" t="n"/>
      <c r="B109" s="25" t="n"/>
      <c r="C109" s="35" t="n"/>
      <c r="D109" s="26" t="n"/>
      <c r="E109" s="36" t="n"/>
      <c r="F109" s="26" t="n"/>
    </row>
    <row r="110">
      <c r="A110" s="26" t="n"/>
      <c r="B110" s="25" t="n"/>
      <c r="C110" s="35" t="n"/>
      <c r="D110" s="26" t="n"/>
      <c r="E110" s="36" t="n"/>
      <c r="F110" s="26" t="n"/>
    </row>
    <row r="111">
      <c r="A111" s="26" t="n"/>
      <c r="B111" s="25" t="n"/>
      <c r="C111" s="35" t="n"/>
      <c r="D111" s="26" t="n"/>
      <c r="E111" s="36" t="n"/>
      <c r="F111" s="26" t="n"/>
    </row>
    <row r="112">
      <c r="A112" s="26" t="n"/>
      <c r="B112" s="25" t="n"/>
      <c r="C112" s="35" t="n"/>
      <c r="D112" s="26" t="n"/>
      <c r="E112" s="36" t="n"/>
      <c r="F112" s="26" t="n"/>
    </row>
    <row r="113">
      <c r="A113" s="26" t="n"/>
      <c r="B113" s="25" t="n"/>
      <c r="C113" s="35" t="n"/>
      <c r="D113" s="26" t="n"/>
      <c r="E113" s="36" t="n"/>
      <c r="F113" s="26" t="n"/>
    </row>
    <row r="114">
      <c r="A114" s="26" t="n"/>
      <c r="B114" s="25" t="n"/>
      <c r="C114" s="35" t="n"/>
      <c r="D114" s="26" t="n"/>
      <c r="E114" s="36" t="n"/>
      <c r="F114" s="26" t="n"/>
    </row>
    <row r="115">
      <c r="A115" s="26" t="n"/>
      <c r="B115" s="25" t="n"/>
      <c r="C115" s="35" t="n"/>
      <c r="D115" s="26" t="n"/>
      <c r="E115" s="36" t="n"/>
      <c r="F115" s="26" t="n"/>
    </row>
    <row r="116">
      <c r="A116" s="26" t="n"/>
      <c r="B116" s="25" t="n"/>
      <c r="C116" s="35" t="n"/>
      <c r="D116" s="26" t="n"/>
      <c r="E116" s="36" t="n"/>
      <c r="F116" s="26" t="n"/>
    </row>
    <row r="117">
      <c r="A117" s="26" t="n"/>
      <c r="B117" s="25" t="n"/>
      <c r="C117" s="35" t="n"/>
      <c r="D117" s="26" t="n"/>
      <c r="E117" s="36" t="n"/>
      <c r="F117" s="26" t="n"/>
    </row>
    <row r="118">
      <c r="A118" s="26" t="n"/>
      <c r="B118" s="25" t="n"/>
      <c r="C118" s="35" t="n"/>
      <c r="D118" s="26" t="n"/>
      <c r="E118" s="36" t="n"/>
      <c r="F118" s="26" t="n"/>
    </row>
    <row r="119">
      <c r="A119" s="26" t="n"/>
      <c r="B119" s="25" t="n"/>
      <c r="C119" s="35" t="n"/>
      <c r="D119" s="26" t="n"/>
      <c r="E119" s="36" t="n"/>
      <c r="F119" s="26" t="n"/>
    </row>
    <row r="120">
      <c r="A120" s="26" t="n"/>
      <c r="B120" s="25" t="n"/>
      <c r="C120" s="35" t="n"/>
      <c r="D120" s="26" t="n"/>
      <c r="E120" s="36" t="n"/>
      <c r="F120" s="26" t="n"/>
    </row>
    <row r="121">
      <c r="A121" s="26" t="n"/>
      <c r="B121" s="25" t="n"/>
      <c r="C121" s="35" t="n"/>
      <c r="D121" s="26" t="n"/>
      <c r="E121" s="36" t="n"/>
      <c r="F121" s="26" t="n"/>
    </row>
    <row r="122">
      <c r="A122" s="26" t="n"/>
      <c r="B122" s="25" t="n"/>
      <c r="C122" s="35" t="n"/>
      <c r="D122" s="26" t="n"/>
      <c r="E122" s="36" t="n"/>
      <c r="F122" s="26" t="n"/>
    </row>
    <row r="123">
      <c r="A123" s="26" t="n"/>
      <c r="B123" s="25" t="n"/>
      <c r="C123" s="35" t="n"/>
      <c r="D123" s="26" t="n"/>
      <c r="E123" s="36" t="n"/>
      <c r="F123" s="26" t="n"/>
    </row>
    <row r="124">
      <c r="A124" s="26" t="n"/>
      <c r="B124" s="25" t="n"/>
      <c r="C124" s="35" t="n"/>
      <c r="D124" s="26" t="n"/>
      <c r="E124" s="36" t="n"/>
      <c r="F124" s="26" t="n"/>
    </row>
    <row r="125">
      <c r="A125" s="26" t="n"/>
      <c r="B125" s="25" t="n"/>
      <c r="C125" s="35" t="n"/>
      <c r="D125" s="26" t="n"/>
      <c r="E125" s="36" t="n"/>
      <c r="F125" s="26" t="n"/>
    </row>
    <row r="126">
      <c r="A126" s="26" t="n"/>
      <c r="B126" s="25" t="n"/>
      <c r="C126" s="35" t="n"/>
      <c r="D126" s="26" t="n"/>
      <c r="E126" s="36" t="n"/>
      <c r="F126" s="26" t="n"/>
    </row>
    <row r="127">
      <c r="A127" s="26" t="n"/>
      <c r="B127" s="25" t="n"/>
      <c r="C127" s="35" t="n"/>
      <c r="D127" s="26" t="n"/>
      <c r="E127" s="36" t="n"/>
      <c r="F127" s="26" t="n"/>
    </row>
    <row r="128">
      <c r="A128" s="26" t="n"/>
      <c r="B128" s="25" t="n"/>
      <c r="C128" s="35" t="n"/>
      <c r="D128" s="26" t="n"/>
      <c r="E128" s="36" t="n"/>
      <c r="F128" s="26" t="n"/>
    </row>
    <row r="129">
      <c r="A129" s="26" t="n"/>
      <c r="B129" s="25" t="n"/>
      <c r="C129" s="35" t="n"/>
      <c r="D129" s="26" t="n"/>
      <c r="E129" s="36" t="n"/>
      <c r="F129" s="26" t="n"/>
    </row>
    <row r="130">
      <c r="A130" s="26" t="n"/>
      <c r="B130" s="25" t="n"/>
      <c r="C130" s="35" t="n"/>
      <c r="D130" s="26" t="n"/>
      <c r="E130" s="36" t="n"/>
      <c r="F130" s="26" t="n"/>
    </row>
    <row r="131">
      <c r="A131" s="26" t="n"/>
      <c r="B131" s="25" t="n"/>
      <c r="C131" s="35" t="n"/>
      <c r="D131" s="26" t="n"/>
      <c r="E131" s="36" t="n"/>
      <c r="F131" s="26" t="n"/>
    </row>
    <row r="132">
      <c r="A132" s="26" t="n"/>
      <c r="B132" s="25" t="n"/>
      <c r="C132" s="35" t="n"/>
      <c r="D132" s="26" t="n"/>
      <c r="E132" s="36" t="n"/>
      <c r="F132" s="26" t="n"/>
    </row>
    <row r="133">
      <c r="A133" s="26" t="n"/>
      <c r="B133" s="25" t="n"/>
      <c r="C133" s="35" t="n"/>
      <c r="D133" s="26" t="n"/>
      <c r="E133" s="36" t="n"/>
      <c r="F133" s="26" t="n"/>
    </row>
    <row r="134">
      <c r="A134" s="26" t="n"/>
      <c r="B134" s="25" t="n"/>
      <c r="C134" s="35" t="n"/>
      <c r="D134" s="26" t="n"/>
      <c r="E134" s="36" t="n"/>
      <c r="F134" s="26" t="n"/>
    </row>
    <row r="135">
      <c r="A135" s="26" t="n"/>
      <c r="B135" s="25" t="n"/>
      <c r="C135" s="35" t="n"/>
      <c r="D135" s="26" t="n"/>
      <c r="E135" s="36" t="n"/>
      <c r="F135" s="26" t="n"/>
    </row>
    <row r="136">
      <c r="A136" s="26" t="n"/>
      <c r="B136" s="25" t="n"/>
      <c r="C136" s="35" t="n"/>
      <c r="D136" s="26" t="n"/>
      <c r="E136" s="36" t="n"/>
      <c r="F136" s="26" t="n"/>
    </row>
    <row r="137">
      <c r="A137" s="26" t="n"/>
      <c r="B137" s="25" t="n"/>
      <c r="C137" s="35" t="n"/>
      <c r="D137" s="26" t="n"/>
      <c r="E137" s="36" t="n"/>
      <c r="F137" s="26" t="n"/>
    </row>
    <row r="138">
      <c r="A138" s="26" t="n"/>
      <c r="B138" s="25" t="n"/>
      <c r="C138" s="35" t="n"/>
      <c r="D138" s="26" t="n"/>
      <c r="E138" s="36" t="n"/>
      <c r="F138" s="26" t="n"/>
    </row>
    <row r="139">
      <c r="A139" s="26" t="n"/>
      <c r="B139" s="25" t="n"/>
      <c r="C139" s="35" t="n"/>
      <c r="D139" s="26" t="n"/>
      <c r="E139" s="36" t="n"/>
      <c r="F139" s="26" t="n"/>
    </row>
    <row r="140">
      <c r="A140" s="26" t="n"/>
      <c r="B140" s="25" t="n"/>
      <c r="C140" s="35" t="n"/>
      <c r="D140" s="26" t="n"/>
      <c r="E140" s="36" t="n"/>
      <c r="F140" s="26" t="n"/>
    </row>
    <row r="141">
      <c r="A141" s="26" t="n"/>
      <c r="B141" s="25" t="n"/>
      <c r="C141" s="35" t="n"/>
      <c r="D141" s="26" t="n"/>
      <c r="E141" s="36" t="n"/>
      <c r="F141" s="26" t="n"/>
    </row>
    <row r="142">
      <c r="A142" s="26" t="n"/>
      <c r="B142" s="25" t="n"/>
      <c r="C142" s="35" t="n"/>
      <c r="D142" s="26" t="n"/>
      <c r="E142" s="36" t="n"/>
      <c r="F142" s="26" t="n"/>
    </row>
    <row r="143">
      <c r="A143" s="26" t="n"/>
      <c r="B143" s="25" t="n"/>
      <c r="C143" s="35" t="n"/>
      <c r="D143" s="26" t="n"/>
      <c r="E143" s="36" t="n"/>
      <c r="F143" s="26" t="n"/>
    </row>
    <row r="144">
      <c r="A144" s="26" t="n"/>
      <c r="B144" s="25" t="n"/>
      <c r="C144" s="35" t="n"/>
      <c r="D144" s="26" t="n"/>
      <c r="E144" s="36" t="n"/>
      <c r="F144" s="26" t="n"/>
    </row>
    <row r="145">
      <c r="A145" s="26" t="n"/>
      <c r="B145" s="25" t="n"/>
      <c r="C145" s="35" t="n"/>
      <c r="D145" s="26" t="n"/>
      <c r="E145" s="36" t="n"/>
      <c r="F145" s="26" t="n"/>
    </row>
    <row r="146">
      <c r="A146" s="26" t="n"/>
      <c r="B146" s="25" t="n"/>
      <c r="C146" s="35" t="n"/>
      <c r="D146" s="26" t="n"/>
      <c r="E146" s="36" t="n"/>
      <c r="F146" s="26" t="n"/>
    </row>
    <row r="147">
      <c r="A147" s="26" t="n"/>
      <c r="B147" s="25" t="n"/>
      <c r="C147" s="35" t="n"/>
      <c r="D147" s="26" t="n"/>
      <c r="E147" s="36" t="n"/>
      <c r="F147" s="26" t="n"/>
    </row>
    <row r="148">
      <c r="A148" s="26" t="n"/>
      <c r="B148" s="25" t="n"/>
      <c r="C148" s="35" t="n"/>
      <c r="D148" s="26" t="n"/>
      <c r="E148" s="36" t="n"/>
      <c r="F148" s="26" t="n"/>
    </row>
    <row r="149">
      <c r="A149" s="26" t="n"/>
      <c r="B149" s="25" t="n"/>
      <c r="C149" s="35" t="n"/>
      <c r="D149" s="26" t="n"/>
      <c r="E149" s="36" t="n"/>
      <c r="F149" s="26" t="n"/>
    </row>
    <row r="150">
      <c r="A150" s="26" t="n"/>
      <c r="B150" s="25" t="n"/>
      <c r="C150" s="35" t="n"/>
      <c r="D150" s="26" t="n"/>
      <c r="E150" s="36" t="n"/>
      <c r="F150" s="26" t="n"/>
    </row>
    <row r="151">
      <c r="A151" s="26" t="n"/>
      <c r="B151" s="25" t="n"/>
      <c r="C151" s="35" t="n"/>
      <c r="D151" s="26" t="n"/>
      <c r="E151" s="36" t="n"/>
      <c r="F151" s="26" t="n"/>
    </row>
    <row r="152">
      <c r="A152" s="26" t="n"/>
      <c r="B152" s="25" t="n"/>
      <c r="C152" s="35" t="n"/>
      <c r="D152" s="26" t="n"/>
      <c r="E152" s="36" t="n"/>
      <c r="F152" s="26" t="n"/>
    </row>
    <row r="153">
      <c r="A153" s="26" t="n"/>
      <c r="B153" s="25" t="n"/>
      <c r="C153" s="35" t="n"/>
      <c r="D153" s="26" t="n"/>
      <c r="E153" s="36" t="n"/>
      <c r="F153" s="26" t="n"/>
    </row>
    <row r="154">
      <c r="A154" s="26" t="n"/>
      <c r="B154" s="25" t="n"/>
      <c r="C154" s="35" t="n"/>
      <c r="D154" s="26" t="n"/>
      <c r="E154" s="36" t="n"/>
      <c r="F154" s="26" t="n"/>
    </row>
    <row r="155">
      <c r="A155" s="26" t="n"/>
      <c r="B155" s="25" t="n"/>
      <c r="C155" s="35" t="n"/>
      <c r="D155" s="26" t="n"/>
      <c r="E155" s="36" t="n"/>
      <c r="F155" s="26" t="n"/>
    </row>
    <row r="156">
      <c r="A156" s="26" t="n"/>
      <c r="B156" s="25" t="n"/>
      <c r="C156" s="35" t="n"/>
      <c r="D156" s="26" t="n"/>
      <c r="E156" s="36" t="n"/>
      <c r="F156" s="26" t="n"/>
    </row>
    <row r="157">
      <c r="A157" s="26" t="n"/>
      <c r="B157" s="25" t="n"/>
      <c r="C157" s="35" t="n"/>
      <c r="D157" s="26" t="n"/>
      <c r="E157" s="36" t="n"/>
      <c r="F157" s="26" t="n"/>
    </row>
    <row r="158">
      <c r="A158" s="26" t="n"/>
      <c r="B158" s="25" t="n"/>
      <c r="C158" s="35" t="n"/>
      <c r="D158" s="26" t="n"/>
      <c r="E158" s="36" t="n"/>
      <c r="F158" s="26" t="n"/>
    </row>
    <row r="159">
      <c r="A159" s="26" t="n"/>
      <c r="B159" s="25" t="n"/>
      <c r="C159" s="35" t="n"/>
      <c r="D159" s="26" t="n"/>
      <c r="E159" s="36" t="n"/>
      <c r="F159" s="26" t="n"/>
    </row>
    <row r="160">
      <c r="A160" s="26" t="n"/>
      <c r="B160" s="25" t="n"/>
      <c r="C160" s="35" t="n"/>
      <c r="D160" s="26" t="n"/>
      <c r="E160" s="36" t="n"/>
      <c r="F160" s="26" t="n"/>
    </row>
    <row r="161">
      <c r="A161" s="26" t="n"/>
      <c r="B161" s="25" t="n"/>
      <c r="C161" s="35" t="n"/>
      <c r="D161" s="26" t="n"/>
      <c r="E161" s="36" t="n"/>
      <c r="F161" s="26" t="n"/>
    </row>
    <row r="162">
      <c r="A162" s="26" t="n"/>
      <c r="B162" s="25" t="n"/>
      <c r="C162" s="35" t="n"/>
      <c r="D162" s="26" t="n"/>
      <c r="E162" s="36" t="n"/>
      <c r="F162" s="26" t="n"/>
    </row>
    <row r="163">
      <c r="A163" s="26" t="n"/>
      <c r="B163" s="25" t="n"/>
      <c r="C163" s="35" t="n"/>
      <c r="D163" s="26" t="n"/>
      <c r="E163" s="36" t="n"/>
      <c r="F163" s="26" t="n"/>
    </row>
    <row r="164">
      <c r="A164" s="26" t="n"/>
      <c r="B164" s="25" t="n"/>
      <c r="C164" s="35" t="n"/>
      <c r="D164" s="26" t="n"/>
      <c r="E164" s="36" t="n"/>
      <c r="F164" s="26" t="n"/>
    </row>
    <row r="165">
      <c r="A165" s="26" t="n"/>
      <c r="B165" s="25" t="n"/>
      <c r="C165" s="35" t="n"/>
      <c r="D165" s="26" t="n"/>
      <c r="E165" s="36" t="n"/>
      <c r="F165" s="26" t="n"/>
    </row>
    <row r="166">
      <c r="A166" s="26" t="n"/>
      <c r="B166" s="25" t="n"/>
      <c r="C166" s="35" t="n"/>
      <c r="D166" s="26" t="n"/>
      <c r="E166" s="36" t="n"/>
      <c r="F166" s="26" t="n"/>
    </row>
    <row r="167">
      <c r="A167" s="26" t="n"/>
      <c r="B167" s="25" t="n"/>
      <c r="C167" s="35" t="n"/>
      <c r="D167" s="26" t="n"/>
      <c r="E167" s="36" t="n"/>
      <c r="F167" s="26" t="n"/>
    </row>
    <row r="168">
      <c r="A168" s="26" t="n"/>
      <c r="B168" s="25" t="n"/>
      <c r="C168" s="35" t="n"/>
      <c r="D168" s="26" t="n"/>
      <c r="E168" s="36" t="n"/>
      <c r="F168" s="26" t="n"/>
    </row>
    <row r="169">
      <c r="A169" s="26" t="n"/>
      <c r="B169" s="25" t="n"/>
      <c r="C169" s="35" t="n"/>
      <c r="D169" s="26" t="n"/>
      <c r="E169" s="36" t="n"/>
      <c r="F169" s="26" t="n"/>
    </row>
    <row r="170">
      <c r="A170" s="26" t="n"/>
      <c r="B170" s="25" t="n"/>
      <c r="C170" s="35" t="n"/>
      <c r="D170" s="26" t="n"/>
      <c r="E170" s="36" t="n"/>
      <c r="F170" s="26" t="n"/>
    </row>
    <row r="171">
      <c r="A171" s="26" t="n"/>
      <c r="B171" s="25" t="n"/>
      <c r="C171" s="35" t="n"/>
      <c r="D171" s="26" t="n"/>
      <c r="E171" s="36" t="n"/>
      <c r="F171" s="26" t="n"/>
    </row>
    <row r="172">
      <c r="A172" s="26" t="n"/>
      <c r="B172" s="25" t="n"/>
      <c r="C172" s="35" t="n"/>
      <c r="D172" s="26" t="n"/>
      <c r="E172" s="36" t="n"/>
      <c r="F172" s="26" t="n"/>
    </row>
    <row r="173">
      <c r="A173" s="26" t="n"/>
      <c r="B173" s="25" t="n"/>
      <c r="C173" s="35" t="n"/>
      <c r="D173" s="26" t="n"/>
      <c r="E173" s="36" t="n"/>
      <c r="F173" s="26" t="n"/>
    </row>
    <row r="174">
      <c r="A174" s="26" t="n"/>
      <c r="B174" s="25" t="n"/>
      <c r="C174" s="35" t="n"/>
      <c r="D174" s="26" t="n"/>
      <c r="E174" s="36" t="n"/>
      <c r="F174" s="26" t="n"/>
    </row>
    <row r="175">
      <c r="A175" s="26" t="n"/>
      <c r="B175" s="25" t="n"/>
      <c r="C175" s="35" t="n"/>
      <c r="D175" s="26" t="n"/>
      <c r="E175" s="36" t="n"/>
      <c r="F175" s="26" t="n"/>
    </row>
    <row r="176">
      <c r="A176" s="26" t="n"/>
      <c r="B176" s="25" t="n"/>
      <c r="C176" s="35" t="n"/>
      <c r="D176" s="26" t="n"/>
      <c r="E176" s="36" t="n"/>
      <c r="F176" s="26" t="n"/>
    </row>
    <row r="177">
      <c r="A177" s="26" t="n"/>
      <c r="B177" s="25" t="n"/>
      <c r="C177" s="35" t="n"/>
      <c r="D177" s="26" t="n"/>
      <c r="E177" s="36" t="n"/>
      <c r="F177" s="26" t="n"/>
    </row>
    <row r="178">
      <c r="A178" s="26" t="n"/>
      <c r="B178" s="25" t="n"/>
      <c r="C178" s="35" t="n"/>
      <c r="D178" s="26" t="n"/>
      <c r="E178" s="36" t="n"/>
      <c r="F178" s="26" t="n"/>
    </row>
    <row r="179">
      <c r="A179" s="26" t="n"/>
      <c r="B179" s="25" t="n"/>
      <c r="C179" s="35" t="n"/>
      <c r="D179" s="26" t="n"/>
      <c r="E179" s="36" t="n"/>
      <c r="F179" s="26" t="n"/>
    </row>
    <row r="180">
      <c r="A180" s="26" t="n"/>
      <c r="B180" s="25" t="n"/>
      <c r="C180" s="35" t="n"/>
      <c r="D180" s="26" t="n"/>
      <c r="E180" s="36" t="n"/>
      <c r="F180" s="26" t="n"/>
    </row>
    <row r="181">
      <c r="A181" s="26" t="n"/>
      <c r="B181" s="25" t="n"/>
      <c r="C181" s="35" t="n"/>
      <c r="D181" s="26" t="n"/>
      <c r="E181" s="36" t="n"/>
      <c r="F181" s="26" t="n"/>
    </row>
    <row r="182">
      <c r="A182" s="26" t="n"/>
      <c r="B182" s="25" t="n"/>
      <c r="C182" s="35" t="n"/>
      <c r="D182" s="26" t="n"/>
      <c r="E182" s="36" t="n"/>
      <c r="F182" s="26" t="n"/>
    </row>
    <row r="183">
      <c r="A183" s="26" t="n"/>
      <c r="B183" s="25" t="n"/>
      <c r="C183" s="35" t="n"/>
      <c r="D183" s="26" t="n"/>
      <c r="E183" s="36" t="n"/>
      <c r="F183" s="26" t="n"/>
    </row>
    <row r="184">
      <c r="A184" s="26" t="n"/>
      <c r="B184" s="25" t="n"/>
      <c r="C184" s="35" t="n"/>
      <c r="D184" s="26" t="n"/>
      <c r="E184" s="36" t="n"/>
      <c r="F184" s="26" t="n"/>
    </row>
    <row r="185">
      <c r="A185" s="26" t="n"/>
      <c r="B185" s="25" t="n"/>
      <c r="C185" s="35" t="n"/>
      <c r="D185" s="26" t="n"/>
      <c r="E185" s="36" t="n"/>
      <c r="F185" s="26" t="n"/>
    </row>
    <row r="186">
      <c r="A186" s="26" t="n"/>
      <c r="B186" s="25" t="n"/>
      <c r="C186" s="35" t="n"/>
      <c r="D186" s="26" t="n"/>
      <c r="E186" s="36" t="n"/>
      <c r="F186" s="26" t="n"/>
    </row>
    <row r="187">
      <c r="A187" s="26" t="n"/>
      <c r="B187" s="25" t="n"/>
      <c r="C187" s="35" t="n"/>
      <c r="D187" s="26" t="n"/>
      <c r="E187" s="36" t="n"/>
      <c r="F187" s="26" t="n"/>
    </row>
    <row r="188">
      <c r="A188" s="26" t="n"/>
      <c r="B188" s="25" t="n"/>
      <c r="C188" s="35" t="n"/>
      <c r="D188" s="26" t="n"/>
      <c r="E188" s="36" t="n"/>
      <c r="F188" s="26" t="n"/>
    </row>
    <row r="189">
      <c r="A189" s="26" t="n"/>
      <c r="B189" s="25" t="n"/>
      <c r="C189" s="35" t="n"/>
      <c r="D189" s="26" t="n"/>
      <c r="E189" s="36" t="n"/>
      <c r="F189" s="26" t="n"/>
    </row>
    <row r="190">
      <c r="A190" s="26" t="n"/>
      <c r="B190" s="25" t="n"/>
      <c r="C190" s="35" t="n"/>
      <c r="D190" s="26" t="n"/>
      <c r="E190" s="36" t="n"/>
      <c r="F190" s="26" t="n"/>
    </row>
    <row r="191">
      <c r="A191" s="26" t="n"/>
      <c r="B191" s="25" t="n"/>
      <c r="C191" s="35" t="n"/>
      <c r="D191" s="26" t="n"/>
      <c r="E191" s="36" t="n"/>
      <c r="F191" s="26" t="n"/>
    </row>
    <row r="192">
      <c r="A192" s="26" t="n"/>
      <c r="B192" s="25" t="n"/>
      <c r="C192" s="35" t="n"/>
      <c r="D192" s="26" t="n"/>
      <c r="E192" s="36" t="n"/>
      <c r="F192" s="26" t="n"/>
    </row>
    <row r="193">
      <c r="A193" s="26" t="n"/>
      <c r="B193" s="25" t="n"/>
      <c r="C193" s="35" t="n"/>
      <c r="D193" s="26" t="n"/>
      <c r="E193" s="36" t="n"/>
      <c r="F193" s="26" t="n"/>
    </row>
    <row r="194">
      <c r="A194" s="26" t="n"/>
      <c r="B194" s="25" t="n"/>
      <c r="C194" s="35" t="n"/>
      <c r="D194" s="26" t="n"/>
      <c r="E194" s="36" t="n"/>
      <c r="F194" s="26" t="n"/>
    </row>
    <row r="195">
      <c r="A195" s="26" t="n"/>
      <c r="B195" s="25" t="n"/>
      <c r="C195" s="35" t="n"/>
      <c r="D195" s="26" t="n"/>
      <c r="E195" s="36" t="n"/>
      <c r="F195" s="26" t="n"/>
    </row>
    <row r="196">
      <c r="A196" s="26" t="n"/>
      <c r="B196" s="25" t="n"/>
      <c r="C196" s="35" t="n"/>
      <c r="D196" s="26" t="n"/>
      <c r="E196" s="36" t="n"/>
      <c r="F196" s="26" t="n"/>
    </row>
    <row r="197">
      <c r="A197" s="26" t="n"/>
      <c r="B197" s="25" t="n"/>
      <c r="C197" s="35" t="n"/>
      <c r="D197" s="26" t="n"/>
      <c r="E197" s="36" t="n"/>
      <c r="F197" s="26" t="n"/>
    </row>
    <row r="198">
      <c r="A198" s="26" t="n"/>
      <c r="B198" s="25" t="n"/>
      <c r="C198" s="35" t="n"/>
      <c r="D198" s="26" t="n"/>
      <c r="E198" s="36" t="n"/>
      <c r="F198" s="26" t="n"/>
    </row>
    <row r="199">
      <c r="A199" s="26" t="n"/>
      <c r="B199" s="25" t="n"/>
      <c r="C199" s="35" t="n"/>
      <c r="D199" s="26" t="n"/>
      <c r="E199" s="36" t="n"/>
      <c r="F199" s="26" t="n"/>
    </row>
    <row r="200">
      <c r="A200" s="26" t="n"/>
      <c r="B200" s="25" t="n"/>
      <c r="C200" s="35" t="n"/>
      <c r="D200" s="26" t="n"/>
      <c r="E200" s="36" t="n"/>
      <c r="F200" s="26" t="n"/>
    </row>
    <row r="201">
      <c r="A201" s="26" t="n"/>
      <c r="B201" s="25" t="n"/>
      <c r="C201" s="35" t="n"/>
      <c r="D201" s="26" t="n"/>
      <c r="E201" s="36" t="n"/>
      <c r="F201" s="26" t="n"/>
    </row>
    <row r="202">
      <c r="A202" s="26" t="n"/>
      <c r="B202" s="25" t="n"/>
      <c r="C202" s="35" t="n"/>
      <c r="D202" s="26" t="n"/>
      <c r="E202" s="36" t="n"/>
      <c r="F202" s="26" t="n"/>
    </row>
    <row r="203">
      <c r="A203" s="26" t="n"/>
      <c r="B203" s="25" t="n"/>
      <c r="C203" s="35" t="n"/>
      <c r="D203" s="26" t="n"/>
      <c r="E203" s="36" t="n"/>
      <c r="F203" s="26" t="n"/>
    </row>
    <row r="204">
      <c r="A204" s="26" t="n"/>
      <c r="B204" s="25" t="n"/>
      <c r="C204" s="35" t="n"/>
      <c r="D204" s="26" t="n"/>
      <c r="E204" s="36" t="n"/>
      <c r="F204" s="26" t="n"/>
    </row>
    <row r="205">
      <c r="A205" s="26" t="n"/>
      <c r="B205" s="25" t="n"/>
      <c r="C205" s="35" t="n"/>
      <c r="D205" s="26" t="n"/>
      <c r="E205" s="36" t="n"/>
      <c r="F205" s="26" t="n"/>
    </row>
    <row r="206">
      <c r="A206" s="26" t="n"/>
      <c r="B206" s="25" t="n"/>
      <c r="C206" s="35" t="n"/>
      <c r="D206" s="26" t="n"/>
      <c r="E206" s="36" t="n"/>
      <c r="F206" s="26" t="n"/>
    </row>
    <row r="207">
      <c r="A207" s="26" t="n"/>
      <c r="B207" s="25" t="n"/>
      <c r="C207" s="35" t="n"/>
      <c r="D207" s="26" t="n"/>
      <c r="E207" s="36" t="n"/>
      <c r="F207" s="26" t="n"/>
    </row>
    <row r="208">
      <c r="A208" s="26" t="n"/>
      <c r="B208" s="25" t="n"/>
      <c r="C208" s="35" t="n"/>
      <c r="D208" s="26" t="n"/>
      <c r="E208" s="36" t="n"/>
      <c r="F208" s="26" t="n"/>
    </row>
    <row r="209">
      <c r="A209" s="26" t="n"/>
      <c r="B209" s="25" t="n"/>
      <c r="C209" s="35" t="n"/>
      <c r="D209" s="26" t="n"/>
      <c r="E209" s="36" t="n"/>
      <c r="F209" s="26" t="n"/>
    </row>
    <row r="210">
      <c r="A210" s="26" t="n"/>
      <c r="B210" s="25" t="n"/>
      <c r="C210" s="35" t="n"/>
      <c r="D210" s="26" t="n"/>
      <c r="E210" s="36" t="n"/>
      <c r="F210" s="26" t="n"/>
    </row>
    <row r="211">
      <c r="A211" s="26" t="n"/>
      <c r="B211" s="25" t="n"/>
      <c r="C211" s="35" t="n"/>
      <c r="D211" s="26" t="n"/>
      <c r="E211" s="36" t="n"/>
      <c r="F211" s="26" t="n"/>
    </row>
    <row r="212">
      <c r="A212" s="26" t="n"/>
      <c r="B212" s="25" t="n"/>
      <c r="C212" s="35" t="n"/>
      <c r="D212" s="26" t="n"/>
      <c r="E212" s="36" t="n"/>
      <c r="F212" s="26" t="n"/>
    </row>
    <row r="213">
      <c r="A213" s="26" t="n"/>
      <c r="B213" s="25" t="n"/>
      <c r="C213" s="35" t="n"/>
      <c r="D213" s="26" t="n"/>
      <c r="E213" s="36" t="n"/>
      <c r="F213" s="26" t="n"/>
    </row>
    <row r="214">
      <c r="A214" s="26" t="n"/>
      <c r="B214" s="25" t="n"/>
      <c r="C214" s="35" t="n"/>
      <c r="D214" s="26" t="n"/>
      <c r="E214" s="36" t="n"/>
      <c r="F214" s="26" t="n"/>
    </row>
    <row r="215">
      <c r="A215" s="26" t="n"/>
      <c r="B215" s="25" t="n"/>
      <c r="C215" s="35" t="n"/>
      <c r="D215" s="26" t="n"/>
      <c r="E215" s="36" t="n"/>
      <c r="F215" s="26" t="n"/>
    </row>
    <row r="216">
      <c r="A216" s="26" t="n"/>
      <c r="B216" s="25" t="n"/>
      <c r="C216" s="35" t="n"/>
      <c r="D216" s="26" t="n"/>
      <c r="E216" s="36" t="n"/>
      <c r="F216" s="26" t="n"/>
    </row>
    <row r="217">
      <c r="A217" s="26" t="n"/>
      <c r="B217" s="25" t="n"/>
      <c r="C217" s="35" t="n"/>
      <c r="D217" s="26" t="n"/>
      <c r="E217" s="36" t="n"/>
      <c r="F217" s="26" t="n"/>
    </row>
    <row r="218">
      <c r="A218" s="26" t="n"/>
      <c r="B218" s="25" t="n"/>
      <c r="C218" s="35" t="n"/>
      <c r="D218" s="26" t="n"/>
      <c r="E218" s="36" t="n"/>
      <c r="F218" s="26" t="n"/>
    </row>
    <row r="219">
      <c r="A219" s="26" t="n"/>
      <c r="B219" s="25" t="n"/>
      <c r="C219" s="35" t="n"/>
      <c r="D219" s="26" t="n"/>
      <c r="E219" s="36" t="n"/>
      <c r="F219" s="26" t="n"/>
    </row>
    <row r="220">
      <c r="A220" s="26" t="n"/>
      <c r="B220" s="25" t="n"/>
      <c r="C220" s="35" t="n"/>
      <c r="D220" s="26" t="n"/>
      <c r="E220" s="36" t="n"/>
      <c r="F220" s="26" t="n"/>
    </row>
    <row r="221">
      <c r="A221" s="26" t="n"/>
      <c r="B221" s="25" t="n"/>
      <c r="C221" s="35" t="n"/>
      <c r="D221" s="26" t="n"/>
      <c r="E221" s="36" t="n"/>
      <c r="F221" s="26" t="n"/>
    </row>
    <row r="222">
      <c r="A222" s="26" t="n"/>
      <c r="B222" s="25" t="n"/>
      <c r="C222" s="35" t="n"/>
      <c r="D222" s="26" t="n"/>
      <c r="E222" s="36" t="n"/>
      <c r="F222" s="26" t="n"/>
    </row>
    <row r="223">
      <c r="A223" s="26" t="n"/>
      <c r="B223" s="25" t="n"/>
      <c r="C223" s="35" t="n"/>
      <c r="D223" s="26" t="n"/>
      <c r="E223" s="36" t="n"/>
      <c r="F223" s="26" t="n"/>
    </row>
    <row r="224">
      <c r="A224" s="26" t="n"/>
      <c r="B224" s="25" t="n"/>
      <c r="C224" s="35" t="n"/>
      <c r="D224" s="26" t="n"/>
      <c r="E224" s="36" t="n"/>
      <c r="F224" s="26" t="n"/>
    </row>
    <row r="225">
      <c r="A225" s="26" t="n"/>
      <c r="B225" s="25" t="n"/>
      <c r="C225" s="35" t="n"/>
      <c r="D225" s="26" t="n"/>
      <c r="E225" s="36" t="n"/>
      <c r="F225" s="26" t="n"/>
    </row>
    <row r="226">
      <c r="A226" s="26" t="n"/>
      <c r="B226" s="25" t="n"/>
      <c r="C226" s="35" t="n"/>
      <c r="D226" s="26" t="n"/>
      <c r="E226" s="36" t="n"/>
      <c r="F226" s="26" t="n"/>
    </row>
    <row r="227">
      <c r="A227" s="26" t="n"/>
      <c r="B227" s="25" t="n"/>
      <c r="C227" s="35" t="n"/>
      <c r="D227" s="26" t="n"/>
      <c r="E227" s="36" t="n"/>
      <c r="F227" s="26" t="n"/>
    </row>
    <row r="228">
      <c r="A228" s="26" t="n"/>
      <c r="B228" s="25" t="n"/>
      <c r="C228" s="35" t="n"/>
      <c r="D228" s="26" t="n"/>
      <c r="E228" s="36" t="n"/>
      <c r="F228" s="26" t="n"/>
    </row>
    <row r="229">
      <c r="A229" s="26" t="n"/>
      <c r="B229" s="25" t="n"/>
      <c r="C229" s="35" t="n"/>
      <c r="D229" s="26" t="n"/>
      <c r="E229" s="36" t="n"/>
      <c r="F229" s="26" t="n"/>
    </row>
    <row r="230">
      <c r="A230" s="26" t="n"/>
      <c r="B230" s="25" t="n"/>
      <c r="C230" s="35" t="n"/>
      <c r="D230" s="26" t="n"/>
      <c r="E230" s="36" t="n"/>
      <c r="F230" s="26" t="n"/>
    </row>
    <row r="231">
      <c r="A231" s="26" t="n"/>
      <c r="B231" s="25" t="n"/>
      <c r="C231" s="35" t="n"/>
      <c r="D231" s="26" t="n"/>
      <c r="E231" s="36" t="n"/>
      <c r="F231" s="26" t="n"/>
    </row>
    <row r="232">
      <c r="A232" s="26" t="n"/>
      <c r="B232" s="25" t="n"/>
      <c r="C232" s="35" t="n"/>
      <c r="D232" s="26" t="n"/>
      <c r="E232" s="36" t="n"/>
      <c r="F232" s="26" t="n"/>
    </row>
    <row r="233">
      <c r="A233" s="26" t="n"/>
      <c r="B233" s="25" t="n"/>
      <c r="C233" s="35" t="n"/>
      <c r="D233" s="26" t="n"/>
      <c r="E233" s="36" t="n"/>
      <c r="F233" s="26" t="n"/>
    </row>
    <row r="234">
      <c r="A234" s="26" t="n"/>
      <c r="B234" s="25" t="n"/>
      <c r="C234" s="35" t="n"/>
      <c r="D234" s="26" t="n"/>
      <c r="E234" s="36" t="n"/>
      <c r="F234" s="26" t="n"/>
    </row>
    <row r="235">
      <c r="A235" s="26" t="n"/>
      <c r="B235" s="25" t="n"/>
      <c r="C235" s="35" t="n"/>
      <c r="D235" s="26" t="n"/>
      <c r="E235" s="36" t="n"/>
      <c r="F235" s="26" t="n"/>
    </row>
    <row r="236">
      <c r="A236" s="26" t="n"/>
      <c r="B236" s="25" t="n"/>
      <c r="C236" s="35" t="n"/>
      <c r="D236" s="26" t="n"/>
      <c r="E236" s="36" t="n"/>
      <c r="F236" s="26" t="n"/>
    </row>
    <row r="237">
      <c r="A237" s="26" t="n"/>
      <c r="B237" s="25" t="n"/>
      <c r="C237" s="35" t="n"/>
      <c r="D237" s="26" t="n"/>
      <c r="E237" s="36" t="n"/>
      <c r="F237" s="26" t="n"/>
    </row>
    <row r="238">
      <c r="A238" s="26" t="n"/>
      <c r="B238" s="25" t="n"/>
      <c r="C238" s="35" t="n"/>
      <c r="D238" s="26" t="n"/>
      <c r="E238" s="36" t="n"/>
      <c r="F238" s="26" t="n"/>
    </row>
    <row r="239">
      <c r="A239" s="26" t="n"/>
      <c r="B239" s="25" t="n"/>
      <c r="C239" s="35" t="n"/>
      <c r="D239" s="26" t="n"/>
      <c r="E239" s="36" t="n"/>
      <c r="F239" s="26" t="n"/>
    </row>
    <row r="240">
      <c r="A240" s="26" t="n"/>
      <c r="B240" s="25" t="n"/>
      <c r="C240" s="35" t="n"/>
      <c r="D240" s="26" t="n"/>
      <c r="E240" s="36" t="n"/>
      <c r="F240" s="26" t="n"/>
    </row>
    <row r="241">
      <c r="A241" s="26" t="n"/>
      <c r="B241" s="25" t="n"/>
      <c r="C241" s="35" t="n"/>
      <c r="D241" s="26" t="n"/>
      <c r="E241" s="36" t="n"/>
      <c r="F241" s="26" t="n"/>
    </row>
    <row r="242">
      <c r="A242" s="26" t="n"/>
      <c r="B242" s="25" t="n"/>
      <c r="C242" s="35" t="n"/>
      <c r="D242" s="26" t="n"/>
      <c r="E242" s="36" t="n"/>
      <c r="F242" s="26" t="n"/>
    </row>
    <row r="243">
      <c r="A243" s="26" t="n"/>
      <c r="B243" s="25" t="n"/>
      <c r="C243" s="35" t="n"/>
      <c r="D243" s="26" t="n"/>
      <c r="E243" s="36" t="n"/>
      <c r="F243" s="26" t="n"/>
    </row>
    <row r="244">
      <c r="A244" s="26" t="n"/>
      <c r="B244" s="25" t="n"/>
      <c r="C244" s="35" t="n"/>
      <c r="D244" s="26" t="n"/>
      <c r="E244" s="36" t="n"/>
      <c r="F244" s="26" t="n"/>
    </row>
    <row r="245">
      <c r="A245" s="26" t="n"/>
      <c r="B245" s="25" t="n"/>
      <c r="C245" s="35" t="n"/>
      <c r="D245" s="26" t="n"/>
      <c r="E245" s="36" t="n"/>
      <c r="F245" s="26" t="n"/>
    </row>
    <row r="246">
      <c r="A246" s="26" t="n"/>
      <c r="B246" s="25" t="n"/>
      <c r="C246" s="35" t="n"/>
      <c r="D246" s="26" t="n"/>
      <c r="E246" s="36" t="n"/>
      <c r="F246" s="26" t="n"/>
    </row>
    <row r="247">
      <c r="A247" s="26" t="n"/>
      <c r="B247" s="25" t="n"/>
      <c r="C247" s="35" t="n"/>
      <c r="D247" s="26" t="n"/>
      <c r="E247" s="36" t="n"/>
      <c r="F247" s="26" t="n"/>
    </row>
    <row r="248">
      <c r="A248" s="26" t="n"/>
      <c r="B248" s="25" t="n"/>
      <c r="C248" s="35" t="n"/>
      <c r="D248" s="26" t="n"/>
      <c r="E248" s="36" t="n"/>
      <c r="F248" s="26" t="n"/>
    </row>
    <row r="249">
      <c r="A249" s="26" t="n"/>
      <c r="B249" s="25" t="n"/>
      <c r="C249" s="35" t="n"/>
      <c r="D249" s="26" t="n"/>
      <c r="E249" s="36" t="n"/>
      <c r="F249" s="26" t="n"/>
    </row>
    <row r="250">
      <c r="A250" s="26" t="n"/>
      <c r="B250" s="25" t="n"/>
      <c r="C250" s="35" t="n"/>
      <c r="D250" s="26" t="n"/>
      <c r="E250" s="36" t="n"/>
      <c r="F250" s="26" t="n"/>
    </row>
    <row r="251">
      <c r="A251" s="26" t="n"/>
      <c r="B251" s="25" t="n"/>
      <c r="C251" s="35" t="n"/>
      <c r="D251" s="26" t="n"/>
      <c r="E251" s="36" t="n"/>
      <c r="F251" s="26" t="n"/>
    </row>
    <row r="252">
      <c r="A252" s="26" t="n"/>
      <c r="B252" s="25" t="n"/>
      <c r="C252" s="35" t="n"/>
      <c r="D252" s="26" t="n"/>
      <c r="E252" s="36" t="n"/>
      <c r="F252" s="26" t="n"/>
    </row>
    <row r="253">
      <c r="A253" s="26" t="n"/>
      <c r="B253" s="25" t="n"/>
      <c r="C253" s="35" t="n"/>
      <c r="D253" s="26" t="n"/>
      <c r="E253" s="36" t="n"/>
      <c r="F253" s="26" t="n"/>
    </row>
    <row r="254">
      <c r="A254" s="26" t="n"/>
      <c r="B254" s="25" t="n"/>
      <c r="C254" s="35" t="n"/>
      <c r="D254" s="26" t="n"/>
      <c r="E254" s="36" t="n"/>
      <c r="F254" s="26" t="n"/>
    </row>
    <row r="255">
      <c r="A255" s="26" t="n"/>
      <c r="B255" s="25" t="n"/>
      <c r="C255" s="35" t="n"/>
      <c r="D255" s="26" t="n"/>
      <c r="E255" s="36" t="n"/>
      <c r="F255" s="26" t="n"/>
    </row>
    <row r="256">
      <c r="A256" s="26" t="n"/>
      <c r="B256" s="25" t="n"/>
      <c r="C256" s="35" t="n"/>
      <c r="D256" s="26" t="n"/>
      <c r="E256" s="36" t="n"/>
      <c r="F256" s="26" t="n"/>
    </row>
    <row r="257">
      <c r="A257" s="26" t="n"/>
      <c r="B257" s="25" t="n"/>
      <c r="C257" s="35" t="n"/>
      <c r="D257" s="26" t="n"/>
      <c r="E257" s="36" t="n"/>
      <c r="F257" s="26" t="n"/>
    </row>
    <row r="258">
      <c r="A258" s="26" t="n"/>
      <c r="B258" s="25" t="n"/>
      <c r="C258" s="35" t="n"/>
      <c r="D258" s="26" t="n"/>
      <c r="E258" s="36" t="n"/>
      <c r="F258" s="26" t="n"/>
    </row>
    <row r="259">
      <c r="A259" s="26" t="n"/>
      <c r="B259" s="25" t="n"/>
      <c r="C259" s="35" t="n"/>
      <c r="D259" s="26" t="n"/>
      <c r="E259" s="36" t="n"/>
      <c r="F259" s="26" t="n"/>
    </row>
    <row r="260">
      <c r="A260" s="26" t="n"/>
      <c r="B260" s="25" t="n"/>
      <c r="C260" s="35" t="n"/>
      <c r="D260" s="26" t="n"/>
      <c r="E260" s="36" t="n"/>
      <c r="F260" s="26" t="n"/>
    </row>
    <row r="261">
      <c r="A261" s="26" t="n"/>
      <c r="B261" s="25" t="n"/>
      <c r="C261" s="35" t="n"/>
      <c r="D261" s="26" t="n"/>
      <c r="E261" s="36" t="n"/>
      <c r="F261" s="26" t="n"/>
    </row>
    <row r="262">
      <c r="A262" s="26" t="n"/>
      <c r="B262" s="25" t="n"/>
      <c r="C262" s="35" t="n"/>
      <c r="D262" s="26" t="n"/>
      <c r="E262" s="36" t="n"/>
      <c r="F262" s="26" t="n"/>
    </row>
    <row r="263">
      <c r="A263" s="26" t="n"/>
      <c r="B263" s="25" t="n"/>
      <c r="C263" s="35" t="n"/>
      <c r="D263" s="26" t="n"/>
      <c r="E263" s="36" t="n"/>
      <c r="F263" s="26" t="n"/>
    </row>
    <row r="264">
      <c r="A264" s="26" t="n"/>
      <c r="B264" s="25" t="n"/>
      <c r="C264" s="35" t="n"/>
      <c r="D264" s="26" t="n"/>
      <c r="E264" s="36" t="n"/>
      <c r="F264" s="26" t="n"/>
    </row>
    <row r="265">
      <c r="A265" s="26" t="n"/>
      <c r="B265" s="25" t="n"/>
      <c r="C265" s="35" t="n"/>
      <c r="D265" s="26" t="n"/>
      <c r="E265" s="36" t="n"/>
      <c r="F265" s="26" t="n"/>
    </row>
    <row r="266">
      <c r="A266" s="26" t="n"/>
      <c r="B266" s="25" t="n"/>
      <c r="C266" s="35" t="n"/>
      <c r="D266" s="26" t="n"/>
      <c r="E266" s="36" t="n"/>
      <c r="F266" s="26" t="n"/>
    </row>
    <row r="267">
      <c r="A267" s="26" t="n"/>
      <c r="B267" s="25" t="n"/>
      <c r="C267" s="35" t="n"/>
      <c r="D267" s="26" t="n"/>
      <c r="E267" s="36" t="n"/>
      <c r="F267" s="26" t="n"/>
    </row>
    <row r="268">
      <c r="A268" s="26" t="n"/>
      <c r="B268" s="25" t="n"/>
      <c r="C268" s="35" t="n"/>
      <c r="D268" s="26" t="n"/>
      <c r="E268" s="36" t="n"/>
      <c r="F268" s="26" t="n"/>
    </row>
    <row r="269">
      <c r="A269" s="26" t="n"/>
      <c r="B269" s="25" t="n"/>
      <c r="C269" s="35" t="n"/>
      <c r="D269" s="26" t="n"/>
      <c r="E269" s="36" t="n"/>
      <c r="F269" s="26" t="n"/>
    </row>
    <row r="270">
      <c r="A270" s="26" t="n"/>
      <c r="B270" s="25" t="n"/>
      <c r="C270" s="35" t="n"/>
      <c r="D270" s="26" t="n"/>
      <c r="E270" s="36" t="n"/>
      <c r="F270" s="26" t="n"/>
    </row>
    <row r="271">
      <c r="A271" s="26" t="n"/>
      <c r="B271" s="25" t="n"/>
      <c r="C271" s="35" t="n"/>
      <c r="D271" s="26" t="n"/>
      <c r="E271" s="36" t="n"/>
      <c r="F271" s="26" t="n"/>
    </row>
    <row r="272">
      <c r="A272" s="26" t="n"/>
      <c r="B272" s="25" t="n"/>
      <c r="C272" s="35" t="n"/>
      <c r="D272" s="26" t="n"/>
      <c r="E272" s="36" t="n"/>
      <c r="F272" s="26" t="n"/>
    </row>
    <row r="273">
      <c r="A273" s="26" t="n"/>
      <c r="B273" s="25" t="n"/>
      <c r="C273" s="35" t="n"/>
      <c r="D273" s="26" t="n"/>
      <c r="E273" s="36" t="n"/>
      <c r="F273" s="26" t="n"/>
    </row>
    <row r="274">
      <c r="A274" s="26" t="n"/>
      <c r="B274" s="25" t="n"/>
      <c r="C274" s="35" t="n"/>
      <c r="D274" s="26" t="n"/>
      <c r="E274" s="36" t="n"/>
      <c r="F274" s="26" t="n"/>
    </row>
    <row r="275">
      <c r="A275" s="26" t="n"/>
      <c r="B275" s="25" t="n"/>
      <c r="C275" s="35" t="n"/>
      <c r="D275" s="26" t="n"/>
      <c r="E275" s="36" t="n"/>
      <c r="F275" s="26" t="n"/>
    </row>
    <row r="276">
      <c r="A276" s="26" t="n"/>
      <c r="B276" s="25" t="n"/>
      <c r="C276" s="35" t="n"/>
      <c r="D276" s="26" t="n"/>
      <c r="E276" s="36" t="n"/>
      <c r="F276" s="26" t="n"/>
    </row>
    <row r="277">
      <c r="A277" s="26" t="n"/>
      <c r="B277" s="25" t="n"/>
      <c r="C277" s="35" t="n"/>
      <c r="D277" s="26" t="n"/>
      <c r="E277" s="36" t="n"/>
      <c r="F277" s="26" t="n"/>
    </row>
    <row r="278">
      <c r="A278" s="26" t="n"/>
      <c r="B278" s="25" t="n"/>
      <c r="C278" s="35" t="n"/>
      <c r="D278" s="26" t="n"/>
      <c r="E278" s="36" t="n"/>
      <c r="F278" s="26" t="n"/>
    </row>
    <row r="279">
      <c r="A279" s="26" t="n"/>
      <c r="B279" s="25" t="n"/>
      <c r="C279" s="35" t="n"/>
      <c r="D279" s="26" t="n"/>
      <c r="E279" s="36" t="n"/>
      <c r="F279" s="26" t="n"/>
    </row>
    <row r="280">
      <c r="A280" s="26" t="n"/>
      <c r="B280" s="25" t="n"/>
      <c r="C280" s="35" t="n"/>
      <c r="D280" s="26" t="n"/>
      <c r="E280" s="36" t="n"/>
      <c r="F280" s="26" t="n"/>
    </row>
    <row r="281">
      <c r="A281" s="26" t="n"/>
      <c r="B281" s="25" t="n"/>
      <c r="C281" s="35" t="n"/>
      <c r="D281" s="26" t="n"/>
      <c r="E281" s="36" t="n"/>
      <c r="F281" s="26" t="n"/>
    </row>
    <row r="282">
      <c r="A282" s="26" t="n"/>
      <c r="B282" s="25" t="n"/>
      <c r="C282" s="35" t="n"/>
      <c r="D282" s="26" t="n"/>
      <c r="E282" s="36" t="n"/>
      <c r="F282" s="26" t="n"/>
    </row>
    <row r="283">
      <c r="A283" s="26" t="n"/>
      <c r="B283" s="25" t="n"/>
      <c r="C283" s="35" t="n"/>
      <c r="D283" s="26" t="n"/>
      <c r="E283" s="36" t="n"/>
      <c r="F283" s="26" t="n"/>
    </row>
    <row r="284">
      <c r="A284" s="26" t="n"/>
      <c r="B284" s="25" t="n"/>
      <c r="C284" s="35" t="n"/>
      <c r="D284" s="26" t="n"/>
      <c r="E284" s="36" t="n"/>
      <c r="F284" s="26" t="n"/>
    </row>
    <row r="285">
      <c r="A285" s="26" t="n"/>
      <c r="B285" s="25" t="n"/>
      <c r="C285" s="35" t="n"/>
      <c r="D285" s="26" t="n"/>
      <c r="E285" s="36" t="n"/>
      <c r="F285" s="26" t="n"/>
    </row>
    <row r="286">
      <c r="A286" s="26" t="n"/>
      <c r="B286" s="25" t="n"/>
      <c r="C286" s="35" t="n"/>
      <c r="D286" s="26" t="n"/>
      <c r="E286" s="36" t="n"/>
      <c r="F286" s="26" t="n"/>
    </row>
    <row r="287">
      <c r="A287" s="26" t="n"/>
      <c r="B287" s="25" t="n"/>
      <c r="C287" s="35" t="n"/>
      <c r="D287" s="26" t="n"/>
      <c r="E287" s="36" t="n"/>
      <c r="F287" s="26" t="n"/>
    </row>
    <row r="288">
      <c r="A288" s="26" t="n"/>
      <c r="B288" s="25" t="n"/>
      <c r="C288" s="35" t="n"/>
      <c r="D288" s="26" t="n"/>
      <c r="E288" s="36" t="n"/>
      <c r="F288" s="26" t="n"/>
    </row>
    <row r="289">
      <c r="A289" s="26" t="n"/>
      <c r="B289" s="25" t="n"/>
      <c r="C289" s="35" t="n"/>
      <c r="D289" s="26" t="n"/>
      <c r="E289" s="36" t="n"/>
      <c r="F289" s="26" t="n"/>
    </row>
    <row r="290">
      <c r="A290" s="26" t="n"/>
      <c r="B290" s="25" t="n"/>
      <c r="C290" s="35" t="n"/>
      <c r="D290" s="26" t="n"/>
      <c r="E290" s="36" t="n"/>
      <c r="F290" s="26" t="n"/>
    </row>
    <row r="291">
      <c r="A291" s="26" t="n"/>
      <c r="B291" s="25" t="n"/>
      <c r="C291" s="35" t="n"/>
      <c r="D291" s="26" t="n"/>
      <c r="E291" s="36" t="n"/>
      <c r="F291" s="26" t="n"/>
    </row>
    <row r="292">
      <c r="A292" s="26" t="n"/>
      <c r="B292" s="25" t="n"/>
      <c r="C292" s="35" t="n"/>
      <c r="D292" s="26" t="n"/>
      <c r="E292" s="36" t="n"/>
      <c r="F292" s="26" t="n"/>
    </row>
    <row r="293">
      <c r="A293" s="26" t="n"/>
      <c r="B293" s="25" t="n"/>
      <c r="C293" s="35" t="n"/>
      <c r="D293" s="26" t="n"/>
      <c r="E293" s="36" t="n"/>
      <c r="F293" s="26" t="n"/>
    </row>
    <row r="294">
      <c r="A294" s="26" t="n"/>
      <c r="B294" s="25" t="n"/>
      <c r="C294" s="35" t="n"/>
      <c r="D294" s="26" t="n"/>
      <c r="E294" s="36" t="n"/>
      <c r="F294" s="26" t="n"/>
    </row>
    <row r="295">
      <c r="A295" s="26" t="n"/>
      <c r="B295" s="25" t="n"/>
      <c r="C295" s="35" t="n"/>
      <c r="D295" s="26" t="n"/>
      <c r="E295" s="36" t="n"/>
      <c r="F295" s="26" t="n"/>
    </row>
    <row r="296">
      <c r="A296" s="26" t="n"/>
      <c r="B296" s="25" t="n"/>
      <c r="C296" s="35" t="n"/>
      <c r="D296" s="26" t="n"/>
      <c r="E296" s="36" t="n"/>
      <c r="F296" s="26" t="n"/>
    </row>
    <row r="297">
      <c r="A297" s="26" t="n"/>
      <c r="B297" s="25" t="n"/>
      <c r="C297" s="35" t="n"/>
      <c r="D297" s="26" t="n"/>
      <c r="E297" s="36" t="n"/>
      <c r="F297" s="26" t="n"/>
    </row>
    <row r="298">
      <c r="A298" s="26" t="n"/>
      <c r="B298" s="25" t="n"/>
      <c r="C298" s="35" t="n"/>
      <c r="D298" s="26" t="n"/>
      <c r="E298" s="36" t="n"/>
      <c r="F298" s="26" t="n"/>
    </row>
    <row r="299">
      <c r="A299" s="26" t="n"/>
      <c r="B299" s="25" t="n"/>
      <c r="C299" s="35" t="n"/>
      <c r="D299" s="26" t="n"/>
      <c r="E299" s="36" t="n"/>
      <c r="F299" s="26" t="n"/>
    </row>
    <row r="300">
      <c r="A300" s="26" t="n"/>
      <c r="B300" s="25" t="n"/>
      <c r="C300" s="35" t="n"/>
      <c r="D300" s="26" t="n"/>
      <c r="E300" s="36" t="n"/>
      <c r="F300" s="26" t="n"/>
    </row>
    <row r="301">
      <c r="A301" s="26" t="n"/>
      <c r="B301" s="25" t="n"/>
      <c r="C301" s="35" t="n"/>
      <c r="D301" s="26" t="n"/>
      <c r="E301" s="36" t="n"/>
      <c r="F301" s="26" t="n"/>
    </row>
    <row r="302">
      <c r="A302" s="26" t="n"/>
      <c r="B302" s="25" t="n"/>
      <c r="C302" s="35" t="n"/>
      <c r="D302" s="26" t="n"/>
      <c r="E302" s="36" t="n"/>
      <c r="F302" s="26" t="n"/>
    </row>
    <row r="303">
      <c r="A303" s="26" t="n"/>
      <c r="B303" s="25" t="n"/>
      <c r="C303" s="35" t="n"/>
      <c r="D303" s="26" t="n"/>
      <c r="E303" s="36" t="n"/>
      <c r="F303" s="26" t="n"/>
    </row>
    <row r="304">
      <c r="A304" s="26" t="n"/>
      <c r="B304" s="25" t="n"/>
      <c r="C304" s="35" t="n"/>
      <c r="D304" s="26" t="n"/>
      <c r="E304" s="36" t="n"/>
      <c r="F304" s="26" t="n"/>
    </row>
    <row r="305">
      <c r="A305" s="26" t="n"/>
      <c r="B305" s="25" t="n"/>
      <c r="C305" s="35" t="n"/>
      <c r="D305" s="26" t="n"/>
      <c r="E305" s="36" t="n"/>
      <c r="F305" s="26" t="n"/>
    </row>
    <row r="306">
      <c r="A306" s="26" t="n"/>
      <c r="B306" s="25" t="n"/>
      <c r="C306" s="35" t="n"/>
      <c r="D306" s="26" t="n"/>
      <c r="E306" s="36" t="n"/>
      <c r="F306" s="26" t="n"/>
    </row>
    <row r="307">
      <c r="A307" s="26" t="n"/>
      <c r="B307" s="25" t="n"/>
      <c r="C307" s="35" t="n"/>
      <c r="D307" s="26" t="n"/>
      <c r="E307" s="36" t="n"/>
      <c r="F307" s="26" t="n"/>
    </row>
    <row r="308">
      <c r="A308" s="26" t="n"/>
      <c r="B308" s="25" t="n"/>
      <c r="C308" s="35" t="n"/>
      <c r="D308" s="26" t="n"/>
      <c r="E308" s="36" t="n"/>
      <c r="F308" s="26" t="n"/>
    </row>
    <row r="309">
      <c r="A309" s="26" t="n"/>
      <c r="B309" s="25" t="n"/>
      <c r="C309" s="35" t="n"/>
      <c r="D309" s="26" t="n"/>
      <c r="E309" s="36" t="n"/>
      <c r="F309" s="26" t="n"/>
    </row>
    <row r="310">
      <c r="A310" s="26" t="n"/>
      <c r="B310" s="25" t="n"/>
      <c r="C310" s="35" t="n"/>
      <c r="D310" s="26" t="n"/>
      <c r="E310" s="36" t="n"/>
      <c r="F310" s="26" t="n"/>
    </row>
    <row r="311">
      <c r="A311" s="26" t="n"/>
      <c r="B311" s="25" t="n"/>
      <c r="C311" s="35" t="n"/>
      <c r="D311" s="26" t="n"/>
      <c r="E311" s="36" t="n"/>
      <c r="F311" s="26" t="n"/>
    </row>
    <row r="312">
      <c r="A312" s="26" t="n"/>
      <c r="B312" s="25" t="n"/>
      <c r="C312" s="35" t="n"/>
      <c r="D312" s="26" t="n"/>
      <c r="E312" s="36" t="n"/>
      <c r="F312" s="26" t="n"/>
    </row>
    <row r="313">
      <c r="A313" s="26" t="n"/>
      <c r="B313" s="25" t="n"/>
      <c r="C313" s="35" t="n"/>
      <c r="D313" s="26" t="n"/>
      <c r="E313" s="36" t="n"/>
      <c r="F313" s="26" t="n"/>
    </row>
    <row r="314">
      <c r="A314" s="26" t="n"/>
      <c r="B314" s="25" t="n"/>
      <c r="C314" s="35" t="n"/>
      <c r="D314" s="26" t="n"/>
      <c r="E314" s="36" t="n"/>
      <c r="F314" s="26" t="n"/>
    </row>
    <row r="315">
      <c r="A315" s="26" t="n"/>
      <c r="B315" s="25" t="n"/>
      <c r="C315" s="35" t="n"/>
      <c r="D315" s="26" t="n"/>
      <c r="E315" s="36" t="n"/>
      <c r="F315" s="26" t="n"/>
    </row>
    <row r="316">
      <c r="A316" s="26" t="n"/>
      <c r="B316" s="25" t="n"/>
      <c r="C316" s="35" t="n"/>
      <c r="D316" s="26" t="n"/>
      <c r="E316" s="36" t="n"/>
      <c r="F316" s="26" t="n"/>
    </row>
    <row r="317">
      <c r="A317" s="26" t="n"/>
      <c r="B317" s="25" t="n"/>
      <c r="C317" s="35" t="n"/>
      <c r="D317" s="26" t="n"/>
      <c r="E317" s="36" t="n"/>
      <c r="F317" s="26" t="n"/>
    </row>
    <row r="318">
      <c r="A318" s="26" t="n"/>
      <c r="B318" s="25" t="n"/>
      <c r="C318" s="35" t="n"/>
      <c r="D318" s="26" t="n"/>
      <c r="E318" s="36" t="n"/>
      <c r="F318" s="26" t="n"/>
    </row>
    <row r="319">
      <c r="A319" s="26" t="n"/>
      <c r="B319" s="25" t="n"/>
      <c r="C319" s="35" t="n"/>
      <c r="D319" s="26" t="n"/>
      <c r="E319" s="36" t="n"/>
      <c r="F319" s="26" t="n"/>
    </row>
    <row r="320">
      <c r="A320" s="26" t="n"/>
      <c r="B320" s="25" t="n"/>
      <c r="C320" s="35" t="n"/>
      <c r="D320" s="26" t="n"/>
      <c r="E320" s="36" t="n"/>
      <c r="F320" s="26" t="n"/>
    </row>
    <row r="321">
      <c r="A321" s="26" t="n"/>
      <c r="B321" s="25" t="n"/>
      <c r="C321" s="35" t="n"/>
      <c r="D321" s="26" t="n"/>
      <c r="E321" s="36" t="n"/>
      <c r="F321" s="26" t="n"/>
    </row>
    <row r="322">
      <c r="A322" s="26" t="n"/>
      <c r="B322" s="25" t="n"/>
      <c r="C322" s="35" t="n"/>
      <c r="D322" s="26" t="n"/>
      <c r="E322" s="36" t="n"/>
      <c r="F322" s="26" t="n"/>
    </row>
    <row r="323">
      <c r="A323" s="26" t="n"/>
      <c r="B323" s="25" t="n"/>
      <c r="C323" s="35" t="n"/>
      <c r="D323" s="26" t="n"/>
      <c r="E323" s="36" t="n"/>
      <c r="F323" s="26" t="n"/>
    </row>
    <row r="324">
      <c r="A324" s="26" t="n"/>
      <c r="B324" s="25" t="n"/>
      <c r="C324" s="35" t="n"/>
      <c r="D324" s="26" t="n"/>
      <c r="E324" s="36" t="n"/>
      <c r="F324" s="26" t="n"/>
    </row>
    <row r="325">
      <c r="A325" s="26" t="n"/>
      <c r="B325" s="25" t="n"/>
      <c r="C325" s="35" t="n"/>
      <c r="D325" s="26" t="n"/>
      <c r="E325" s="36" t="n"/>
      <c r="F325" s="26" t="n"/>
    </row>
    <row r="326">
      <c r="A326" s="26" t="n"/>
      <c r="B326" s="25" t="n"/>
      <c r="C326" s="35" t="n"/>
      <c r="D326" s="26" t="n"/>
      <c r="E326" s="36" t="n"/>
      <c r="F326" s="26" t="n"/>
    </row>
    <row r="327">
      <c r="A327" s="26" t="n"/>
      <c r="B327" s="25" t="n"/>
      <c r="C327" s="35" t="n"/>
      <c r="D327" s="26" t="n"/>
      <c r="E327" s="36" t="n"/>
      <c r="F327" s="26" t="n"/>
    </row>
    <row r="328">
      <c r="A328" s="26" t="n"/>
      <c r="B328" s="25" t="n"/>
      <c r="C328" s="35" t="n"/>
      <c r="D328" s="26" t="n"/>
      <c r="E328" s="36" t="n"/>
      <c r="F328" s="26" t="n"/>
    </row>
    <row r="329">
      <c r="A329" s="26" t="n"/>
      <c r="B329" s="25" t="n"/>
      <c r="C329" s="35" t="n"/>
      <c r="D329" s="26" t="n"/>
      <c r="E329" s="36" t="n"/>
      <c r="F329" s="26" t="n"/>
    </row>
    <row r="330">
      <c r="A330" s="26" t="n"/>
      <c r="B330" s="25" t="n"/>
      <c r="C330" s="35" t="n"/>
      <c r="D330" s="26" t="n"/>
      <c r="E330" s="36" t="n"/>
      <c r="F330" s="26" t="n"/>
    </row>
    <row r="331">
      <c r="A331" s="26" t="n"/>
      <c r="B331" s="25" t="n"/>
      <c r="C331" s="35" t="n"/>
      <c r="D331" s="26" t="n"/>
      <c r="E331" s="36" t="n"/>
      <c r="F331" s="26" t="n"/>
    </row>
    <row r="332">
      <c r="A332" s="26" t="n"/>
      <c r="B332" s="25" t="n"/>
      <c r="C332" s="35" t="n"/>
      <c r="D332" s="26" t="n"/>
      <c r="E332" s="36" t="n"/>
      <c r="F332" s="26" t="n"/>
    </row>
    <row r="333">
      <c r="A333" s="26" t="n"/>
      <c r="B333" s="25" t="n"/>
      <c r="C333" s="35" t="n"/>
      <c r="D333" s="26" t="n"/>
      <c r="E333" s="36" t="n"/>
      <c r="F333" s="26" t="n"/>
    </row>
    <row r="334">
      <c r="A334" s="26" t="n"/>
      <c r="B334" s="25" t="n"/>
      <c r="C334" s="35" t="n"/>
      <c r="D334" s="26" t="n"/>
      <c r="E334" s="36" t="n"/>
      <c r="F334" s="26" t="n"/>
    </row>
    <row r="335">
      <c r="A335" s="26" t="n"/>
      <c r="B335" s="25" t="n"/>
      <c r="C335" s="35" t="n"/>
      <c r="D335" s="26" t="n"/>
      <c r="E335" s="36" t="n"/>
      <c r="F335" s="26" t="n"/>
    </row>
    <row r="336">
      <c r="A336" s="26" t="n"/>
      <c r="B336" s="25" t="n"/>
      <c r="C336" s="35" t="n"/>
      <c r="D336" s="26" t="n"/>
      <c r="E336" s="36" t="n"/>
      <c r="F336" s="26" t="n"/>
    </row>
    <row r="337">
      <c r="A337" s="26" t="n"/>
      <c r="B337" s="25" t="n"/>
      <c r="C337" s="35" t="n"/>
      <c r="D337" s="26" t="n"/>
      <c r="E337" s="36" t="n"/>
      <c r="F337" s="26" t="n"/>
    </row>
    <row r="338">
      <c r="A338" s="26" t="n"/>
      <c r="B338" s="25" t="n"/>
      <c r="C338" s="35" t="n"/>
      <c r="D338" s="26" t="n"/>
      <c r="E338" s="36" t="n"/>
      <c r="F338" s="26" t="n"/>
    </row>
    <row r="339">
      <c r="A339" s="26" t="n"/>
      <c r="B339" s="25" t="n"/>
      <c r="C339" s="35" t="n"/>
      <c r="D339" s="26" t="n"/>
      <c r="E339" s="36" t="n"/>
      <c r="F339" s="26" t="n"/>
    </row>
    <row r="340">
      <c r="A340" s="26" t="n"/>
      <c r="B340" s="25" t="n"/>
      <c r="C340" s="35" t="n"/>
      <c r="D340" s="26" t="n"/>
      <c r="E340" s="36" t="n"/>
      <c r="F340" s="26" t="n"/>
    </row>
    <row r="341">
      <c r="A341" s="26" t="n"/>
      <c r="B341" s="25" t="n"/>
      <c r="C341" s="35" t="n"/>
      <c r="D341" s="26" t="n"/>
      <c r="E341" s="36" t="n"/>
      <c r="F341" s="26" t="n"/>
    </row>
    <row r="342">
      <c r="A342" s="26" t="n"/>
      <c r="B342" s="25" t="n"/>
      <c r="C342" s="35" t="n"/>
      <c r="D342" s="26" t="n"/>
      <c r="E342" s="36" t="n"/>
      <c r="F342" s="26" t="n"/>
    </row>
    <row r="343">
      <c r="A343" s="26" t="n"/>
      <c r="B343" s="25" t="n"/>
      <c r="C343" s="35" t="n"/>
      <c r="D343" s="26" t="n"/>
      <c r="E343" s="36" t="n"/>
      <c r="F343" s="26" t="n"/>
    </row>
    <row r="344">
      <c r="A344" s="26" t="n"/>
      <c r="B344" s="25" t="n"/>
      <c r="C344" s="35" t="n"/>
      <c r="D344" s="26" t="n"/>
      <c r="E344" s="36" t="n"/>
      <c r="F344" s="26" t="n"/>
    </row>
    <row r="345">
      <c r="A345" s="26" t="n"/>
      <c r="B345" s="25" t="n"/>
      <c r="C345" s="35" t="n"/>
      <c r="D345" s="26" t="n"/>
      <c r="E345" s="36" t="n"/>
      <c r="F345" s="26" t="n"/>
    </row>
    <row r="346">
      <c r="A346" s="26" t="n"/>
      <c r="B346" s="25" t="n"/>
      <c r="C346" s="35" t="n"/>
      <c r="D346" s="26" t="n"/>
      <c r="E346" s="36" t="n"/>
      <c r="F346" s="26" t="n"/>
    </row>
    <row r="347">
      <c r="A347" s="26" t="n"/>
      <c r="B347" s="25" t="n"/>
      <c r="C347" s="35" t="n"/>
      <c r="D347" s="26" t="n"/>
      <c r="E347" s="36" t="n"/>
      <c r="F347" s="26" t="n"/>
    </row>
    <row r="348">
      <c r="A348" s="26" t="n"/>
      <c r="B348" s="25" t="n"/>
      <c r="C348" s="35" t="n"/>
      <c r="D348" s="26" t="n"/>
      <c r="E348" s="36" t="n"/>
      <c r="F348" s="26" t="n"/>
    </row>
    <row r="349">
      <c r="A349" s="26" t="n"/>
      <c r="B349" s="25" t="n"/>
      <c r="C349" s="35" t="n"/>
      <c r="D349" s="26" t="n"/>
      <c r="E349" s="36" t="n"/>
      <c r="F349" s="26" t="n"/>
    </row>
    <row r="350">
      <c r="A350" s="26" t="n"/>
      <c r="B350" s="25" t="n"/>
      <c r="C350" s="35" t="n"/>
      <c r="D350" s="26" t="n"/>
      <c r="E350" s="36" t="n"/>
      <c r="F350" s="26" t="n"/>
    </row>
    <row r="351">
      <c r="A351" s="26" t="n"/>
      <c r="B351" s="25" t="n"/>
      <c r="C351" s="35" t="n"/>
      <c r="D351" s="26" t="n"/>
      <c r="E351" s="36" t="n"/>
      <c r="F351" s="26" t="n"/>
    </row>
    <row r="352">
      <c r="A352" s="26" t="n"/>
      <c r="B352" s="25" t="n"/>
      <c r="C352" s="35" t="n"/>
      <c r="D352" s="26" t="n"/>
      <c r="E352" s="36" t="n"/>
      <c r="F352" s="26" t="n"/>
    </row>
    <row r="353">
      <c r="A353" s="26" t="n"/>
      <c r="B353" s="25" t="n"/>
      <c r="C353" s="35" t="n"/>
      <c r="D353" s="26" t="n"/>
      <c r="E353" s="36" t="n"/>
      <c r="F353" s="26" t="n"/>
    </row>
    <row r="354">
      <c r="A354" s="26" t="n"/>
      <c r="B354" s="25" t="n"/>
      <c r="C354" s="35" t="n"/>
      <c r="D354" s="26" t="n"/>
      <c r="E354" s="36" t="n"/>
      <c r="F354" s="26" t="n"/>
    </row>
    <row r="355">
      <c r="A355" s="26" t="n"/>
      <c r="B355" s="25" t="n"/>
      <c r="C355" s="35" t="n"/>
      <c r="D355" s="26" t="n"/>
      <c r="E355" s="36" t="n"/>
      <c r="F355" s="26" t="n"/>
    </row>
    <row r="356">
      <c r="A356" s="26" t="n"/>
      <c r="B356" s="25" t="n"/>
      <c r="C356" s="35" t="n"/>
      <c r="D356" s="26" t="n"/>
      <c r="E356" s="36" t="n"/>
      <c r="F356" s="26" t="n"/>
    </row>
    <row r="357">
      <c r="A357" s="26" t="n"/>
      <c r="B357" s="25" t="n"/>
      <c r="C357" s="35" t="n"/>
      <c r="D357" s="26" t="n"/>
      <c r="E357" s="36" t="n"/>
      <c r="F357" s="26" t="n"/>
    </row>
    <row r="358">
      <c r="A358" s="26" t="n"/>
      <c r="B358" s="25" t="n"/>
      <c r="C358" s="35" t="n"/>
      <c r="D358" s="26" t="n"/>
      <c r="E358" s="36" t="n"/>
      <c r="F358" s="26" t="n"/>
    </row>
    <row r="359">
      <c r="A359" s="26" t="n"/>
      <c r="B359" s="25" t="n"/>
      <c r="C359" s="35" t="n"/>
      <c r="D359" s="26" t="n"/>
      <c r="E359" s="36" t="n"/>
      <c r="F359" s="26" t="n"/>
    </row>
    <row r="360">
      <c r="A360" s="26" t="n"/>
      <c r="B360" s="25" t="n"/>
      <c r="C360" s="35" t="n"/>
      <c r="D360" s="26" t="n"/>
      <c r="E360" s="36" t="n"/>
      <c r="F360" s="26" t="n"/>
    </row>
    <row r="361">
      <c r="A361" s="26" t="n"/>
      <c r="B361" s="25" t="n"/>
      <c r="C361" s="35" t="n"/>
      <c r="D361" s="26" t="n"/>
      <c r="E361" s="36" t="n"/>
      <c r="F361" s="26" t="n"/>
    </row>
    <row r="362">
      <c r="A362" s="26" t="n"/>
      <c r="B362" s="25" t="n"/>
      <c r="C362" s="35" t="n"/>
      <c r="D362" s="26" t="n"/>
      <c r="E362" s="36" t="n"/>
      <c r="F362" s="26" t="n"/>
    </row>
    <row r="363">
      <c r="A363" s="26" t="n"/>
      <c r="B363" s="25" t="n"/>
      <c r="C363" s="35" t="n"/>
      <c r="D363" s="26" t="n"/>
      <c r="E363" s="36" t="n"/>
      <c r="F363" s="26" t="n"/>
    </row>
    <row r="364">
      <c r="A364" s="26" t="n"/>
      <c r="B364" s="25" t="n"/>
      <c r="C364" s="35" t="n"/>
      <c r="D364" s="26" t="n"/>
      <c r="E364" s="36" t="n"/>
      <c r="F364" s="26" t="n"/>
    </row>
    <row r="365">
      <c r="A365" s="26" t="n"/>
      <c r="B365" s="25" t="n"/>
      <c r="C365" s="35" t="n"/>
      <c r="D365" s="26" t="n"/>
      <c r="E365" s="36" t="n"/>
      <c r="F365" s="26" t="n"/>
    </row>
    <row r="366">
      <c r="A366" s="26" t="n"/>
      <c r="B366" s="25" t="n"/>
      <c r="C366" s="35" t="n"/>
      <c r="D366" s="26" t="n"/>
      <c r="E366" s="36" t="n"/>
      <c r="F366" s="26" t="n"/>
    </row>
    <row r="367">
      <c r="A367" s="26" t="n"/>
      <c r="B367" s="25" t="n"/>
      <c r="C367" s="35" t="n"/>
      <c r="D367" s="26" t="n"/>
      <c r="E367" s="36" t="n"/>
      <c r="F367" s="26" t="n"/>
    </row>
    <row r="368">
      <c r="A368" s="26" t="n"/>
      <c r="B368" s="25" t="n"/>
      <c r="C368" s="35" t="n"/>
      <c r="D368" s="26" t="n"/>
      <c r="E368" s="36" t="n"/>
      <c r="F368" s="26" t="n"/>
    </row>
    <row r="369">
      <c r="A369" s="26" t="n"/>
      <c r="B369" s="25" t="n"/>
      <c r="C369" s="35" t="n"/>
      <c r="D369" s="26" t="n"/>
      <c r="E369" s="36" t="n"/>
      <c r="F369" s="26" t="n"/>
    </row>
    <row r="370">
      <c r="A370" s="26" t="n"/>
      <c r="B370" s="25" t="n"/>
      <c r="C370" s="35" t="n"/>
      <c r="D370" s="26" t="n"/>
      <c r="E370" s="36" t="n"/>
      <c r="F370" s="26" t="n"/>
    </row>
    <row r="371">
      <c r="A371" s="26" t="n"/>
      <c r="B371" s="25" t="n"/>
      <c r="C371" s="35" t="n"/>
      <c r="D371" s="26" t="n"/>
      <c r="E371" s="36" t="n"/>
      <c r="F371" s="26" t="n"/>
    </row>
    <row r="372">
      <c r="A372" s="26" t="n"/>
      <c r="B372" s="25" t="n"/>
      <c r="C372" s="35" t="n"/>
      <c r="D372" s="26" t="n"/>
      <c r="E372" s="36" t="n"/>
      <c r="F372" s="26" t="n"/>
    </row>
    <row r="373">
      <c r="A373" s="26" t="n"/>
      <c r="B373" s="25" t="n"/>
      <c r="C373" s="35" t="n"/>
      <c r="D373" s="26" t="n"/>
      <c r="E373" s="36" t="n"/>
      <c r="F373" s="26" t="n"/>
    </row>
    <row r="374">
      <c r="A374" s="26" t="n"/>
      <c r="B374" s="25" t="n"/>
      <c r="C374" s="35" t="n"/>
      <c r="D374" s="26" t="n"/>
      <c r="E374" s="36" t="n"/>
      <c r="F374" s="26" t="n"/>
    </row>
    <row r="375">
      <c r="A375" s="26" t="n"/>
      <c r="B375" s="25" t="n"/>
      <c r="C375" s="35" t="n"/>
      <c r="D375" s="26" t="n"/>
      <c r="E375" s="36" t="n"/>
      <c r="F375" s="26" t="n"/>
    </row>
    <row r="376">
      <c r="A376" s="26" t="n"/>
      <c r="B376" s="25" t="n"/>
      <c r="C376" s="35" t="n"/>
      <c r="D376" s="26" t="n"/>
      <c r="E376" s="36" t="n"/>
      <c r="F376" s="26" t="n"/>
    </row>
    <row r="377">
      <c r="A377" s="26" t="n"/>
      <c r="B377" s="25" t="n"/>
      <c r="C377" s="35" t="n"/>
      <c r="D377" s="26" t="n"/>
      <c r="E377" s="36" t="n"/>
      <c r="F377" s="26" t="n"/>
    </row>
    <row r="378">
      <c r="A378" s="26" t="n"/>
      <c r="B378" s="25" t="n"/>
      <c r="C378" s="35" t="n"/>
      <c r="D378" s="26" t="n"/>
      <c r="E378" s="36" t="n"/>
      <c r="F378" s="26" t="n"/>
    </row>
    <row r="379">
      <c r="A379" s="26" t="n"/>
      <c r="B379" s="25" t="n"/>
      <c r="C379" s="35" t="n"/>
      <c r="D379" s="26" t="n"/>
      <c r="E379" s="36" t="n"/>
      <c r="F379" s="26" t="n"/>
    </row>
    <row r="380">
      <c r="A380" s="26" t="n"/>
      <c r="B380" s="25" t="n"/>
      <c r="C380" s="35" t="n"/>
      <c r="D380" s="26" t="n"/>
      <c r="E380" s="36" t="n"/>
      <c r="F380" s="26" t="n"/>
    </row>
    <row r="381">
      <c r="A381" s="26" t="n"/>
      <c r="B381" s="25" t="n"/>
      <c r="C381" s="35" t="n"/>
      <c r="D381" s="26" t="n"/>
      <c r="E381" s="36" t="n"/>
      <c r="F381" s="26" t="n"/>
    </row>
    <row r="382">
      <c r="A382" s="26" t="n"/>
      <c r="B382" s="25" t="n"/>
      <c r="C382" s="35" t="n"/>
      <c r="D382" s="26" t="n"/>
      <c r="E382" s="36" t="n"/>
      <c r="F382" s="26" t="n"/>
    </row>
    <row r="383">
      <c r="A383" s="26" t="n"/>
      <c r="B383" s="25" t="n"/>
      <c r="C383" s="35" t="n"/>
      <c r="D383" s="26" t="n"/>
      <c r="E383" s="36" t="n"/>
      <c r="F383" s="26" t="n"/>
    </row>
    <row r="384">
      <c r="A384" s="26" t="n"/>
      <c r="B384" s="25" t="n"/>
      <c r="C384" s="35" t="n"/>
      <c r="D384" s="26" t="n"/>
      <c r="E384" s="36" t="n"/>
      <c r="F384" s="26" t="n"/>
    </row>
    <row r="385">
      <c r="A385" s="26" t="n"/>
      <c r="B385" s="25" t="n"/>
      <c r="C385" s="35" t="n"/>
      <c r="D385" s="26" t="n"/>
      <c r="E385" s="36" t="n"/>
      <c r="F385" s="26" t="n"/>
    </row>
    <row r="386">
      <c r="A386" s="26" t="n"/>
      <c r="B386" s="25" t="n"/>
      <c r="C386" s="35" t="n"/>
      <c r="D386" s="26" t="n"/>
      <c r="E386" s="36" t="n"/>
      <c r="F386" s="26" t="n"/>
    </row>
    <row r="387">
      <c r="A387" s="26" t="n"/>
      <c r="B387" s="25" t="n"/>
      <c r="C387" s="35" t="n"/>
      <c r="D387" s="26" t="n"/>
      <c r="E387" s="36" t="n"/>
      <c r="F387" s="26" t="n"/>
    </row>
    <row r="388">
      <c r="A388" s="26" t="n"/>
      <c r="B388" s="25" t="n"/>
      <c r="C388" s="35" t="n"/>
      <c r="D388" s="26" t="n"/>
      <c r="E388" s="36" t="n"/>
      <c r="F388" s="26" t="n"/>
    </row>
    <row r="389">
      <c r="A389" s="26" t="n"/>
      <c r="B389" s="25" t="n"/>
      <c r="C389" s="35" t="n"/>
      <c r="D389" s="26" t="n"/>
      <c r="E389" s="36" t="n"/>
      <c r="F389" s="26" t="n"/>
    </row>
    <row r="390">
      <c r="A390" s="26" t="n"/>
      <c r="B390" s="25" t="n"/>
      <c r="C390" s="35" t="n"/>
      <c r="D390" s="26" t="n"/>
      <c r="E390" s="36" t="n"/>
      <c r="F390" s="26" t="n"/>
    </row>
    <row r="391">
      <c r="A391" s="26" t="n"/>
      <c r="B391" s="25" t="n"/>
      <c r="C391" s="35" t="n"/>
      <c r="D391" s="26" t="n"/>
      <c r="E391" s="36" t="n"/>
      <c r="F391" s="26" t="n"/>
    </row>
    <row r="392">
      <c r="A392" s="26" t="n"/>
      <c r="B392" s="25" t="n"/>
      <c r="C392" s="35" t="n"/>
      <c r="D392" s="26" t="n"/>
      <c r="E392" s="36" t="n"/>
      <c r="F392" s="26" t="n"/>
    </row>
    <row r="393">
      <c r="A393" s="26" t="n"/>
      <c r="B393" s="25" t="n"/>
      <c r="C393" s="35" t="n"/>
      <c r="D393" s="26" t="n"/>
      <c r="E393" s="36" t="n"/>
      <c r="F393" s="26" t="n"/>
    </row>
    <row r="394">
      <c r="A394" s="26" t="n"/>
      <c r="B394" s="25" t="n"/>
      <c r="C394" s="35" t="n"/>
      <c r="D394" s="26" t="n"/>
      <c r="E394" s="36" t="n"/>
      <c r="F394" s="26" t="n"/>
    </row>
    <row r="395">
      <c r="A395" s="26" t="n"/>
      <c r="B395" s="25" t="n"/>
      <c r="C395" s="35" t="n"/>
      <c r="D395" s="26" t="n"/>
      <c r="E395" s="36" t="n"/>
      <c r="F395" s="26" t="n"/>
    </row>
    <row r="396">
      <c r="A396" s="26" t="n"/>
      <c r="B396" s="25" t="n"/>
      <c r="C396" s="35" t="n"/>
      <c r="D396" s="26" t="n"/>
      <c r="E396" s="36" t="n"/>
      <c r="F396" s="26" t="n"/>
    </row>
    <row r="397">
      <c r="A397" s="26" t="n"/>
      <c r="B397" s="25" t="n"/>
      <c r="C397" s="35" t="n"/>
      <c r="D397" s="26" t="n"/>
      <c r="E397" s="36" t="n"/>
      <c r="F397" s="26" t="n"/>
    </row>
    <row r="398">
      <c r="A398" s="26" t="n"/>
      <c r="B398" s="25" t="n"/>
      <c r="C398" s="35" t="n"/>
      <c r="D398" s="26" t="n"/>
      <c r="E398" s="36" t="n"/>
      <c r="F398" s="26" t="n"/>
    </row>
    <row r="399">
      <c r="A399" s="26" t="n"/>
      <c r="B399" s="25" t="n"/>
      <c r="C399" s="35" t="n"/>
      <c r="D399" s="26" t="n"/>
      <c r="E399" s="36" t="n"/>
      <c r="F399" s="26" t="n"/>
    </row>
    <row r="400">
      <c r="A400" s="26" t="n"/>
      <c r="B400" s="25" t="n"/>
      <c r="C400" s="35" t="n"/>
      <c r="D400" s="26" t="n"/>
      <c r="E400" s="36" t="n"/>
      <c r="F400" s="26" t="n"/>
    </row>
    <row r="401">
      <c r="A401" s="26" t="n"/>
      <c r="B401" s="25" t="n"/>
      <c r="C401" s="35" t="n"/>
      <c r="D401" s="26" t="n"/>
      <c r="E401" s="36" t="n"/>
      <c r="F401" s="26" t="n"/>
    </row>
    <row r="402">
      <c r="A402" s="26" t="n"/>
      <c r="B402" s="25" t="n"/>
      <c r="C402" s="35" t="n"/>
      <c r="D402" s="26" t="n"/>
      <c r="E402" s="36" t="n"/>
      <c r="F402" s="26" t="n"/>
    </row>
    <row r="403">
      <c r="A403" s="26" t="n"/>
      <c r="B403" s="25" t="n"/>
      <c r="C403" s="35" t="n"/>
      <c r="D403" s="26" t="n"/>
      <c r="E403" s="36" t="n"/>
      <c r="F403" s="26" t="n"/>
    </row>
    <row r="404">
      <c r="A404" s="26" t="n"/>
      <c r="B404" s="25" t="n"/>
      <c r="C404" s="35" t="n"/>
      <c r="D404" s="26" t="n"/>
      <c r="E404" s="36" t="n"/>
      <c r="F404" s="26" t="n"/>
    </row>
    <row r="405">
      <c r="A405" s="26" t="n"/>
      <c r="B405" s="25" t="n"/>
      <c r="C405" s="35" t="n"/>
      <c r="D405" s="26" t="n"/>
      <c r="E405" s="36" t="n"/>
      <c r="F405" s="26" t="n"/>
    </row>
    <row r="406">
      <c r="A406" s="26" t="n"/>
      <c r="B406" s="25" t="n"/>
      <c r="C406" s="35" t="n"/>
      <c r="D406" s="26" t="n"/>
      <c r="E406" s="36" t="n"/>
      <c r="F406" s="26" t="n"/>
    </row>
    <row r="407">
      <c r="A407" s="26" t="n"/>
      <c r="B407" s="25" t="n"/>
      <c r="C407" s="35" t="n"/>
      <c r="D407" s="26" t="n"/>
      <c r="E407" s="36" t="n"/>
      <c r="F407" s="26" t="n"/>
    </row>
    <row r="408">
      <c r="A408" s="26" t="n"/>
      <c r="B408" s="25" t="n"/>
      <c r="C408" s="35" t="n"/>
      <c r="D408" s="26" t="n"/>
      <c r="E408" s="36" t="n"/>
      <c r="F408" s="26" t="n"/>
    </row>
    <row r="409">
      <c r="A409" s="26" t="n"/>
      <c r="B409" s="25" t="n"/>
      <c r="C409" s="35" t="n"/>
      <c r="D409" s="26" t="n"/>
      <c r="E409" s="36" t="n"/>
      <c r="F409" s="26" t="n"/>
    </row>
    <row r="410">
      <c r="A410" s="26" t="n"/>
      <c r="B410" s="25" t="n"/>
      <c r="C410" s="35" t="n"/>
      <c r="D410" s="26" t="n"/>
      <c r="E410" s="36" t="n"/>
      <c r="F410" s="26" t="n"/>
    </row>
    <row r="411">
      <c r="A411" s="26" t="n"/>
      <c r="B411" s="25" t="n"/>
      <c r="C411" s="35" t="n"/>
      <c r="D411" s="26" t="n"/>
      <c r="E411" s="36" t="n"/>
      <c r="F411" s="26" t="n"/>
    </row>
    <row r="412">
      <c r="A412" s="26" t="n"/>
      <c r="B412" s="25" t="n"/>
      <c r="C412" s="35" t="n"/>
      <c r="D412" s="26" t="n"/>
      <c r="E412" s="36" t="n"/>
      <c r="F412" s="26" t="n"/>
    </row>
    <row r="413">
      <c r="A413" s="26" t="n"/>
      <c r="B413" s="25" t="n"/>
      <c r="C413" s="35" t="n"/>
      <c r="D413" s="26" t="n"/>
      <c r="E413" s="36" t="n"/>
      <c r="F413" s="26" t="n"/>
    </row>
    <row r="414">
      <c r="A414" s="26" t="n"/>
      <c r="B414" s="25" t="n"/>
      <c r="C414" s="35" t="n"/>
      <c r="D414" s="26" t="n"/>
      <c r="E414" s="36" t="n"/>
      <c r="F414" s="26" t="n"/>
    </row>
    <row r="415">
      <c r="A415" s="26" t="n"/>
      <c r="B415" s="25" t="n"/>
      <c r="C415" s="35" t="n"/>
      <c r="D415" s="26" t="n"/>
      <c r="E415" s="36" t="n"/>
      <c r="F415" s="26" t="n"/>
    </row>
    <row r="416">
      <c r="A416" s="26" t="n"/>
      <c r="B416" s="25" t="n"/>
      <c r="C416" s="35" t="n"/>
      <c r="D416" s="26" t="n"/>
      <c r="E416" s="36" t="n"/>
      <c r="F416" s="26" t="n"/>
    </row>
    <row r="417">
      <c r="A417" s="26" t="n"/>
      <c r="B417" s="25" t="n"/>
      <c r="C417" s="35" t="n"/>
      <c r="D417" s="26" t="n"/>
      <c r="E417" s="36" t="n"/>
      <c r="F417" s="26" t="n"/>
    </row>
    <row r="418">
      <c r="A418" s="26" t="n"/>
      <c r="B418" s="25" t="n"/>
      <c r="C418" s="35" t="n"/>
      <c r="D418" s="26" t="n"/>
      <c r="E418" s="36" t="n"/>
      <c r="F418" s="26" t="n"/>
    </row>
    <row r="419">
      <c r="A419" s="26" t="n"/>
      <c r="B419" s="25" t="n"/>
      <c r="C419" s="35" t="n"/>
      <c r="D419" s="26" t="n"/>
      <c r="E419" s="36" t="n"/>
      <c r="F419" s="26" t="n"/>
    </row>
    <row r="420">
      <c r="A420" s="26" t="n"/>
      <c r="B420" s="25" t="n"/>
      <c r="C420" s="35" t="n"/>
      <c r="D420" s="26" t="n"/>
      <c r="E420" s="36" t="n"/>
      <c r="F420" s="26" t="n"/>
    </row>
    <row r="421">
      <c r="A421" s="26" t="n"/>
      <c r="B421" s="25" t="n"/>
      <c r="C421" s="35" t="n"/>
      <c r="D421" s="26" t="n"/>
      <c r="E421" s="36" t="n"/>
      <c r="F421" s="26" t="n"/>
    </row>
    <row r="422">
      <c r="A422" s="26" t="n"/>
      <c r="B422" s="25" t="n"/>
      <c r="C422" s="35" t="n"/>
      <c r="D422" s="26" t="n"/>
      <c r="E422" s="36" t="n"/>
      <c r="F422" s="26" t="n"/>
    </row>
    <row r="423">
      <c r="A423" s="26" t="n"/>
      <c r="B423" s="25" t="n"/>
      <c r="C423" s="35" t="n"/>
      <c r="D423" s="26" t="n"/>
      <c r="E423" s="36" t="n"/>
      <c r="F423" s="26" t="n"/>
    </row>
    <row r="424">
      <c r="A424" s="26" t="n"/>
      <c r="B424" s="25" t="n"/>
      <c r="C424" s="35" t="n"/>
      <c r="D424" s="26" t="n"/>
      <c r="E424" s="36" t="n"/>
      <c r="F424" s="26" t="n"/>
    </row>
    <row r="425">
      <c r="A425" s="26" t="n"/>
      <c r="B425" s="25" t="n"/>
      <c r="C425" s="35" t="n"/>
      <c r="D425" s="26" t="n"/>
      <c r="E425" s="36" t="n"/>
      <c r="F425" s="26" t="n"/>
    </row>
    <row r="426">
      <c r="A426" s="26" t="n"/>
      <c r="B426" s="25" t="n"/>
      <c r="C426" s="35" t="n"/>
      <c r="D426" s="26" t="n"/>
      <c r="E426" s="36" t="n"/>
      <c r="F426" s="26" t="n"/>
    </row>
    <row r="427">
      <c r="A427" s="26" t="n"/>
      <c r="B427" s="25" t="n"/>
      <c r="C427" s="35" t="n"/>
      <c r="D427" s="26" t="n"/>
      <c r="E427" s="36" t="n"/>
      <c r="F427" s="26" t="n"/>
    </row>
    <row r="428">
      <c r="A428" s="26" t="n"/>
      <c r="B428" s="25" t="n"/>
      <c r="C428" s="35" t="n"/>
      <c r="D428" s="26" t="n"/>
      <c r="E428" s="36" t="n"/>
      <c r="F428" s="26" t="n"/>
    </row>
    <row r="429">
      <c r="A429" s="26" t="n"/>
      <c r="B429" s="25" t="n"/>
      <c r="C429" s="35" t="n"/>
      <c r="D429" s="26" t="n"/>
      <c r="E429" s="36" t="n"/>
      <c r="F429" s="26" t="n"/>
    </row>
    <row r="430">
      <c r="A430" s="26" t="n"/>
      <c r="B430" s="25" t="n"/>
      <c r="C430" s="35" t="n"/>
      <c r="D430" s="26" t="n"/>
      <c r="E430" s="36" t="n"/>
      <c r="F430" s="26" t="n"/>
    </row>
    <row r="431">
      <c r="A431" s="26" t="n"/>
      <c r="B431" s="25" t="n"/>
      <c r="C431" s="35" t="n"/>
      <c r="D431" s="26" t="n"/>
      <c r="E431" s="36" t="n"/>
      <c r="F431" s="26" t="n"/>
    </row>
    <row r="432">
      <c r="A432" s="26" t="n"/>
      <c r="B432" s="25" t="n"/>
      <c r="C432" s="35" t="n"/>
      <c r="D432" s="26" t="n"/>
      <c r="E432" s="36" t="n"/>
      <c r="F432" s="26" t="n"/>
    </row>
    <row r="433">
      <c r="A433" s="26" t="n"/>
      <c r="B433" s="25" t="n"/>
      <c r="C433" s="35" t="n"/>
      <c r="D433" s="26" t="n"/>
      <c r="E433" s="36" t="n"/>
      <c r="F433" s="26" t="n"/>
    </row>
    <row r="434">
      <c r="A434" s="26" t="n"/>
      <c r="B434" s="25" t="n"/>
      <c r="C434" s="35" t="n"/>
      <c r="D434" s="26" t="n"/>
      <c r="E434" s="36" t="n"/>
      <c r="F434" s="26" t="n"/>
    </row>
    <row r="435">
      <c r="A435" s="26" t="n"/>
      <c r="B435" s="25" t="n"/>
      <c r="C435" s="35" t="n"/>
      <c r="D435" s="26" t="n"/>
      <c r="E435" s="36" t="n"/>
      <c r="F435" s="26" t="n"/>
    </row>
    <row r="436">
      <c r="A436" s="26" t="n"/>
      <c r="B436" s="25" t="n"/>
      <c r="C436" s="35" t="n"/>
      <c r="D436" s="26" t="n"/>
      <c r="E436" s="36" t="n"/>
      <c r="F436" s="26" t="n"/>
    </row>
    <row r="437">
      <c r="A437" s="26" t="n"/>
      <c r="B437" s="25" t="n"/>
      <c r="C437" s="35" t="n"/>
      <c r="D437" s="26" t="n"/>
      <c r="E437" s="36" t="n"/>
      <c r="F437" s="26" t="n"/>
    </row>
    <row r="438">
      <c r="A438" s="26" t="n"/>
      <c r="B438" s="25" t="n"/>
      <c r="C438" s="35" t="n"/>
      <c r="D438" s="26" t="n"/>
      <c r="E438" s="36" t="n"/>
      <c r="F438" s="26" t="n"/>
    </row>
    <row r="439">
      <c r="A439" s="26" t="n"/>
      <c r="B439" s="25" t="n"/>
      <c r="C439" s="35" t="n"/>
      <c r="D439" s="26" t="n"/>
      <c r="E439" s="36" t="n"/>
      <c r="F439" s="26" t="n"/>
    </row>
    <row r="440">
      <c r="A440" s="26" t="n"/>
      <c r="B440" s="25" t="n"/>
      <c r="C440" s="35" t="n"/>
      <c r="D440" s="26" t="n"/>
      <c r="E440" s="36" t="n"/>
      <c r="F440" s="26" t="n"/>
    </row>
    <row r="441">
      <c r="A441" s="26" t="n"/>
      <c r="B441" s="25" t="n"/>
      <c r="C441" s="35" t="n"/>
      <c r="D441" s="26" t="n"/>
      <c r="E441" s="36" t="n"/>
      <c r="F441" s="26" t="n"/>
    </row>
    <row r="442">
      <c r="A442" s="26" t="n"/>
      <c r="B442" s="25" t="n"/>
      <c r="C442" s="35" t="n"/>
      <c r="D442" s="26" t="n"/>
      <c r="E442" s="36" t="n"/>
      <c r="F442" s="26" t="n"/>
    </row>
    <row r="443">
      <c r="A443" s="26" t="n"/>
      <c r="B443" s="25" t="n"/>
      <c r="C443" s="35" t="n"/>
      <c r="D443" s="26" t="n"/>
      <c r="E443" s="36" t="n"/>
      <c r="F443" s="26" t="n"/>
    </row>
    <row r="444">
      <c r="A444" s="26" t="n"/>
      <c r="B444" s="25" t="n"/>
      <c r="C444" s="35" t="n"/>
      <c r="D444" s="26" t="n"/>
      <c r="E444" s="36" t="n"/>
      <c r="F444" s="26" t="n"/>
    </row>
    <row r="445">
      <c r="A445" s="26" t="n"/>
      <c r="B445" s="25" t="n"/>
      <c r="C445" s="35" t="n"/>
      <c r="D445" s="26" t="n"/>
      <c r="E445" s="36" t="n"/>
      <c r="F445" s="26" t="n"/>
    </row>
    <row r="446">
      <c r="A446" s="26" t="n"/>
      <c r="B446" s="25" t="n"/>
      <c r="C446" s="35" t="n"/>
      <c r="D446" s="26" t="n"/>
      <c r="E446" s="36" t="n"/>
      <c r="F446" s="26" t="n"/>
    </row>
    <row r="447">
      <c r="A447" s="26" t="n"/>
      <c r="B447" s="25" t="n"/>
      <c r="C447" s="35" t="n"/>
      <c r="D447" s="26" t="n"/>
      <c r="E447" s="36" t="n"/>
      <c r="F447" s="26" t="n"/>
    </row>
    <row r="448">
      <c r="A448" s="26" t="n"/>
      <c r="B448" s="25" t="n"/>
      <c r="C448" s="35" t="n"/>
      <c r="D448" s="26" t="n"/>
      <c r="E448" s="36" t="n"/>
      <c r="F448" s="26" t="n"/>
    </row>
    <row r="449">
      <c r="A449" s="26" t="n"/>
      <c r="B449" s="25" t="n"/>
      <c r="C449" s="35" t="n"/>
      <c r="D449" s="26" t="n"/>
      <c r="E449" s="36" t="n"/>
      <c r="F449" s="26" t="n"/>
    </row>
    <row r="450">
      <c r="A450" s="26" t="n"/>
      <c r="B450" s="25" t="n"/>
      <c r="C450" s="35" t="n"/>
      <c r="D450" s="26" t="n"/>
      <c r="E450" s="36" t="n"/>
      <c r="F450" s="26" t="n"/>
    </row>
    <row r="451">
      <c r="A451" s="26" t="n"/>
      <c r="B451" s="25" t="n"/>
      <c r="C451" s="35" t="n"/>
      <c r="D451" s="26" t="n"/>
      <c r="E451" s="36" t="n"/>
      <c r="F451" s="26" t="n"/>
    </row>
    <row r="452">
      <c r="A452" s="26" t="n"/>
      <c r="B452" s="25" t="n"/>
      <c r="C452" s="35" t="n"/>
      <c r="D452" s="26" t="n"/>
      <c r="E452" s="36" t="n"/>
      <c r="F452" s="26" t="n"/>
    </row>
    <row r="453">
      <c r="A453" s="26" t="n"/>
      <c r="B453" s="25" t="n"/>
      <c r="C453" s="35" t="n"/>
      <c r="D453" s="26" t="n"/>
      <c r="E453" s="36" t="n"/>
      <c r="F453" s="26" t="n"/>
    </row>
    <row r="454">
      <c r="A454" s="26" t="n"/>
      <c r="B454" s="25" t="n"/>
      <c r="C454" s="35" t="n"/>
      <c r="D454" s="26" t="n"/>
      <c r="E454" s="36" t="n"/>
      <c r="F454" s="26" t="n"/>
    </row>
    <row r="455">
      <c r="A455" s="26" t="n"/>
      <c r="B455" s="25" t="n"/>
      <c r="C455" s="35" t="n"/>
      <c r="D455" s="26" t="n"/>
      <c r="E455" s="36" t="n"/>
      <c r="F455" s="26" t="n"/>
    </row>
    <row r="456">
      <c r="A456" s="26" t="n"/>
      <c r="B456" s="25" t="n"/>
      <c r="C456" s="35" t="n"/>
      <c r="D456" s="26" t="n"/>
      <c r="E456" s="36" t="n"/>
      <c r="F456" s="26" t="n"/>
    </row>
    <row r="457">
      <c r="A457" s="26" t="n"/>
      <c r="B457" s="25" t="n"/>
      <c r="C457" s="35" t="n"/>
      <c r="D457" s="26" t="n"/>
      <c r="E457" s="36" t="n"/>
      <c r="F457" s="26" t="n"/>
    </row>
    <row r="458">
      <c r="A458" s="26" t="n"/>
      <c r="B458" s="25" t="n"/>
      <c r="C458" s="35" t="n"/>
      <c r="D458" s="26" t="n"/>
      <c r="E458" s="36" t="n"/>
      <c r="F458" s="26" t="n"/>
    </row>
    <row r="459">
      <c r="A459" s="26" t="n"/>
      <c r="B459" s="25" t="n"/>
      <c r="C459" s="35" t="n"/>
      <c r="D459" s="26" t="n"/>
      <c r="E459" s="36" t="n"/>
      <c r="F459" s="26" t="n"/>
    </row>
    <row r="460">
      <c r="A460" s="26" t="n"/>
      <c r="B460" s="25" t="n"/>
      <c r="C460" s="35" t="n"/>
      <c r="D460" s="26" t="n"/>
      <c r="E460" s="36" t="n"/>
      <c r="F460" s="26" t="n"/>
    </row>
    <row r="461">
      <c r="A461" s="26" t="n"/>
      <c r="B461" s="25" t="n"/>
      <c r="C461" s="35" t="n"/>
      <c r="D461" s="26" t="n"/>
      <c r="E461" s="36" t="n"/>
      <c r="F461" s="26" t="n"/>
    </row>
    <row r="462">
      <c r="A462" s="26" t="n"/>
      <c r="B462" s="25" t="n"/>
      <c r="C462" s="35" t="n"/>
      <c r="D462" s="26" t="n"/>
      <c r="E462" s="36" t="n"/>
      <c r="F462" s="26" t="n"/>
    </row>
    <row r="463">
      <c r="A463" s="26" t="n"/>
      <c r="B463" s="25" t="n"/>
      <c r="C463" s="35" t="n"/>
      <c r="D463" s="26" t="n"/>
      <c r="E463" s="36" t="n"/>
      <c r="F463" s="26" t="n"/>
    </row>
    <row r="464">
      <c r="A464" s="26" t="n"/>
      <c r="B464" s="25" t="n"/>
      <c r="C464" s="35" t="n"/>
      <c r="D464" s="26" t="n"/>
      <c r="E464" s="36" t="n"/>
      <c r="F464" s="26" t="n"/>
    </row>
    <row r="465">
      <c r="A465" s="26" t="n"/>
      <c r="B465" s="25" t="n"/>
      <c r="C465" s="35" t="n"/>
      <c r="D465" s="26" t="n"/>
      <c r="E465" s="36" t="n"/>
      <c r="F465" s="26" t="n"/>
    </row>
    <row r="466">
      <c r="A466" s="26" t="n"/>
      <c r="B466" s="25" t="n"/>
      <c r="C466" s="35" t="n"/>
      <c r="D466" s="26" t="n"/>
      <c r="E466" s="36" t="n"/>
      <c r="F466" s="26" t="n"/>
    </row>
    <row r="467">
      <c r="A467" s="26" t="n"/>
      <c r="B467" s="25" t="n"/>
      <c r="C467" s="35" t="n"/>
      <c r="D467" s="26" t="n"/>
      <c r="E467" s="36" t="n"/>
      <c r="F467" s="26" t="n"/>
    </row>
    <row r="468">
      <c r="A468" s="26" t="n"/>
      <c r="B468" s="25" t="n"/>
      <c r="C468" s="35" t="n"/>
      <c r="D468" s="26" t="n"/>
      <c r="E468" s="36" t="n"/>
      <c r="F468" s="26" t="n"/>
    </row>
    <row r="469">
      <c r="A469" s="26" t="n"/>
      <c r="B469" s="25" t="n"/>
      <c r="C469" s="35" t="n"/>
      <c r="D469" s="26" t="n"/>
      <c r="E469" s="36" t="n"/>
      <c r="F469" s="26" t="n"/>
    </row>
    <row r="470">
      <c r="A470" s="26" t="n"/>
      <c r="B470" s="25" t="n"/>
      <c r="C470" s="35" t="n"/>
      <c r="D470" s="26" t="n"/>
      <c r="E470" s="36" t="n"/>
      <c r="F470" s="26" t="n"/>
    </row>
    <row r="471">
      <c r="A471" s="26" t="n"/>
      <c r="B471" s="25" t="n"/>
      <c r="C471" s="35" t="n"/>
      <c r="D471" s="26" t="n"/>
      <c r="E471" s="36" t="n"/>
      <c r="F471" s="26" t="n"/>
    </row>
    <row r="472">
      <c r="A472" s="26" t="n"/>
      <c r="B472" s="25" t="n"/>
      <c r="C472" s="35" t="n"/>
      <c r="D472" s="26" t="n"/>
      <c r="E472" s="36" t="n"/>
      <c r="F472" s="26" t="n"/>
    </row>
    <row r="473">
      <c r="A473" s="26" t="n"/>
      <c r="B473" s="25" t="n"/>
      <c r="C473" s="35" t="n"/>
      <c r="D473" s="26" t="n"/>
      <c r="E473" s="36" t="n"/>
      <c r="F473" s="26" t="n"/>
    </row>
    <row r="474">
      <c r="A474" s="26" t="n"/>
      <c r="B474" s="25" t="n"/>
      <c r="C474" s="35" t="n"/>
      <c r="D474" s="26" t="n"/>
      <c r="E474" s="36" t="n"/>
      <c r="F474" s="26" t="n"/>
    </row>
    <row r="475">
      <c r="A475" s="26" t="n"/>
      <c r="B475" s="25" t="n"/>
      <c r="C475" s="35" t="n"/>
      <c r="D475" s="26" t="n"/>
      <c r="E475" s="36" t="n"/>
      <c r="F475" s="26" t="n"/>
    </row>
    <row r="476">
      <c r="A476" s="26" t="n"/>
      <c r="B476" s="25" t="n"/>
      <c r="C476" s="35" t="n"/>
      <c r="D476" s="26" t="n"/>
      <c r="E476" s="36" t="n"/>
      <c r="F476" s="26" t="n"/>
    </row>
    <row r="477">
      <c r="A477" s="26" t="n"/>
      <c r="B477" s="25" t="n"/>
      <c r="C477" s="35" t="n"/>
      <c r="D477" s="26" t="n"/>
      <c r="E477" s="36" t="n"/>
      <c r="F477" s="26" t="n"/>
    </row>
    <row r="478">
      <c r="A478" s="26" t="n"/>
      <c r="B478" s="25" t="n"/>
      <c r="C478" s="35" t="n"/>
      <c r="D478" s="26" t="n"/>
      <c r="E478" s="36" t="n"/>
      <c r="F478" s="26" t="n"/>
    </row>
    <row r="479">
      <c r="A479" s="26" t="n"/>
      <c r="B479" s="25" t="n"/>
      <c r="C479" s="35" t="n"/>
      <c r="D479" s="26" t="n"/>
      <c r="E479" s="36" t="n"/>
      <c r="F479" s="26" t="n"/>
    </row>
    <row r="480">
      <c r="A480" s="26" t="n"/>
      <c r="B480" s="25" t="n"/>
      <c r="C480" s="35" t="n"/>
      <c r="D480" s="26" t="n"/>
      <c r="E480" s="36" t="n"/>
      <c r="F480" s="26" t="n"/>
    </row>
    <row r="481">
      <c r="A481" s="26" t="n"/>
      <c r="B481" s="25" t="n"/>
      <c r="C481" s="35" t="n"/>
      <c r="D481" s="26" t="n"/>
      <c r="E481" s="36" t="n"/>
      <c r="F481" s="26" t="n"/>
    </row>
    <row r="482">
      <c r="A482" s="26" t="n"/>
      <c r="B482" s="25" t="n"/>
      <c r="C482" s="35" t="n"/>
      <c r="D482" s="26" t="n"/>
      <c r="E482" s="36" t="n"/>
      <c r="F482" s="26" t="n"/>
    </row>
    <row r="483">
      <c r="A483" s="26" t="n"/>
      <c r="B483" s="25" t="n"/>
      <c r="C483" s="35" t="n"/>
      <c r="D483" s="26" t="n"/>
      <c r="E483" s="36" t="n"/>
      <c r="F483" s="26" t="n"/>
    </row>
    <row r="484">
      <c r="A484" s="26" t="n"/>
      <c r="B484" s="25" t="n"/>
      <c r="C484" s="35" t="n"/>
      <c r="D484" s="26" t="n"/>
      <c r="E484" s="36" t="n"/>
      <c r="F484" s="26" t="n"/>
    </row>
    <row r="485">
      <c r="A485" s="26" t="n"/>
      <c r="B485" s="25" t="n"/>
      <c r="C485" s="35" t="n"/>
      <c r="D485" s="26" t="n"/>
      <c r="E485" s="36" t="n"/>
      <c r="F485" s="26" t="n"/>
    </row>
    <row r="486">
      <c r="A486" s="26" t="n"/>
      <c r="B486" s="25" t="n"/>
      <c r="C486" s="35" t="n"/>
      <c r="D486" s="26" t="n"/>
      <c r="E486" s="36" t="n"/>
      <c r="F486" s="26" t="n"/>
    </row>
    <row r="487">
      <c r="A487" s="26" t="n"/>
      <c r="B487" s="25" t="n"/>
      <c r="C487" s="35" t="n"/>
      <c r="D487" s="26" t="n"/>
      <c r="E487" s="36" t="n"/>
      <c r="F487" s="26" t="n"/>
    </row>
    <row r="488">
      <c r="A488" s="26" t="n"/>
      <c r="B488" s="25" t="n"/>
      <c r="C488" s="35" t="n"/>
      <c r="D488" s="26" t="n"/>
      <c r="E488" s="36" t="n"/>
      <c r="F488" s="26" t="n"/>
    </row>
    <row r="489">
      <c r="A489" s="26" t="n"/>
      <c r="B489" s="25" t="n"/>
      <c r="C489" s="35" t="n"/>
      <c r="D489" s="26" t="n"/>
      <c r="E489" s="36" t="n"/>
      <c r="F489" s="26" t="n"/>
    </row>
    <row r="490">
      <c r="A490" s="26" t="n"/>
      <c r="B490" s="25" t="n"/>
      <c r="C490" s="35" t="n"/>
      <c r="D490" s="26" t="n"/>
      <c r="E490" s="36" t="n"/>
      <c r="F490" s="26" t="n"/>
    </row>
    <row r="491">
      <c r="A491" s="26" t="n"/>
      <c r="B491" s="25" t="n"/>
      <c r="C491" s="35" t="n"/>
      <c r="D491" s="26" t="n"/>
      <c r="E491" s="36" t="n"/>
      <c r="F491" s="26" t="n"/>
    </row>
    <row r="492">
      <c r="A492" s="26" t="n"/>
      <c r="B492" s="25" t="n"/>
      <c r="C492" s="35" t="n"/>
      <c r="D492" s="26" t="n"/>
      <c r="E492" s="36" t="n"/>
      <c r="F492" s="26" t="n"/>
    </row>
    <row r="493">
      <c r="A493" s="26" t="n"/>
      <c r="B493" s="25" t="n"/>
      <c r="C493" s="35" t="n"/>
      <c r="D493" s="26" t="n"/>
      <c r="E493" s="36" t="n"/>
      <c r="F493" s="26" t="n"/>
    </row>
    <row r="494">
      <c r="A494" s="26" t="n"/>
      <c r="B494" s="25" t="n"/>
      <c r="C494" s="35" t="n"/>
      <c r="D494" s="26" t="n"/>
      <c r="E494" s="36" t="n"/>
      <c r="F494" s="26" t="n"/>
    </row>
    <row r="495">
      <c r="A495" s="26" t="n"/>
      <c r="B495" s="25" t="n"/>
      <c r="C495" s="35" t="n"/>
      <c r="D495" s="26" t="n"/>
      <c r="E495" s="36" t="n"/>
      <c r="F495" s="26" t="n"/>
    </row>
    <row r="496">
      <c r="A496" s="26" t="n"/>
      <c r="B496" s="25" t="n"/>
      <c r="C496" s="35" t="n"/>
      <c r="D496" s="26" t="n"/>
      <c r="E496" s="36" t="n"/>
      <c r="F496" s="26" t="n"/>
    </row>
    <row r="497">
      <c r="A497" s="26" t="n"/>
      <c r="B497" s="25" t="n"/>
      <c r="C497" s="35" t="n"/>
      <c r="D497" s="26" t="n"/>
      <c r="E497" s="36" t="n"/>
      <c r="F497" s="26" t="n"/>
    </row>
    <row r="498">
      <c r="A498" s="26" t="n"/>
      <c r="B498" s="25" t="n"/>
      <c r="C498" s="35" t="n"/>
      <c r="D498" s="26" t="n"/>
      <c r="E498" s="36" t="n"/>
      <c r="F498" s="26" t="n"/>
    </row>
    <row r="499">
      <c r="A499" s="26" t="n"/>
      <c r="B499" s="25" t="n"/>
      <c r="C499" s="35" t="n"/>
      <c r="D499" s="26" t="n"/>
      <c r="E499" s="36" t="n"/>
      <c r="F499" s="26" t="n"/>
    </row>
    <row r="500">
      <c r="A500" s="26" t="n"/>
      <c r="B500" s="25" t="n"/>
      <c r="C500" s="35" t="n"/>
      <c r="D500" s="26" t="n"/>
      <c r="E500" s="36" t="n"/>
      <c r="F500" s="26" t="n"/>
    </row>
    <row r="501">
      <c r="A501" s="26" t="n"/>
      <c r="B501" s="25" t="n"/>
      <c r="C501" s="35" t="n"/>
      <c r="D501" s="26" t="n"/>
      <c r="E501" s="36" t="n"/>
      <c r="F501" s="26" t="n"/>
    </row>
    <row r="502">
      <c r="A502" s="26" t="n"/>
      <c r="B502" s="25" t="n"/>
      <c r="C502" s="35" t="n"/>
      <c r="D502" s="26" t="n"/>
      <c r="E502" s="36" t="n"/>
      <c r="F502" s="26" t="n"/>
    </row>
    <row r="503">
      <c r="A503" s="26" t="n"/>
      <c r="B503" s="25" t="n"/>
      <c r="C503" s="35" t="n"/>
      <c r="D503" s="26" t="n"/>
      <c r="E503" s="36" t="n"/>
      <c r="F503" s="26" t="n"/>
    </row>
    <row r="504">
      <c r="A504" s="26" t="n"/>
      <c r="B504" s="25" t="n"/>
      <c r="C504" s="35" t="n"/>
      <c r="D504" s="26" t="n"/>
      <c r="E504" s="36" t="n"/>
      <c r="F504" s="26" t="n"/>
    </row>
    <row r="505">
      <c r="A505" s="26" t="n"/>
      <c r="B505" s="25" t="n"/>
      <c r="C505" s="35" t="n"/>
      <c r="D505" s="26" t="n"/>
      <c r="E505" s="36" t="n"/>
      <c r="F505" s="26" t="n"/>
    </row>
  </sheetData>
  <mergeCells count="2">
    <mergeCell ref="A2:F2"/>
    <mergeCell ref="A1:F1"/>
  </mergeCells>
  <dataValidations count="1">
    <dataValidation sqref="C6:C505" showDropDown="0" showInputMessage="0" showErrorMessage="0" allowBlank="1" type="list">
      <formula1>"Done,Declined"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1" customWidth="1" min="4" max="4"/>
    <col width="12" customWidth="1" min="5" max="5"/>
    <col width="14" customWidth="1" min="6" max="6"/>
    <col width="26" customWidth="1" min="7" max="7"/>
    <col width="15" customWidth="1" min="8" max="8"/>
    <col width="24" customWidth="1" min="9" max="9"/>
  </cols>
  <sheetData>
    <row r="1" ht="30" customHeight="1">
      <c r="A1" s="1" t="inlineStr">
        <is>
          <t>FLIGHT CODES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The flights programme: every flight code the squadron uses. Departments copy this list into their Activities sheet in the planner dashboard. Crew = the departments that fly this code (blank = every department). Mission Type is used by the currency rules.</t>
        </is>
      </c>
      <c r="B2" s="2" t="n"/>
      <c r="C2" s="2" t="n"/>
      <c r="D2" s="2" t="n"/>
      <c r="E2" s="2" t="n"/>
      <c r="F2" s="2" t="n"/>
      <c r="G2" s="2" t="n"/>
    </row>
    <row r="4">
      <c r="H4" s="37" t="inlineStr">
        <is>
          <t>e.g. EIS, MAS Tact</t>
        </is>
      </c>
    </row>
    <row r="5" ht="22" customHeight="1">
      <c r="A5" s="18" t="inlineStr">
        <is>
          <t>Code</t>
        </is>
      </c>
      <c r="B5" s="18" t="inlineStr">
        <is>
          <t>Description</t>
        </is>
      </c>
      <c r="C5" s="18" t="inlineStr">
        <is>
          <t>Sorties</t>
        </is>
      </c>
      <c r="D5" s="18" t="inlineStr">
        <is>
          <t>Flight Hrs</t>
        </is>
      </c>
      <c r="E5" s="19" t="inlineStr">
        <is>
          <t>Crew</t>
        </is>
      </c>
      <c r="F5" s="38" t="inlineStr">
        <is>
          <t>Mission Type</t>
        </is>
      </c>
      <c r="G5" s="39" t="inlineStr">
        <is>
          <t>Day status (no flying)</t>
        </is>
      </c>
      <c r="H5" s="40" t="inlineStr">
        <is>
          <t>Syllabus tag</t>
        </is>
      </c>
      <c r="I5" s="41" t="inlineStr">
        <is>
          <t>Ground programme</t>
        </is>
      </c>
    </row>
    <row r="6">
      <c r="A6" s="26" t="inlineStr">
        <is>
          <t>FLT-1.5</t>
        </is>
      </c>
      <c r="B6" s="26" t="inlineStr">
        <is>
          <t>Routine Sortie (1.5h)</t>
        </is>
      </c>
      <c r="C6" s="26" t="n">
        <v>1</v>
      </c>
      <c r="D6" s="26" t="n">
        <v>1.5</v>
      </c>
      <c r="E6" s="26" t="inlineStr"/>
      <c r="F6" s="26" t="inlineStr">
        <is>
          <t>GEN</t>
        </is>
      </c>
      <c r="G6" s="42" t="inlineStr">
        <is>
          <t>No Flying</t>
        </is>
      </c>
      <c r="H6" s="43" t="n"/>
      <c r="I6" s="44" t="inlineStr">
        <is>
          <t>Ground School</t>
        </is>
      </c>
    </row>
    <row r="7">
      <c r="A7" s="26" t="inlineStr">
        <is>
          <t>FLT-2.0</t>
        </is>
      </c>
      <c r="B7" s="26" t="inlineStr">
        <is>
          <t>Standard Sortie (2.0h)</t>
        </is>
      </c>
      <c r="C7" s="26" t="n">
        <v>1</v>
      </c>
      <c r="D7" s="26" t="n">
        <v>2</v>
      </c>
      <c r="E7" s="26" t="inlineStr"/>
      <c r="F7" s="26" t="inlineStr">
        <is>
          <t>GEN</t>
        </is>
      </c>
      <c r="G7" s="42" t="inlineStr">
        <is>
          <t>Stand-down</t>
        </is>
      </c>
      <c r="H7" s="43" t="n"/>
      <c r="I7" s="44" t="inlineStr">
        <is>
          <t>Safety Brief</t>
        </is>
      </c>
    </row>
    <row r="8">
      <c r="A8" s="26" t="inlineStr">
        <is>
          <t>FLT-3.0</t>
        </is>
      </c>
      <c r="B8" s="26" t="inlineStr">
        <is>
          <t>Extended Mission (3.0h)</t>
        </is>
      </c>
      <c r="C8" s="26" t="n">
        <v>1</v>
      </c>
      <c r="D8" s="26" t="n">
        <v>3</v>
      </c>
      <c r="E8" s="26" t="inlineStr"/>
      <c r="F8" s="26" t="inlineStr">
        <is>
          <t>GEN</t>
        </is>
      </c>
      <c r="G8" s="42" t="inlineStr">
        <is>
          <t>Maintenance</t>
        </is>
      </c>
      <c r="H8" s="43" t="n"/>
      <c r="I8" s="44" t="inlineStr">
        <is>
          <t>CRM Lecture</t>
        </is>
      </c>
    </row>
    <row r="9">
      <c r="A9" s="26" t="inlineStr">
        <is>
          <t>NVG-2.0</t>
        </is>
      </c>
      <c r="B9" s="26" t="inlineStr">
        <is>
          <t>Night Flying Sortie (2.0h)</t>
        </is>
      </c>
      <c r="C9" s="26" t="n">
        <v>1</v>
      </c>
      <c r="D9" s="26" t="n">
        <v>2</v>
      </c>
      <c r="E9" s="26" t="inlineStr"/>
      <c r="F9" s="26" t="inlineStr">
        <is>
          <t>NIGHT</t>
        </is>
      </c>
      <c r="G9" s="42" t="inlineStr">
        <is>
          <t>Public Holiday</t>
        </is>
      </c>
      <c r="H9" s="43" t="n"/>
      <c r="I9" s="44" t="inlineStr">
        <is>
          <t>Sim Training</t>
        </is>
      </c>
    </row>
    <row r="10">
      <c r="A10" s="26" t="inlineStr">
        <is>
          <t>2xFLT-1.5</t>
        </is>
      </c>
      <c r="B10" s="26" t="inlineStr">
        <is>
          <t>Two routine sorties in one shift</t>
        </is>
      </c>
      <c r="C10" s="26" t="n">
        <v>2</v>
      </c>
      <c r="D10" s="26" t="n">
        <v>3</v>
      </c>
      <c r="E10" s="26" t="inlineStr"/>
      <c r="F10" s="26" t="inlineStr">
        <is>
          <t>GEN</t>
        </is>
      </c>
      <c r="G10" s="42" t="n"/>
      <c r="H10" s="43" t="n"/>
      <c r="I10" s="44" t="inlineStr">
        <is>
          <t>Sqn Meeting</t>
        </is>
      </c>
    </row>
    <row r="11">
      <c r="A11" s="26" t="inlineStr">
        <is>
          <t>2xFLT-2.0</t>
        </is>
      </c>
      <c r="B11" s="26" t="inlineStr">
        <is>
          <t>Two standard sorties in one shift</t>
        </is>
      </c>
      <c r="C11" s="26" t="n">
        <v>2</v>
      </c>
      <c r="D11" s="26" t="n">
        <v>4</v>
      </c>
      <c r="E11" s="26" t="inlineStr"/>
      <c r="F11" s="26" t="inlineStr">
        <is>
          <t>GEN</t>
        </is>
      </c>
      <c r="G11" s="42" t="n"/>
      <c r="H11" s="43" t="n"/>
      <c r="I11" s="44" t="inlineStr">
        <is>
          <t>Admin Day</t>
        </is>
      </c>
    </row>
    <row r="12">
      <c r="A12" s="26" t="inlineStr">
        <is>
          <t>MSN-3.0</t>
        </is>
      </c>
      <c r="B12" s="26" t="inlineStr">
        <is>
          <t>Mission sortie: Pilot, TACCO, SUP 2 (3.0h)</t>
        </is>
      </c>
      <c r="C12" s="26" t="n">
        <v>1</v>
      </c>
      <c r="D12" s="26" t="n">
        <v>3</v>
      </c>
      <c r="E12" s="26" t="inlineStr">
        <is>
          <t>P T S2</t>
        </is>
      </c>
      <c r="F12" s="26" t="inlineStr">
        <is>
          <t>MSN</t>
        </is>
      </c>
      <c r="G12" s="42" t="n"/>
      <c r="H12" s="43" t="n"/>
      <c r="I12" s="44" t="inlineStr">
        <is>
          <t>Fitness / IPPT</t>
        </is>
      </c>
    </row>
    <row r="13">
      <c r="A13" s="26" t="inlineStr">
        <is>
          <t>PLT-TRG</t>
        </is>
      </c>
      <c r="B13" s="26" t="inlineStr">
        <is>
          <t>Pilot training sortie (1.5h)</t>
        </is>
      </c>
      <c r="C13" s="26" t="n">
        <v>1</v>
      </c>
      <c r="D13" s="26" t="n">
        <v>1.5</v>
      </c>
      <c r="E13" s="26" t="inlineStr">
        <is>
          <t>P</t>
        </is>
      </c>
      <c r="F13" s="26" t="inlineStr">
        <is>
          <t>TRG</t>
        </is>
      </c>
      <c r="G13" s="42" t="n"/>
      <c r="H13" s="43" t="n"/>
      <c r="I13" s="44" t="inlineStr">
        <is>
          <t>Medical</t>
        </is>
      </c>
    </row>
    <row r="14">
      <c r="A14" s="26" t="inlineStr">
        <is>
          <t>EIS</t>
        </is>
      </c>
      <c r="B14" s="26" t="inlineStr">
        <is>
          <t>EIS training sortie (2.0h)</t>
        </is>
      </c>
      <c r="C14" s="26" t="n">
        <v>1</v>
      </c>
      <c r="D14" s="26" t="n">
        <v>2</v>
      </c>
      <c r="E14" s="26" t="inlineStr">
        <is>
          <t>S2</t>
        </is>
      </c>
      <c r="F14" s="26" t="inlineStr">
        <is>
          <t>TRG</t>
        </is>
      </c>
      <c r="G14" s="42" t="n"/>
      <c r="H14" s="43" t="inlineStr">
        <is>
          <t>EIS</t>
        </is>
      </c>
      <c r="I14" s="44" t="n"/>
    </row>
    <row r="15">
      <c r="A15" s="26" t="inlineStr">
        <is>
          <t>MAS TRG</t>
        </is>
      </c>
      <c r="B15" s="26" t="inlineStr">
        <is>
          <t>MAS tactical training (3.0h)</t>
        </is>
      </c>
      <c r="C15" s="26" t="n">
        <v>1</v>
      </c>
      <c r="D15" s="26" t="n">
        <v>3</v>
      </c>
      <c r="E15" s="26" t="inlineStr">
        <is>
          <t>S2</t>
        </is>
      </c>
      <c r="F15" s="26" t="inlineStr">
        <is>
          <t>TRG</t>
        </is>
      </c>
      <c r="G15" s="42" t="n"/>
      <c r="H15" s="43" t="inlineStr">
        <is>
          <t>MAS Tact</t>
        </is>
      </c>
      <c r="I15" s="44" t="n"/>
    </row>
    <row r="16">
      <c r="A16" s="26" t="n"/>
      <c r="B16" s="26" t="n"/>
      <c r="C16" s="26" t="n"/>
      <c r="D16" s="26" t="n"/>
      <c r="E16" s="26" t="n"/>
      <c r="F16" s="26" t="n"/>
      <c r="G16" s="42" t="n"/>
      <c r="H16" s="43" t="n"/>
      <c r="I16" s="44" t="n"/>
    </row>
    <row r="17">
      <c r="A17" s="26" t="n"/>
      <c r="B17" s="26" t="n"/>
      <c r="C17" s="26" t="n"/>
      <c r="D17" s="26" t="n"/>
      <c r="E17" s="26" t="n"/>
      <c r="F17" s="26" t="n"/>
      <c r="G17" s="42" t="n"/>
      <c r="H17" s="43" t="n"/>
      <c r="I17" s="44" t="n"/>
    </row>
    <row r="18">
      <c r="A18" s="26" t="n"/>
      <c r="B18" s="26" t="n"/>
      <c r="C18" s="26" t="n"/>
      <c r="D18" s="26" t="n"/>
      <c r="E18" s="26" t="n"/>
      <c r="F18" s="26" t="n"/>
      <c r="H18" s="43" t="n"/>
      <c r="I18" s="44" t="n"/>
    </row>
    <row r="19">
      <c r="A19" s="26" t="n"/>
      <c r="B19" s="26" t="n"/>
      <c r="C19" s="26" t="n"/>
      <c r="D19" s="26" t="n"/>
      <c r="E19" s="26" t="n"/>
      <c r="F19" s="26" t="n"/>
      <c r="G19" s="17" t="inlineStr">
        <is>
          <t>Add your own reasons in the empty rows.</t>
        </is>
      </c>
      <c r="H19" s="43" t="n"/>
      <c r="I19" s="44" t="n"/>
    </row>
    <row r="20">
      <c r="A20" s="26" t="n"/>
      <c r="B20" s="26" t="n"/>
      <c r="C20" s="26" t="n"/>
      <c r="D20" s="26" t="n"/>
      <c r="E20" s="26" t="n"/>
      <c r="F20" s="26" t="n"/>
      <c r="H20" s="43" t="n"/>
      <c r="I20" s="44" t="n"/>
    </row>
    <row r="21">
      <c r="A21" s="26" t="n"/>
      <c r="B21" s="26" t="n"/>
      <c r="C21" s="26" t="n"/>
      <c r="D21" s="26" t="n"/>
      <c r="E21" s="26" t="n"/>
      <c r="F21" s="26" t="n"/>
      <c r="H21" s="43" t="n"/>
      <c r="I21" s="44" t="n"/>
    </row>
    <row r="22">
      <c r="A22" s="26" t="n"/>
      <c r="B22" s="26" t="n"/>
      <c r="C22" s="26" t="n"/>
      <c r="D22" s="26" t="n"/>
      <c r="E22" s="26" t="n"/>
      <c r="F22" s="26" t="n"/>
      <c r="H22" s="43" t="n"/>
      <c r="I22" s="44" t="n"/>
    </row>
    <row r="23">
      <c r="A23" s="26" t="n"/>
      <c r="B23" s="26" t="n"/>
      <c r="C23" s="26" t="n"/>
      <c r="D23" s="26" t="n"/>
      <c r="E23" s="26" t="n"/>
      <c r="F23" s="26" t="n"/>
      <c r="H23" s="43" t="n"/>
      <c r="I23" s="44" t="n"/>
    </row>
    <row r="24">
      <c r="A24" s="26" t="n"/>
      <c r="B24" s="26" t="n"/>
      <c r="C24" s="26" t="n"/>
      <c r="D24" s="26" t="n"/>
      <c r="E24" s="26" t="n"/>
      <c r="F24" s="26" t="n"/>
      <c r="H24" s="43" t="n"/>
      <c r="I24" s="44" t="n"/>
    </row>
    <row r="25">
      <c r="A25" s="26" t="n"/>
      <c r="B25" s="26" t="n"/>
      <c r="C25" s="26" t="n"/>
      <c r="D25" s="26" t="n"/>
      <c r="E25" s="26" t="n"/>
      <c r="F25" s="26" t="n"/>
      <c r="H25" s="43" t="n"/>
      <c r="I25" s="44" t="n"/>
    </row>
    <row r="26">
      <c r="A26" s="26" t="n"/>
      <c r="B26" s="26" t="n"/>
      <c r="C26" s="26" t="n"/>
      <c r="D26" s="26" t="n"/>
      <c r="E26" s="26" t="n"/>
      <c r="F26" s="26" t="n"/>
      <c r="H26" s="43" t="n"/>
      <c r="I26" s="17" t="inlineStr">
        <is>
          <t>The ground programme list (any text is allowed too).</t>
        </is>
      </c>
    </row>
    <row r="27">
      <c r="A27" s="26" t="n"/>
      <c r="B27" s="26" t="n"/>
      <c r="C27" s="26" t="n"/>
      <c r="D27" s="26" t="n"/>
      <c r="E27" s="26" t="n"/>
      <c r="F27" s="26" t="n"/>
      <c r="H27" s="43" t="n"/>
    </row>
    <row r="28">
      <c r="A28" s="26" t="n"/>
      <c r="B28" s="26" t="n"/>
      <c r="C28" s="26" t="n"/>
      <c r="D28" s="26" t="n"/>
      <c r="E28" s="26" t="n"/>
      <c r="F28" s="26" t="n"/>
      <c r="H28" s="43" t="n"/>
    </row>
    <row r="29">
      <c r="A29" s="26" t="n"/>
      <c r="B29" s="26" t="n"/>
      <c r="C29" s="26" t="n"/>
      <c r="D29" s="26" t="n"/>
      <c r="E29" s="26" t="n"/>
      <c r="F29" s="26" t="n"/>
      <c r="H29" s="43" t="n"/>
    </row>
    <row r="30">
      <c r="A30" s="26" t="n"/>
      <c r="B30" s="26" t="n"/>
      <c r="C30" s="26" t="n"/>
      <c r="D30" s="26" t="n"/>
      <c r="E30" s="26" t="n"/>
      <c r="F30" s="26" t="n"/>
      <c r="H30" s="43" t="n"/>
    </row>
    <row r="31">
      <c r="A31" s="26" t="n"/>
      <c r="B31" s="26" t="n"/>
      <c r="C31" s="26" t="n"/>
      <c r="D31" s="26" t="n"/>
      <c r="E31" s="26" t="n"/>
      <c r="F31" s="26" t="n"/>
      <c r="H31" s="43" t="n"/>
    </row>
    <row r="32">
      <c r="A32" s="26" t="n"/>
      <c r="B32" s="26" t="n"/>
      <c r="C32" s="26" t="n"/>
      <c r="D32" s="26" t="n"/>
      <c r="E32" s="26" t="n"/>
      <c r="F32" s="26" t="n"/>
      <c r="H32" s="43" t="n"/>
    </row>
    <row r="33">
      <c r="A33" s="26" t="n"/>
      <c r="B33" s="26" t="n"/>
      <c r="C33" s="26" t="n"/>
      <c r="D33" s="26" t="n"/>
      <c r="E33" s="26" t="n"/>
      <c r="F33" s="26" t="n"/>
      <c r="H33" s="43" t="n"/>
    </row>
    <row r="34">
      <c r="A34" s="26" t="n"/>
      <c r="B34" s="26" t="n"/>
      <c r="C34" s="26" t="n"/>
      <c r="D34" s="26" t="n"/>
      <c r="E34" s="26" t="n"/>
      <c r="F34" s="26" t="n"/>
      <c r="H34" s="43" t="n"/>
    </row>
    <row r="35">
      <c r="A35" s="26" t="n"/>
      <c r="B35" s="26" t="n"/>
      <c r="C35" s="26" t="n"/>
      <c r="D35" s="26" t="n"/>
      <c r="E35" s="26" t="n"/>
      <c r="F35" s="26" t="n"/>
      <c r="H35" s="43" t="n"/>
    </row>
    <row r="36">
      <c r="A36" s="26" t="n"/>
      <c r="B36" s="26" t="n"/>
      <c r="C36" s="26" t="n"/>
      <c r="D36" s="26" t="n"/>
      <c r="E36" s="26" t="n"/>
      <c r="F36" s="26" t="n"/>
      <c r="H36" s="43" t="n"/>
    </row>
    <row r="37">
      <c r="A37" s="26" t="n"/>
      <c r="B37" s="26" t="n"/>
      <c r="C37" s="26" t="n"/>
      <c r="D37" s="26" t="n"/>
      <c r="E37" s="26" t="n"/>
      <c r="F37" s="26" t="n"/>
      <c r="H37" s="43" t="n"/>
    </row>
    <row r="38">
      <c r="A38" s="26" t="n"/>
      <c r="B38" s="26" t="n"/>
      <c r="C38" s="26" t="n"/>
      <c r="D38" s="26" t="n"/>
      <c r="E38" s="26" t="n"/>
      <c r="F38" s="26" t="n"/>
      <c r="H38" s="43" t="n"/>
    </row>
    <row r="39">
      <c r="A39" s="26" t="n"/>
      <c r="B39" s="26" t="n"/>
      <c r="C39" s="26" t="n"/>
      <c r="D39" s="26" t="n"/>
      <c r="E39" s="26" t="n"/>
      <c r="F39" s="26" t="n"/>
      <c r="H39" s="43" t="n"/>
    </row>
    <row r="40">
      <c r="A40" s="26" t="n"/>
      <c r="B40" s="26" t="n"/>
      <c r="C40" s="26" t="n"/>
      <c r="D40" s="26" t="n"/>
      <c r="E40" s="26" t="n"/>
      <c r="F40" s="26" t="n"/>
      <c r="H40" s="43" t="n"/>
    </row>
    <row r="41">
      <c r="A41" s="26" t="n"/>
      <c r="B41" s="26" t="n"/>
      <c r="C41" s="26" t="n"/>
      <c r="D41" s="26" t="n"/>
      <c r="E41" s="26" t="n"/>
      <c r="F41" s="26" t="n"/>
      <c r="H41" s="43" t="n"/>
    </row>
    <row r="42">
      <c r="A42" s="26" t="n"/>
      <c r="B42" s="26" t="n"/>
      <c r="C42" s="26" t="n"/>
      <c r="D42" s="26" t="n"/>
      <c r="E42" s="26" t="n"/>
      <c r="F42" s="26" t="n"/>
      <c r="H42" s="43" t="n"/>
    </row>
    <row r="43">
      <c r="A43" s="26" t="n"/>
      <c r="B43" s="26" t="n"/>
      <c r="C43" s="26" t="n"/>
      <c r="D43" s="26" t="n"/>
      <c r="E43" s="26" t="n"/>
      <c r="F43" s="26" t="n"/>
      <c r="H43" s="43" t="n"/>
    </row>
    <row r="44">
      <c r="A44" s="26" t="n"/>
      <c r="B44" s="26" t="n"/>
      <c r="C44" s="26" t="n"/>
      <c r="D44" s="26" t="n"/>
      <c r="E44" s="26" t="n"/>
      <c r="F44" s="26" t="n"/>
      <c r="H44" s="43" t="n"/>
    </row>
    <row r="45">
      <c r="A45" s="26" t="n"/>
      <c r="B45" s="26" t="n"/>
      <c r="C45" s="26" t="n"/>
      <c r="D45" s="26" t="n"/>
      <c r="E45" s="26" t="n"/>
      <c r="F45" s="26" t="n"/>
      <c r="H45" s="43" t="n"/>
    </row>
  </sheetData>
  <mergeCells count="2">
    <mergeCell ref="A2:G2"/>
    <mergeCell ref="A1:G1"/>
  </mergeCells>
  <dataValidations count="1">
    <dataValidation sqref="E6:E45" showDropDown="0" showInputMessage="1" showErrorMessage="0" allowBlank="1" promptTitle="Crew" prompt="Departments that fly this code: P Pilot, L Loadmaster, T TACCO, S1 SUP 1, S2 SUP 2. Blank = every department.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JANUARY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SUMIFS(FlCount,FlDate,"&gt;="&amp;DATE(PlanYear,1,1),FlDate,"&lt;="&amp;EOMONTH(DATE(PlanYear,1,1),0))</f>
        <v/>
      </c>
      <c r="J3" s="45" t="inlineStr">
        <is>
          <t>Planned flying hrs</t>
        </is>
      </c>
      <c r="L3" s="48">
        <f>SUMIFS(FlHrs,FlDate,"&gt;="&amp;DATE(PlanYear,1,1),FlDate,"&lt;="&amp;EOMONTH(DATE(PlanYear,1,1),0))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IF(MONTH(DATE(PlanYear,1,1)-WEEKDAY(DATE(PlanYear,1,1),3)+0)=1,DATE(PlanYear,1,1)-WEEKDAY(DATE(PlanYear,1,1),3)+0,"")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IF(MONTH(DATE(PlanYear,1,1)-WEEKDAY(DATE(PlanYear,1,1),3)+1)=1,DATE(PlanYear,1,1)-WEEKDAY(DATE(PlanYear,1,1),3)+1,"")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IF(MONTH(DATE(PlanYear,1,1)-WEEKDAY(DATE(PlanYear,1,1),3)+2)=1,DATE(PlanYear,1,1)-WEEKDAY(DATE(PlanYear,1,1),3)+2,"")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IF(MONTH(DATE(PlanYear,1,1)-WEEKDAY(DATE(PlanYear,1,1),3)+3)=1,DATE(PlanYear,1,1)-WEEKDAY(DATE(PlanYear,1,1),3)+3,"")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IF(MONTH(DATE(PlanYear,1,1)-WEEKDAY(DATE(PlanYear,1,1),3)+4)=1,DATE(PlanYear,1,1)-WEEKDAY(DATE(PlanYear,1,1),3)+4,"")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IF(MONTH(DATE(PlanYear,1,1)-WEEKDAY(DATE(PlanYear,1,1),3)+5)=1,DATE(PlanYear,1,1)-WEEKDAY(DATE(PlanYear,1,1),3)+5,"")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IF(MONTH(DATE(PlanYear,1,1)-WEEKDAY(DATE(PlanYear,1,1),3)+6)=1,DATE(PlanYear,1,1)-WEEKDAY(DATE(PlanYear,1,1),3)+6,"")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IF(MONTH(DATE(PlanYear,1,1)-WEEKDAY(DATE(PlanYear,1,1),3)+7)=1,DATE(PlanYear,1,1)-WEEKDAY(DATE(PlanYear,1,1),3)+7,"")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IF(MONTH(DATE(PlanYear,1,1)-WEEKDAY(DATE(PlanYear,1,1),3)+8)=1,DATE(PlanYear,1,1)-WEEKDAY(DATE(PlanYear,1,1),3)+8,"")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IF(MONTH(DATE(PlanYear,1,1)-WEEKDAY(DATE(PlanYear,1,1),3)+9)=1,DATE(PlanYear,1,1)-WEEKDAY(DATE(PlanYear,1,1),3)+9,"")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IF(MONTH(DATE(PlanYear,1,1)-WEEKDAY(DATE(PlanYear,1,1),3)+10)=1,DATE(PlanYear,1,1)-WEEKDAY(DATE(PlanYear,1,1),3)+10,"")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IF(MONTH(DATE(PlanYear,1,1)-WEEKDAY(DATE(PlanYear,1,1),3)+11)=1,DATE(PlanYear,1,1)-WEEKDAY(DATE(PlanYear,1,1),3)+11,"")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IF(MONTH(DATE(PlanYear,1,1)-WEEKDAY(DATE(PlanYear,1,1),3)+12)=1,DATE(PlanYear,1,1)-WEEKDAY(DATE(PlanYear,1,1),3)+12,"")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IF(MONTH(DATE(PlanYear,1,1)-WEEKDAY(DATE(PlanYear,1,1),3)+13)=1,DATE(PlanYear,1,1)-WEEKDAY(DATE(PlanYear,1,1),3)+13,"")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IF(MONTH(DATE(PlanYear,1,1)-WEEKDAY(DATE(PlanYear,1,1),3)+14)=1,DATE(PlanYear,1,1)-WEEKDAY(DATE(PlanYear,1,1),3)+14,"")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IF(MONTH(DATE(PlanYear,1,1)-WEEKDAY(DATE(PlanYear,1,1),3)+15)=1,DATE(PlanYear,1,1)-WEEKDAY(DATE(PlanYear,1,1),3)+15,"")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IF(MONTH(DATE(PlanYear,1,1)-WEEKDAY(DATE(PlanYear,1,1),3)+16)=1,DATE(PlanYear,1,1)-WEEKDAY(DATE(PlanYear,1,1),3)+16,"")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IF(MONTH(DATE(PlanYear,1,1)-WEEKDAY(DATE(PlanYear,1,1),3)+17)=1,DATE(PlanYear,1,1)-WEEKDAY(DATE(PlanYear,1,1),3)+17,"")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IF(MONTH(DATE(PlanYear,1,1)-WEEKDAY(DATE(PlanYear,1,1),3)+18)=1,DATE(PlanYear,1,1)-WEEKDAY(DATE(PlanYear,1,1),3)+18,"")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IF(MONTH(DATE(PlanYear,1,1)-WEEKDAY(DATE(PlanYear,1,1),3)+19)=1,DATE(PlanYear,1,1)-WEEKDAY(DATE(PlanYear,1,1),3)+19,"")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IF(MONTH(DATE(PlanYear,1,1)-WEEKDAY(DATE(PlanYear,1,1),3)+20)=1,DATE(PlanYear,1,1)-WEEKDAY(DATE(PlanYear,1,1),3)+20,"")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IF(MONTH(DATE(PlanYear,1,1)-WEEKDAY(DATE(PlanYear,1,1),3)+21)=1,DATE(PlanYear,1,1)-WEEKDAY(DATE(PlanYear,1,1),3)+21,"")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IF(MONTH(DATE(PlanYear,1,1)-WEEKDAY(DATE(PlanYear,1,1),3)+22)=1,DATE(PlanYear,1,1)-WEEKDAY(DATE(PlanYear,1,1),3)+22,"")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IF(MONTH(DATE(PlanYear,1,1)-WEEKDAY(DATE(PlanYear,1,1),3)+23)=1,DATE(PlanYear,1,1)-WEEKDAY(DATE(PlanYear,1,1),3)+23,"")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IF(MONTH(DATE(PlanYear,1,1)-WEEKDAY(DATE(PlanYear,1,1),3)+24)=1,DATE(PlanYear,1,1)-WEEKDAY(DATE(PlanYear,1,1),3)+24,"")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IF(MONTH(DATE(PlanYear,1,1)-WEEKDAY(DATE(PlanYear,1,1),3)+25)=1,DATE(PlanYear,1,1)-WEEKDAY(DATE(PlanYear,1,1),3)+25,"")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IF(MONTH(DATE(PlanYear,1,1)-WEEKDAY(DATE(PlanYear,1,1),3)+26)=1,DATE(PlanYear,1,1)-WEEKDAY(DATE(PlanYear,1,1),3)+26,"")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IF(MONTH(DATE(PlanYear,1,1)-WEEKDAY(DATE(PlanYear,1,1),3)+27)=1,DATE(PlanYear,1,1)-WEEKDAY(DATE(PlanYear,1,1),3)+27,"")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IF(MONTH(DATE(PlanYear,1,1)-WEEKDAY(DATE(PlanYear,1,1),3)+28)=1,DATE(PlanYear,1,1)-WEEKDAY(DATE(PlanYear,1,1),3)+28,"")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IF(MONTH(DATE(PlanYear,1,1)-WEEKDAY(DATE(PlanYear,1,1),3)+29)=1,DATE(PlanYear,1,1)-WEEKDAY(DATE(PlanYear,1,1),3)+29,"")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IF(MONTH(DATE(PlanYear,1,1)-WEEKDAY(DATE(PlanYear,1,1),3)+30)=1,DATE(PlanYear,1,1)-WEEKDAY(DATE(PlanYear,1,1),3)+30,"")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IF(MONTH(DATE(PlanYear,1,1)-WEEKDAY(DATE(PlanYear,1,1),3)+31)=1,DATE(PlanYear,1,1)-WEEKDAY(DATE(PlanYear,1,1),3)+31,"")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IF(MONTH(DATE(PlanYear,1,1)-WEEKDAY(DATE(PlanYear,1,1),3)+32)=1,DATE(PlanYear,1,1)-WEEKDAY(DATE(PlanYear,1,1),3)+32,"")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IF(MONTH(DATE(PlanYear,1,1)-WEEKDAY(DATE(PlanYear,1,1),3)+33)=1,DATE(PlanYear,1,1)-WEEKDAY(DATE(PlanYear,1,1),3)+33,"")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IF(MONTH(DATE(PlanYear,1,1)-WEEKDAY(DATE(PlanYear,1,1),3)+34)=1,DATE(PlanYear,1,1)-WEEKDAY(DATE(PlanYear,1,1),3)+34,"")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IF(MONTH(DATE(PlanYear,1,1)-WEEKDAY(DATE(PlanYear,1,1),3)+35)=1,DATE(PlanYear,1,1)-WEEKDAY(DATE(PlanYear,1,1),3)+35,"")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IF(MONTH(DATE(PlanYear,1,1)-WEEKDAY(DATE(PlanYear,1,1),3)+36)=1,DATE(PlanYear,1,1)-WEEKDAY(DATE(PlanYear,1,1),3)+36,"")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IF(MONTH(DATE(PlanYear,1,1)-WEEKDAY(DATE(PlanYear,1,1),3)+37)=1,DATE(PlanYear,1,1)-WEEKDAY(DATE(PlanYear,1,1),3)+37,"")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IF(MONTH(DATE(PlanYear,1,1)-WEEKDAY(DATE(PlanYear,1,1),3)+38)=1,DATE(PlanYear,1,1)-WEEKDAY(DATE(PlanYear,1,1),3)+38,"")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IF(MONTH(DATE(PlanYear,1,1)-WEEKDAY(DATE(PlanYear,1,1),3)+39)=1,DATE(PlanYear,1,1)-WEEKDAY(DATE(PlanYear,1,1),3)+39,"")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IF(MONTH(DATE(PlanYear,1,1)-WEEKDAY(DATE(PlanYear,1,1),3)+40)=1,DATE(PlanYear,1,1)-WEEKDAY(DATE(PlanYear,1,1),3)+40,"")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IF(MONTH(DATE(PlanYear,1,1)-WEEKDAY(DATE(PlanYear,1,1),3)+41)=1,DATE(PlanYear,1,1)-WEEKDAY(DATE(PlanYear,1,1),3)+41,"")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FEBRUARY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SUMIFS(FlCount,FlDate,"&gt;="&amp;DATE(PlanYear,2,1),FlDate,"&lt;="&amp;EOMONTH(DATE(PlanYear,2,1),0))</f>
        <v/>
      </c>
      <c r="J3" s="45" t="inlineStr">
        <is>
          <t>Planned flying hrs</t>
        </is>
      </c>
      <c r="L3" s="48">
        <f>SUMIFS(FlHrs,FlDate,"&gt;="&amp;DATE(PlanYear,2,1),FlDate,"&lt;="&amp;EOMONTH(DATE(PlanYear,2,1),0))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IF(MONTH(DATE(PlanYear,2,1)-WEEKDAY(DATE(PlanYear,2,1),3)+0)=2,DATE(PlanYear,2,1)-WEEKDAY(DATE(PlanYear,2,1),3)+0,"")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IF(MONTH(DATE(PlanYear,2,1)-WEEKDAY(DATE(PlanYear,2,1),3)+1)=2,DATE(PlanYear,2,1)-WEEKDAY(DATE(PlanYear,2,1),3)+1,"")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IF(MONTH(DATE(PlanYear,2,1)-WEEKDAY(DATE(PlanYear,2,1),3)+2)=2,DATE(PlanYear,2,1)-WEEKDAY(DATE(PlanYear,2,1),3)+2,"")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IF(MONTH(DATE(PlanYear,2,1)-WEEKDAY(DATE(PlanYear,2,1),3)+3)=2,DATE(PlanYear,2,1)-WEEKDAY(DATE(PlanYear,2,1),3)+3,"")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IF(MONTH(DATE(PlanYear,2,1)-WEEKDAY(DATE(PlanYear,2,1),3)+4)=2,DATE(PlanYear,2,1)-WEEKDAY(DATE(PlanYear,2,1),3)+4,"")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IF(MONTH(DATE(PlanYear,2,1)-WEEKDAY(DATE(PlanYear,2,1),3)+5)=2,DATE(PlanYear,2,1)-WEEKDAY(DATE(PlanYear,2,1),3)+5,"")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IF(MONTH(DATE(PlanYear,2,1)-WEEKDAY(DATE(PlanYear,2,1),3)+6)=2,DATE(PlanYear,2,1)-WEEKDAY(DATE(PlanYear,2,1),3)+6,"")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IF(MONTH(DATE(PlanYear,2,1)-WEEKDAY(DATE(PlanYear,2,1),3)+7)=2,DATE(PlanYear,2,1)-WEEKDAY(DATE(PlanYear,2,1),3)+7,"")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IF(MONTH(DATE(PlanYear,2,1)-WEEKDAY(DATE(PlanYear,2,1),3)+8)=2,DATE(PlanYear,2,1)-WEEKDAY(DATE(PlanYear,2,1),3)+8,"")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IF(MONTH(DATE(PlanYear,2,1)-WEEKDAY(DATE(PlanYear,2,1),3)+9)=2,DATE(PlanYear,2,1)-WEEKDAY(DATE(PlanYear,2,1),3)+9,"")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IF(MONTH(DATE(PlanYear,2,1)-WEEKDAY(DATE(PlanYear,2,1),3)+10)=2,DATE(PlanYear,2,1)-WEEKDAY(DATE(PlanYear,2,1),3)+10,"")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IF(MONTH(DATE(PlanYear,2,1)-WEEKDAY(DATE(PlanYear,2,1),3)+11)=2,DATE(PlanYear,2,1)-WEEKDAY(DATE(PlanYear,2,1),3)+11,"")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IF(MONTH(DATE(PlanYear,2,1)-WEEKDAY(DATE(PlanYear,2,1),3)+12)=2,DATE(PlanYear,2,1)-WEEKDAY(DATE(PlanYear,2,1),3)+12,"")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IF(MONTH(DATE(PlanYear,2,1)-WEEKDAY(DATE(PlanYear,2,1),3)+13)=2,DATE(PlanYear,2,1)-WEEKDAY(DATE(PlanYear,2,1),3)+13,"")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IF(MONTH(DATE(PlanYear,2,1)-WEEKDAY(DATE(PlanYear,2,1),3)+14)=2,DATE(PlanYear,2,1)-WEEKDAY(DATE(PlanYear,2,1),3)+14,"")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IF(MONTH(DATE(PlanYear,2,1)-WEEKDAY(DATE(PlanYear,2,1),3)+15)=2,DATE(PlanYear,2,1)-WEEKDAY(DATE(PlanYear,2,1),3)+15,"")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IF(MONTH(DATE(PlanYear,2,1)-WEEKDAY(DATE(PlanYear,2,1),3)+16)=2,DATE(PlanYear,2,1)-WEEKDAY(DATE(PlanYear,2,1),3)+16,"")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IF(MONTH(DATE(PlanYear,2,1)-WEEKDAY(DATE(PlanYear,2,1),3)+17)=2,DATE(PlanYear,2,1)-WEEKDAY(DATE(PlanYear,2,1),3)+17,"")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IF(MONTH(DATE(PlanYear,2,1)-WEEKDAY(DATE(PlanYear,2,1),3)+18)=2,DATE(PlanYear,2,1)-WEEKDAY(DATE(PlanYear,2,1),3)+18,"")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IF(MONTH(DATE(PlanYear,2,1)-WEEKDAY(DATE(PlanYear,2,1),3)+19)=2,DATE(PlanYear,2,1)-WEEKDAY(DATE(PlanYear,2,1),3)+19,"")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IF(MONTH(DATE(PlanYear,2,1)-WEEKDAY(DATE(PlanYear,2,1),3)+20)=2,DATE(PlanYear,2,1)-WEEKDAY(DATE(PlanYear,2,1),3)+20,"")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IF(MONTH(DATE(PlanYear,2,1)-WEEKDAY(DATE(PlanYear,2,1),3)+21)=2,DATE(PlanYear,2,1)-WEEKDAY(DATE(PlanYear,2,1),3)+21,"")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IF(MONTH(DATE(PlanYear,2,1)-WEEKDAY(DATE(PlanYear,2,1),3)+22)=2,DATE(PlanYear,2,1)-WEEKDAY(DATE(PlanYear,2,1),3)+22,"")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IF(MONTH(DATE(PlanYear,2,1)-WEEKDAY(DATE(PlanYear,2,1),3)+23)=2,DATE(PlanYear,2,1)-WEEKDAY(DATE(PlanYear,2,1),3)+23,"")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IF(MONTH(DATE(PlanYear,2,1)-WEEKDAY(DATE(PlanYear,2,1),3)+24)=2,DATE(PlanYear,2,1)-WEEKDAY(DATE(PlanYear,2,1),3)+24,"")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IF(MONTH(DATE(PlanYear,2,1)-WEEKDAY(DATE(PlanYear,2,1),3)+25)=2,DATE(PlanYear,2,1)-WEEKDAY(DATE(PlanYear,2,1),3)+25,"")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IF(MONTH(DATE(PlanYear,2,1)-WEEKDAY(DATE(PlanYear,2,1),3)+26)=2,DATE(PlanYear,2,1)-WEEKDAY(DATE(PlanYear,2,1),3)+26,"")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IF(MONTH(DATE(PlanYear,2,1)-WEEKDAY(DATE(PlanYear,2,1),3)+27)=2,DATE(PlanYear,2,1)-WEEKDAY(DATE(PlanYear,2,1),3)+27,"")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IF(MONTH(DATE(PlanYear,2,1)-WEEKDAY(DATE(PlanYear,2,1),3)+28)=2,DATE(PlanYear,2,1)-WEEKDAY(DATE(PlanYear,2,1),3)+28,"")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IF(MONTH(DATE(PlanYear,2,1)-WEEKDAY(DATE(PlanYear,2,1),3)+29)=2,DATE(PlanYear,2,1)-WEEKDAY(DATE(PlanYear,2,1),3)+29,"")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IF(MONTH(DATE(PlanYear,2,1)-WEEKDAY(DATE(PlanYear,2,1),3)+30)=2,DATE(PlanYear,2,1)-WEEKDAY(DATE(PlanYear,2,1),3)+30,"")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IF(MONTH(DATE(PlanYear,2,1)-WEEKDAY(DATE(PlanYear,2,1),3)+31)=2,DATE(PlanYear,2,1)-WEEKDAY(DATE(PlanYear,2,1),3)+31,"")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IF(MONTH(DATE(PlanYear,2,1)-WEEKDAY(DATE(PlanYear,2,1),3)+32)=2,DATE(PlanYear,2,1)-WEEKDAY(DATE(PlanYear,2,1),3)+32,"")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IF(MONTH(DATE(PlanYear,2,1)-WEEKDAY(DATE(PlanYear,2,1),3)+33)=2,DATE(PlanYear,2,1)-WEEKDAY(DATE(PlanYear,2,1),3)+33,"")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IF(MONTH(DATE(PlanYear,2,1)-WEEKDAY(DATE(PlanYear,2,1),3)+34)=2,DATE(PlanYear,2,1)-WEEKDAY(DATE(PlanYear,2,1),3)+34,"")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IF(MONTH(DATE(PlanYear,2,1)-WEEKDAY(DATE(PlanYear,2,1),3)+35)=2,DATE(PlanYear,2,1)-WEEKDAY(DATE(PlanYear,2,1),3)+35,"")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IF(MONTH(DATE(PlanYear,2,1)-WEEKDAY(DATE(PlanYear,2,1),3)+36)=2,DATE(PlanYear,2,1)-WEEKDAY(DATE(PlanYear,2,1),3)+36,"")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IF(MONTH(DATE(PlanYear,2,1)-WEEKDAY(DATE(PlanYear,2,1),3)+37)=2,DATE(PlanYear,2,1)-WEEKDAY(DATE(PlanYear,2,1),3)+37,"")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IF(MONTH(DATE(PlanYear,2,1)-WEEKDAY(DATE(PlanYear,2,1),3)+38)=2,DATE(PlanYear,2,1)-WEEKDAY(DATE(PlanYear,2,1),3)+38,"")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IF(MONTH(DATE(PlanYear,2,1)-WEEKDAY(DATE(PlanYear,2,1),3)+39)=2,DATE(PlanYear,2,1)-WEEKDAY(DATE(PlanYear,2,1),3)+39,"")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IF(MONTH(DATE(PlanYear,2,1)-WEEKDAY(DATE(PlanYear,2,1),3)+40)=2,DATE(PlanYear,2,1)-WEEKDAY(DATE(PlanYear,2,1),3)+40,"")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IF(MONTH(DATE(PlanYear,2,1)-WEEKDAY(DATE(PlanYear,2,1),3)+41)=2,DATE(PlanYear,2,1)-WEEKDAY(DATE(PlanYear,2,1),3)+41,"")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MARCH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SUMIFS(FlCount,FlDate,"&gt;="&amp;DATE(PlanYear,3,1),FlDate,"&lt;="&amp;EOMONTH(DATE(PlanYear,3,1),0))</f>
        <v/>
      </c>
      <c r="J3" s="45" t="inlineStr">
        <is>
          <t>Planned flying hrs</t>
        </is>
      </c>
      <c r="L3" s="48">
        <f>SUMIFS(FlHrs,FlDate,"&gt;="&amp;DATE(PlanYear,3,1),FlDate,"&lt;="&amp;EOMONTH(DATE(PlanYear,3,1),0))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IF(MONTH(DATE(PlanYear,3,1)-WEEKDAY(DATE(PlanYear,3,1),3)+0)=3,DATE(PlanYear,3,1)-WEEKDAY(DATE(PlanYear,3,1),3)+0,"")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IF(MONTH(DATE(PlanYear,3,1)-WEEKDAY(DATE(PlanYear,3,1),3)+1)=3,DATE(PlanYear,3,1)-WEEKDAY(DATE(PlanYear,3,1),3)+1,"")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IF(MONTH(DATE(PlanYear,3,1)-WEEKDAY(DATE(PlanYear,3,1),3)+2)=3,DATE(PlanYear,3,1)-WEEKDAY(DATE(PlanYear,3,1),3)+2,"")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IF(MONTH(DATE(PlanYear,3,1)-WEEKDAY(DATE(PlanYear,3,1),3)+3)=3,DATE(PlanYear,3,1)-WEEKDAY(DATE(PlanYear,3,1),3)+3,"")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IF(MONTH(DATE(PlanYear,3,1)-WEEKDAY(DATE(PlanYear,3,1),3)+4)=3,DATE(PlanYear,3,1)-WEEKDAY(DATE(PlanYear,3,1),3)+4,"")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IF(MONTH(DATE(PlanYear,3,1)-WEEKDAY(DATE(PlanYear,3,1),3)+5)=3,DATE(PlanYear,3,1)-WEEKDAY(DATE(PlanYear,3,1),3)+5,"")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IF(MONTH(DATE(PlanYear,3,1)-WEEKDAY(DATE(PlanYear,3,1),3)+6)=3,DATE(PlanYear,3,1)-WEEKDAY(DATE(PlanYear,3,1),3)+6,"")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IF(MONTH(DATE(PlanYear,3,1)-WEEKDAY(DATE(PlanYear,3,1),3)+7)=3,DATE(PlanYear,3,1)-WEEKDAY(DATE(PlanYear,3,1),3)+7,"")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IF(MONTH(DATE(PlanYear,3,1)-WEEKDAY(DATE(PlanYear,3,1),3)+8)=3,DATE(PlanYear,3,1)-WEEKDAY(DATE(PlanYear,3,1),3)+8,"")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IF(MONTH(DATE(PlanYear,3,1)-WEEKDAY(DATE(PlanYear,3,1),3)+9)=3,DATE(PlanYear,3,1)-WEEKDAY(DATE(PlanYear,3,1),3)+9,"")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IF(MONTH(DATE(PlanYear,3,1)-WEEKDAY(DATE(PlanYear,3,1),3)+10)=3,DATE(PlanYear,3,1)-WEEKDAY(DATE(PlanYear,3,1),3)+10,"")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IF(MONTH(DATE(PlanYear,3,1)-WEEKDAY(DATE(PlanYear,3,1),3)+11)=3,DATE(PlanYear,3,1)-WEEKDAY(DATE(PlanYear,3,1),3)+11,"")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IF(MONTH(DATE(PlanYear,3,1)-WEEKDAY(DATE(PlanYear,3,1),3)+12)=3,DATE(PlanYear,3,1)-WEEKDAY(DATE(PlanYear,3,1),3)+12,"")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IF(MONTH(DATE(PlanYear,3,1)-WEEKDAY(DATE(PlanYear,3,1),3)+13)=3,DATE(PlanYear,3,1)-WEEKDAY(DATE(PlanYear,3,1),3)+13,"")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IF(MONTH(DATE(PlanYear,3,1)-WEEKDAY(DATE(PlanYear,3,1),3)+14)=3,DATE(PlanYear,3,1)-WEEKDAY(DATE(PlanYear,3,1),3)+14,"")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IF(MONTH(DATE(PlanYear,3,1)-WEEKDAY(DATE(PlanYear,3,1),3)+15)=3,DATE(PlanYear,3,1)-WEEKDAY(DATE(PlanYear,3,1),3)+15,"")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IF(MONTH(DATE(PlanYear,3,1)-WEEKDAY(DATE(PlanYear,3,1),3)+16)=3,DATE(PlanYear,3,1)-WEEKDAY(DATE(PlanYear,3,1),3)+16,"")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IF(MONTH(DATE(PlanYear,3,1)-WEEKDAY(DATE(PlanYear,3,1),3)+17)=3,DATE(PlanYear,3,1)-WEEKDAY(DATE(PlanYear,3,1),3)+17,"")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IF(MONTH(DATE(PlanYear,3,1)-WEEKDAY(DATE(PlanYear,3,1),3)+18)=3,DATE(PlanYear,3,1)-WEEKDAY(DATE(PlanYear,3,1),3)+18,"")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IF(MONTH(DATE(PlanYear,3,1)-WEEKDAY(DATE(PlanYear,3,1),3)+19)=3,DATE(PlanYear,3,1)-WEEKDAY(DATE(PlanYear,3,1),3)+19,"")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IF(MONTH(DATE(PlanYear,3,1)-WEEKDAY(DATE(PlanYear,3,1),3)+20)=3,DATE(PlanYear,3,1)-WEEKDAY(DATE(PlanYear,3,1),3)+20,"")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IF(MONTH(DATE(PlanYear,3,1)-WEEKDAY(DATE(PlanYear,3,1),3)+21)=3,DATE(PlanYear,3,1)-WEEKDAY(DATE(PlanYear,3,1),3)+21,"")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IF(MONTH(DATE(PlanYear,3,1)-WEEKDAY(DATE(PlanYear,3,1),3)+22)=3,DATE(PlanYear,3,1)-WEEKDAY(DATE(PlanYear,3,1),3)+22,"")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IF(MONTH(DATE(PlanYear,3,1)-WEEKDAY(DATE(PlanYear,3,1),3)+23)=3,DATE(PlanYear,3,1)-WEEKDAY(DATE(PlanYear,3,1),3)+23,"")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IF(MONTH(DATE(PlanYear,3,1)-WEEKDAY(DATE(PlanYear,3,1),3)+24)=3,DATE(PlanYear,3,1)-WEEKDAY(DATE(PlanYear,3,1),3)+24,"")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IF(MONTH(DATE(PlanYear,3,1)-WEEKDAY(DATE(PlanYear,3,1),3)+25)=3,DATE(PlanYear,3,1)-WEEKDAY(DATE(PlanYear,3,1),3)+25,"")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IF(MONTH(DATE(PlanYear,3,1)-WEEKDAY(DATE(PlanYear,3,1),3)+26)=3,DATE(PlanYear,3,1)-WEEKDAY(DATE(PlanYear,3,1),3)+26,"")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IF(MONTH(DATE(PlanYear,3,1)-WEEKDAY(DATE(PlanYear,3,1),3)+27)=3,DATE(PlanYear,3,1)-WEEKDAY(DATE(PlanYear,3,1),3)+27,"")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IF(MONTH(DATE(PlanYear,3,1)-WEEKDAY(DATE(PlanYear,3,1),3)+28)=3,DATE(PlanYear,3,1)-WEEKDAY(DATE(PlanYear,3,1),3)+28,"")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IF(MONTH(DATE(PlanYear,3,1)-WEEKDAY(DATE(PlanYear,3,1),3)+29)=3,DATE(PlanYear,3,1)-WEEKDAY(DATE(PlanYear,3,1),3)+29,"")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IF(MONTH(DATE(PlanYear,3,1)-WEEKDAY(DATE(PlanYear,3,1),3)+30)=3,DATE(PlanYear,3,1)-WEEKDAY(DATE(PlanYear,3,1),3)+30,"")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IF(MONTH(DATE(PlanYear,3,1)-WEEKDAY(DATE(PlanYear,3,1),3)+31)=3,DATE(PlanYear,3,1)-WEEKDAY(DATE(PlanYear,3,1),3)+31,"")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IF(MONTH(DATE(PlanYear,3,1)-WEEKDAY(DATE(PlanYear,3,1),3)+32)=3,DATE(PlanYear,3,1)-WEEKDAY(DATE(PlanYear,3,1),3)+32,"")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IF(MONTH(DATE(PlanYear,3,1)-WEEKDAY(DATE(PlanYear,3,1),3)+33)=3,DATE(PlanYear,3,1)-WEEKDAY(DATE(PlanYear,3,1),3)+33,"")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IF(MONTH(DATE(PlanYear,3,1)-WEEKDAY(DATE(PlanYear,3,1),3)+34)=3,DATE(PlanYear,3,1)-WEEKDAY(DATE(PlanYear,3,1),3)+34,"")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IF(MONTH(DATE(PlanYear,3,1)-WEEKDAY(DATE(PlanYear,3,1),3)+35)=3,DATE(PlanYear,3,1)-WEEKDAY(DATE(PlanYear,3,1),3)+35,"")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IF(MONTH(DATE(PlanYear,3,1)-WEEKDAY(DATE(PlanYear,3,1),3)+36)=3,DATE(PlanYear,3,1)-WEEKDAY(DATE(PlanYear,3,1),3)+36,"")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IF(MONTH(DATE(PlanYear,3,1)-WEEKDAY(DATE(PlanYear,3,1),3)+37)=3,DATE(PlanYear,3,1)-WEEKDAY(DATE(PlanYear,3,1),3)+37,"")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IF(MONTH(DATE(PlanYear,3,1)-WEEKDAY(DATE(PlanYear,3,1),3)+38)=3,DATE(PlanYear,3,1)-WEEKDAY(DATE(PlanYear,3,1),3)+38,"")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IF(MONTH(DATE(PlanYear,3,1)-WEEKDAY(DATE(PlanYear,3,1),3)+39)=3,DATE(PlanYear,3,1)-WEEKDAY(DATE(PlanYear,3,1),3)+39,"")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IF(MONTH(DATE(PlanYear,3,1)-WEEKDAY(DATE(PlanYear,3,1),3)+40)=3,DATE(PlanYear,3,1)-WEEKDAY(DATE(PlanYear,3,1),3)+40,"")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IF(MONTH(DATE(PlanYear,3,1)-WEEKDAY(DATE(PlanYear,3,1),3)+41)=3,DATE(PlanYear,3,1)-WEEKDAY(DATE(PlanYear,3,1),3)+41,"")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APRIL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SUMIFS(FlCount,FlDate,"&gt;="&amp;DATE(PlanYear,4,1),FlDate,"&lt;="&amp;EOMONTH(DATE(PlanYear,4,1),0))</f>
        <v/>
      </c>
      <c r="J3" s="45" t="inlineStr">
        <is>
          <t>Planned flying hrs</t>
        </is>
      </c>
      <c r="L3" s="48">
        <f>SUMIFS(FlHrs,FlDate,"&gt;="&amp;DATE(PlanYear,4,1),FlDate,"&lt;="&amp;EOMONTH(DATE(PlanYear,4,1),0))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IF(MONTH(DATE(PlanYear,4,1)-WEEKDAY(DATE(PlanYear,4,1),3)+0)=4,DATE(PlanYear,4,1)-WEEKDAY(DATE(PlanYear,4,1),3)+0,"")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IF(MONTH(DATE(PlanYear,4,1)-WEEKDAY(DATE(PlanYear,4,1),3)+1)=4,DATE(PlanYear,4,1)-WEEKDAY(DATE(PlanYear,4,1),3)+1,"")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IF(MONTH(DATE(PlanYear,4,1)-WEEKDAY(DATE(PlanYear,4,1),3)+2)=4,DATE(PlanYear,4,1)-WEEKDAY(DATE(PlanYear,4,1),3)+2,"")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IF(MONTH(DATE(PlanYear,4,1)-WEEKDAY(DATE(PlanYear,4,1),3)+3)=4,DATE(PlanYear,4,1)-WEEKDAY(DATE(PlanYear,4,1),3)+3,"")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IF(MONTH(DATE(PlanYear,4,1)-WEEKDAY(DATE(PlanYear,4,1),3)+4)=4,DATE(PlanYear,4,1)-WEEKDAY(DATE(PlanYear,4,1),3)+4,"")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IF(MONTH(DATE(PlanYear,4,1)-WEEKDAY(DATE(PlanYear,4,1),3)+5)=4,DATE(PlanYear,4,1)-WEEKDAY(DATE(PlanYear,4,1),3)+5,"")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IF(MONTH(DATE(PlanYear,4,1)-WEEKDAY(DATE(PlanYear,4,1),3)+6)=4,DATE(PlanYear,4,1)-WEEKDAY(DATE(PlanYear,4,1),3)+6,"")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IF(MONTH(DATE(PlanYear,4,1)-WEEKDAY(DATE(PlanYear,4,1),3)+7)=4,DATE(PlanYear,4,1)-WEEKDAY(DATE(PlanYear,4,1),3)+7,"")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IF(MONTH(DATE(PlanYear,4,1)-WEEKDAY(DATE(PlanYear,4,1),3)+8)=4,DATE(PlanYear,4,1)-WEEKDAY(DATE(PlanYear,4,1),3)+8,"")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IF(MONTH(DATE(PlanYear,4,1)-WEEKDAY(DATE(PlanYear,4,1),3)+9)=4,DATE(PlanYear,4,1)-WEEKDAY(DATE(PlanYear,4,1),3)+9,"")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IF(MONTH(DATE(PlanYear,4,1)-WEEKDAY(DATE(PlanYear,4,1),3)+10)=4,DATE(PlanYear,4,1)-WEEKDAY(DATE(PlanYear,4,1),3)+10,"")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IF(MONTH(DATE(PlanYear,4,1)-WEEKDAY(DATE(PlanYear,4,1),3)+11)=4,DATE(PlanYear,4,1)-WEEKDAY(DATE(PlanYear,4,1),3)+11,"")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IF(MONTH(DATE(PlanYear,4,1)-WEEKDAY(DATE(PlanYear,4,1),3)+12)=4,DATE(PlanYear,4,1)-WEEKDAY(DATE(PlanYear,4,1),3)+12,"")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IF(MONTH(DATE(PlanYear,4,1)-WEEKDAY(DATE(PlanYear,4,1),3)+13)=4,DATE(PlanYear,4,1)-WEEKDAY(DATE(PlanYear,4,1),3)+13,"")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IF(MONTH(DATE(PlanYear,4,1)-WEEKDAY(DATE(PlanYear,4,1),3)+14)=4,DATE(PlanYear,4,1)-WEEKDAY(DATE(PlanYear,4,1),3)+14,"")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IF(MONTH(DATE(PlanYear,4,1)-WEEKDAY(DATE(PlanYear,4,1),3)+15)=4,DATE(PlanYear,4,1)-WEEKDAY(DATE(PlanYear,4,1),3)+15,"")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IF(MONTH(DATE(PlanYear,4,1)-WEEKDAY(DATE(PlanYear,4,1),3)+16)=4,DATE(PlanYear,4,1)-WEEKDAY(DATE(PlanYear,4,1),3)+16,"")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IF(MONTH(DATE(PlanYear,4,1)-WEEKDAY(DATE(PlanYear,4,1),3)+17)=4,DATE(PlanYear,4,1)-WEEKDAY(DATE(PlanYear,4,1),3)+17,"")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IF(MONTH(DATE(PlanYear,4,1)-WEEKDAY(DATE(PlanYear,4,1),3)+18)=4,DATE(PlanYear,4,1)-WEEKDAY(DATE(PlanYear,4,1),3)+18,"")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IF(MONTH(DATE(PlanYear,4,1)-WEEKDAY(DATE(PlanYear,4,1),3)+19)=4,DATE(PlanYear,4,1)-WEEKDAY(DATE(PlanYear,4,1),3)+19,"")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IF(MONTH(DATE(PlanYear,4,1)-WEEKDAY(DATE(PlanYear,4,1),3)+20)=4,DATE(PlanYear,4,1)-WEEKDAY(DATE(PlanYear,4,1),3)+20,"")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IF(MONTH(DATE(PlanYear,4,1)-WEEKDAY(DATE(PlanYear,4,1),3)+21)=4,DATE(PlanYear,4,1)-WEEKDAY(DATE(PlanYear,4,1),3)+21,"")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IF(MONTH(DATE(PlanYear,4,1)-WEEKDAY(DATE(PlanYear,4,1),3)+22)=4,DATE(PlanYear,4,1)-WEEKDAY(DATE(PlanYear,4,1),3)+22,"")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IF(MONTH(DATE(PlanYear,4,1)-WEEKDAY(DATE(PlanYear,4,1),3)+23)=4,DATE(PlanYear,4,1)-WEEKDAY(DATE(PlanYear,4,1),3)+23,"")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IF(MONTH(DATE(PlanYear,4,1)-WEEKDAY(DATE(PlanYear,4,1),3)+24)=4,DATE(PlanYear,4,1)-WEEKDAY(DATE(PlanYear,4,1),3)+24,"")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IF(MONTH(DATE(PlanYear,4,1)-WEEKDAY(DATE(PlanYear,4,1),3)+25)=4,DATE(PlanYear,4,1)-WEEKDAY(DATE(PlanYear,4,1),3)+25,"")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IF(MONTH(DATE(PlanYear,4,1)-WEEKDAY(DATE(PlanYear,4,1),3)+26)=4,DATE(PlanYear,4,1)-WEEKDAY(DATE(PlanYear,4,1),3)+26,"")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IF(MONTH(DATE(PlanYear,4,1)-WEEKDAY(DATE(PlanYear,4,1),3)+27)=4,DATE(PlanYear,4,1)-WEEKDAY(DATE(PlanYear,4,1),3)+27,"")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IF(MONTH(DATE(PlanYear,4,1)-WEEKDAY(DATE(PlanYear,4,1),3)+28)=4,DATE(PlanYear,4,1)-WEEKDAY(DATE(PlanYear,4,1),3)+28,"")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IF(MONTH(DATE(PlanYear,4,1)-WEEKDAY(DATE(PlanYear,4,1),3)+29)=4,DATE(PlanYear,4,1)-WEEKDAY(DATE(PlanYear,4,1),3)+29,"")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IF(MONTH(DATE(PlanYear,4,1)-WEEKDAY(DATE(PlanYear,4,1),3)+30)=4,DATE(PlanYear,4,1)-WEEKDAY(DATE(PlanYear,4,1),3)+30,"")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IF(MONTH(DATE(PlanYear,4,1)-WEEKDAY(DATE(PlanYear,4,1),3)+31)=4,DATE(PlanYear,4,1)-WEEKDAY(DATE(PlanYear,4,1),3)+31,"")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IF(MONTH(DATE(PlanYear,4,1)-WEEKDAY(DATE(PlanYear,4,1),3)+32)=4,DATE(PlanYear,4,1)-WEEKDAY(DATE(PlanYear,4,1),3)+32,"")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IF(MONTH(DATE(PlanYear,4,1)-WEEKDAY(DATE(PlanYear,4,1),3)+33)=4,DATE(PlanYear,4,1)-WEEKDAY(DATE(PlanYear,4,1),3)+33,"")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IF(MONTH(DATE(PlanYear,4,1)-WEEKDAY(DATE(PlanYear,4,1),3)+34)=4,DATE(PlanYear,4,1)-WEEKDAY(DATE(PlanYear,4,1),3)+34,"")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IF(MONTH(DATE(PlanYear,4,1)-WEEKDAY(DATE(PlanYear,4,1),3)+35)=4,DATE(PlanYear,4,1)-WEEKDAY(DATE(PlanYear,4,1),3)+35,"")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IF(MONTH(DATE(PlanYear,4,1)-WEEKDAY(DATE(PlanYear,4,1),3)+36)=4,DATE(PlanYear,4,1)-WEEKDAY(DATE(PlanYear,4,1),3)+36,"")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IF(MONTH(DATE(PlanYear,4,1)-WEEKDAY(DATE(PlanYear,4,1),3)+37)=4,DATE(PlanYear,4,1)-WEEKDAY(DATE(PlanYear,4,1),3)+37,"")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IF(MONTH(DATE(PlanYear,4,1)-WEEKDAY(DATE(PlanYear,4,1),3)+38)=4,DATE(PlanYear,4,1)-WEEKDAY(DATE(PlanYear,4,1),3)+38,"")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IF(MONTH(DATE(PlanYear,4,1)-WEEKDAY(DATE(PlanYear,4,1),3)+39)=4,DATE(PlanYear,4,1)-WEEKDAY(DATE(PlanYear,4,1),3)+39,"")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IF(MONTH(DATE(PlanYear,4,1)-WEEKDAY(DATE(PlanYear,4,1),3)+40)=4,DATE(PlanYear,4,1)-WEEKDAY(DATE(PlanYear,4,1),3)+40,"")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IF(MONTH(DATE(PlanYear,4,1)-WEEKDAY(DATE(PlanYear,4,1),3)+41)=4,DATE(PlanYear,4,1)-WEEKDAY(DATE(PlanYear,4,1),3)+41,"")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MAY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SUMIFS(FlCount,FlDate,"&gt;="&amp;DATE(PlanYear,5,1),FlDate,"&lt;="&amp;EOMONTH(DATE(PlanYear,5,1),0))</f>
        <v/>
      </c>
      <c r="J3" s="45" t="inlineStr">
        <is>
          <t>Planned flying hrs</t>
        </is>
      </c>
      <c r="L3" s="48">
        <f>SUMIFS(FlHrs,FlDate,"&gt;="&amp;DATE(PlanYear,5,1),FlDate,"&lt;="&amp;EOMONTH(DATE(PlanYear,5,1),0))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IF(MONTH(DATE(PlanYear,5,1)-WEEKDAY(DATE(PlanYear,5,1),3)+0)=5,DATE(PlanYear,5,1)-WEEKDAY(DATE(PlanYear,5,1),3)+0,"")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IF(MONTH(DATE(PlanYear,5,1)-WEEKDAY(DATE(PlanYear,5,1),3)+1)=5,DATE(PlanYear,5,1)-WEEKDAY(DATE(PlanYear,5,1),3)+1,"")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IF(MONTH(DATE(PlanYear,5,1)-WEEKDAY(DATE(PlanYear,5,1),3)+2)=5,DATE(PlanYear,5,1)-WEEKDAY(DATE(PlanYear,5,1),3)+2,"")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IF(MONTH(DATE(PlanYear,5,1)-WEEKDAY(DATE(PlanYear,5,1),3)+3)=5,DATE(PlanYear,5,1)-WEEKDAY(DATE(PlanYear,5,1),3)+3,"")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IF(MONTH(DATE(PlanYear,5,1)-WEEKDAY(DATE(PlanYear,5,1),3)+4)=5,DATE(PlanYear,5,1)-WEEKDAY(DATE(PlanYear,5,1),3)+4,"")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IF(MONTH(DATE(PlanYear,5,1)-WEEKDAY(DATE(PlanYear,5,1),3)+5)=5,DATE(PlanYear,5,1)-WEEKDAY(DATE(PlanYear,5,1),3)+5,"")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IF(MONTH(DATE(PlanYear,5,1)-WEEKDAY(DATE(PlanYear,5,1),3)+6)=5,DATE(PlanYear,5,1)-WEEKDAY(DATE(PlanYear,5,1),3)+6,"")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IF(MONTH(DATE(PlanYear,5,1)-WEEKDAY(DATE(PlanYear,5,1),3)+7)=5,DATE(PlanYear,5,1)-WEEKDAY(DATE(PlanYear,5,1),3)+7,"")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IF(MONTH(DATE(PlanYear,5,1)-WEEKDAY(DATE(PlanYear,5,1),3)+8)=5,DATE(PlanYear,5,1)-WEEKDAY(DATE(PlanYear,5,1),3)+8,"")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IF(MONTH(DATE(PlanYear,5,1)-WEEKDAY(DATE(PlanYear,5,1),3)+9)=5,DATE(PlanYear,5,1)-WEEKDAY(DATE(PlanYear,5,1),3)+9,"")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IF(MONTH(DATE(PlanYear,5,1)-WEEKDAY(DATE(PlanYear,5,1),3)+10)=5,DATE(PlanYear,5,1)-WEEKDAY(DATE(PlanYear,5,1),3)+10,"")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IF(MONTH(DATE(PlanYear,5,1)-WEEKDAY(DATE(PlanYear,5,1),3)+11)=5,DATE(PlanYear,5,1)-WEEKDAY(DATE(PlanYear,5,1),3)+11,"")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IF(MONTH(DATE(PlanYear,5,1)-WEEKDAY(DATE(PlanYear,5,1),3)+12)=5,DATE(PlanYear,5,1)-WEEKDAY(DATE(PlanYear,5,1),3)+12,"")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IF(MONTH(DATE(PlanYear,5,1)-WEEKDAY(DATE(PlanYear,5,1),3)+13)=5,DATE(PlanYear,5,1)-WEEKDAY(DATE(PlanYear,5,1),3)+13,"")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IF(MONTH(DATE(PlanYear,5,1)-WEEKDAY(DATE(PlanYear,5,1),3)+14)=5,DATE(PlanYear,5,1)-WEEKDAY(DATE(PlanYear,5,1),3)+14,"")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IF(MONTH(DATE(PlanYear,5,1)-WEEKDAY(DATE(PlanYear,5,1),3)+15)=5,DATE(PlanYear,5,1)-WEEKDAY(DATE(PlanYear,5,1),3)+15,"")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IF(MONTH(DATE(PlanYear,5,1)-WEEKDAY(DATE(PlanYear,5,1),3)+16)=5,DATE(PlanYear,5,1)-WEEKDAY(DATE(PlanYear,5,1),3)+16,"")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IF(MONTH(DATE(PlanYear,5,1)-WEEKDAY(DATE(PlanYear,5,1),3)+17)=5,DATE(PlanYear,5,1)-WEEKDAY(DATE(PlanYear,5,1),3)+17,"")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IF(MONTH(DATE(PlanYear,5,1)-WEEKDAY(DATE(PlanYear,5,1),3)+18)=5,DATE(PlanYear,5,1)-WEEKDAY(DATE(PlanYear,5,1),3)+18,"")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IF(MONTH(DATE(PlanYear,5,1)-WEEKDAY(DATE(PlanYear,5,1),3)+19)=5,DATE(PlanYear,5,1)-WEEKDAY(DATE(PlanYear,5,1),3)+19,"")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IF(MONTH(DATE(PlanYear,5,1)-WEEKDAY(DATE(PlanYear,5,1),3)+20)=5,DATE(PlanYear,5,1)-WEEKDAY(DATE(PlanYear,5,1),3)+20,"")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IF(MONTH(DATE(PlanYear,5,1)-WEEKDAY(DATE(PlanYear,5,1),3)+21)=5,DATE(PlanYear,5,1)-WEEKDAY(DATE(PlanYear,5,1),3)+21,"")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IF(MONTH(DATE(PlanYear,5,1)-WEEKDAY(DATE(PlanYear,5,1),3)+22)=5,DATE(PlanYear,5,1)-WEEKDAY(DATE(PlanYear,5,1),3)+22,"")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IF(MONTH(DATE(PlanYear,5,1)-WEEKDAY(DATE(PlanYear,5,1),3)+23)=5,DATE(PlanYear,5,1)-WEEKDAY(DATE(PlanYear,5,1),3)+23,"")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IF(MONTH(DATE(PlanYear,5,1)-WEEKDAY(DATE(PlanYear,5,1),3)+24)=5,DATE(PlanYear,5,1)-WEEKDAY(DATE(PlanYear,5,1),3)+24,"")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IF(MONTH(DATE(PlanYear,5,1)-WEEKDAY(DATE(PlanYear,5,1),3)+25)=5,DATE(PlanYear,5,1)-WEEKDAY(DATE(PlanYear,5,1),3)+25,"")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IF(MONTH(DATE(PlanYear,5,1)-WEEKDAY(DATE(PlanYear,5,1),3)+26)=5,DATE(PlanYear,5,1)-WEEKDAY(DATE(PlanYear,5,1),3)+26,"")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IF(MONTH(DATE(PlanYear,5,1)-WEEKDAY(DATE(PlanYear,5,1),3)+27)=5,DATE(PlanYear,5,1)-WEEKDAY(DATE(PlanYear,5,1),3)+27,"")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IF(MONTH(DATE(PlanYear,5,1)-WEEKDAY(DATE(PlanYear,5,1),3)+28)=5,DATE(PlanYear,5,1)-WEEKDAY(DATE(PlanYear,5,1),3)+28,"")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IF(MONTH(DATE(PlanYear,5,1)-WEEKDAY(DATE(PlanYear,5,1),3)+29)=5,DATE(PlanYear,5,1)-WEEKDAY(DATE(PlanYear,5,1),3)+29,"")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IF(MONTH(DATE(PlanYear,5,1)-WEEKDAY(DATE(PlanYear,5,1),3)+30)=5,DATE(PlanYear,5,1)-WEEKDAY(DATE(PlanYear,5,1),3)+30,"")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IF(MONTH(DATE(PlanYear,5,1)-WEEKDAY(DATE(PlanYear,5,1),3)+31)=5,DATE(PlanYear,5,1)-WEEKDAY(DATE(PlanYear,5,1),3)+31,"")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IF(MONTH(DATE(PlanYear,5,1)-WEEKDAY(DATE(PlanYear,5,1),3)+32)=5,DATE(PlanYear,5,1)-WEEKDAY(DATE(PlanYear,5,1),3)+32,"")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IF(MONTH(DATE(PlanYear,5,1)-WEEKDAY(DATE(PlanYear,5,1),3)+33)=5,DATE(PlanYear,5,1)-WEEKDAY(DATE(PlanYear,5,1),3)+33,"")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IF(MONTH(DATE(PlanYear,5,1)-WEEKDAY(DATE(PlanYear,5,1),3)+34)=5,DATE(PlanYear,5,1)-WEEKDAY(DATE(PlanYear,5,1),3)+34,"")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IF(MONTH(DATE(PlanYear,5,1)-WEEKDAY(DATE(PlanYear,5,1),3)+35)=5,DATE(PlanYear,5,1)-WEEKDAY(DATE(PlanYear,5,1),3)+35,"")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IF(MONTH(DATE(PlanYear,5,1)-WEEKDAY(DATE(PlanYear,5,1),3)+36)=5,DATE(PlanYear,5,1)-WEEKDAY(DATE(PlanYear,5,1),3)+36,"")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IF(MONTH(DATE(PlanYear,5,1)-WEEKDAY(DATE(PlanYear,5,1),3)+37)=5,DATE(PlanYear,5,1)-WEEKDAY(DATE(PlanYear,5,1),3)+37,"")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IF(MONTH(DATE(PlanYear,5,1)-WEEKDAY(DATE(PlanYear,5,1),3)+38)=5,DATE(PlanYear,5,1)-WEEKDAY(DATE(PlanYear,5,1),3)+38,"")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IF(MONTH(DATE(PlanYear,5,1)-WEEKDAY(DATE(PlanYear,5,1),3)+39)=5,DATE(PlanYear,5,1)-WEEKDAY(DATE(PlanYear,5,1),3)+39,"")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IF(MONTH(DATE(PlanYear,5,1)-WEEKDAY(DATE(PlanYear,5,1),3)+40)=5,DATE(PlanYear,5,1)-WEEKDAY(DATE(PlanYear,5,1),3)+40,"")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IF(MONTH(DATE(PlanYear,5,1)-WEEKDAY(DATE(PlanYear,5,1),3)+41)=5,DATE(PlanYear,5,1)-WEEKDAY(DATE(PlanYear,5,1),3)+41,"")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JUNE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SUMIFS(FlCount,FlDate,"&gt;="&amp;DATE(PlanYear,6,1),FlDate,"&lt;="&amp;EOMONTH(DATE(PlanYear,6,1),0))</f>
        <v/>
      </c>
      <c r="J3" s="45" t="inlineStr">
        <is>
          <t>Planned flying hrs</t>
        </is>
      </c>
      <c r="L3" s="48">
        <f>SUMIFS(FlHrs,FlDate,"&gt;="&amp;DATE(PlanYear,6,1),FlDate,"&lt;="&amp;EOMONTH(DATE(PlanYear,6,1),0))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IF(MONTH(DATE(PlanYear,6,1)-WEEKDAY(DATE(PlanYear,6,1),3)+0)=6,DATE(PlanYear,6,1)-WEEKDAY(DATE(PlanYear,6,1),3)+0,"")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IF(MONTH(DATE(PlanYear,6,1)-WEEKDAY(DATE(PlanYear,6,1),3)+1)=6,DATE(PlanYear,6,1)-WEEKDAY(DATE(PlanYear,6,1),3)+1,"")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IF(MONTH(DATE(PlanYear,6,1)-WEEKDAY(DATE(PlanYear,6,1),3)+2)=6,DATE(PlanYear,6,1)-WEEKDAY(DATE(PlanYear,6,1),3)+2,"")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IF(MONTH(DATE(PlanYear,6,1)-WEEKDAY(DATE(PlanYear,6,1),3)+3)=6,DATE(PlanYear,6,1)-WEEKDAY(DATE(PlanYear,6,1),3)+3,"")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IF(MONTH(DATE(PlanYear,6,1)-WEEKDAY(DATE(PlanYear,6,1),3)+4)=6,DATE(PlanYear,6,1)-WEEKDAY(DATE(PlanYear,6,1),3)+4,"")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IF(MONTH(DATE(PlanYear,6,1)-WEEKDAY(DATE(PlanYear,6,1),3)+5)=6,DATE(PlanYear,6,1)-WEEKDAY(DATE(PlanYear,6,1),3)+5,"")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IF(MONTH(DATE(PlanYear,6,1)-WEEKDAY(DATE(PlanYear,6,1),3)+6)=6,DATE(PlanYear,6,1)-WEEKDAY(DATE(PlanYear,6,1),3)+6,"")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IF(MONTH(DATE(PlanYear,6,1)-WEEKDAY(DATE(PlanYear,6,1),3)+7)=6,DATE(PlanYear,6,1)-WEEKDAY(DATE(PlanYear,6,1),3)+7,"")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IF(MONTH(DATE(PlanYear,6,1)-WEEKDAY(DATE(PlanYear,6,1),3)+8)=6,DATE(PlanYear,6,1)-WEEKDAY(DATE(PlanYear,6,1),3)+8,"")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IF(MONTH(DATE(PlanYear,6,1)-WEEKDAY(DATE(PlanYear,6,1),3)+9)=6,DATE(PlanYear,6,1)-WEEKDAY(DATE(PlanYear,6,1),3)+9,"")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IF(MONTH(DATE(PlanYear,6,1)-WEEKDAY(DATE(PlanYear,6,1),3)+10)=6,DATE(PlanYear,6,1)-WEEKDAY(DATE(PlanYear,6,1),3)+10,"")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IF(MONTH(DATE(PlanYear,6,1)-WEEKDAY(DATE(PlanYear,6,1),3)+11)=6,DATE(PlanYear,6,1)-WEEKDAY(DATE(PlanYear,6,1),3)+11,"")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IF(MONTH(DATE(PlanYear,6,1)-WEEKDAY(DATE(PlanYear,6,1),3)+12)=6,DATE(PlanYear,6,1)-WEEKDAY(DATE(PlanYear,6,1),3)+12,"")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IF(MONTH(DATE(PlanYear,6,1)-WEEKDAY(DATE(PlanYear,6,1),3)+13)=6,DATE(PlanYear,6,1)-WEEKDAY(DATE(PlanYear,6,1),3)+13,"")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IF(MONTH(DATE(PlanYear,6,1)-WEEKDAY(DATE(PlanYear,6,1),3)+14)=6,DATE(PlanYear,6,1)-WEEKDAY(DATE(PlanYear,6,1),3)+14,"")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IF(MONTH(DATE(PlanYear,6,1)-WEEKDAY(DATE(PlanYear,6,1),3)+15)=6,DATE(PlanYear,6,1)-WEEKDAY(DATE(PlanYear,6,1),3)+15,"")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IF(MONTH(DATE(PlanYear,6,1)-WEEKDAY(DATE(PlanYear,6,1),3)+16)=6,DATE(PlanYear,6,1)-WEEKDAY(DATE(PlanYear,6,1),3)+16,"")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IF(MONTH(DATE(PlanYear,6,1)-WEEKDAY(DATE(PlanYear,6,1),3)+17)=6,DATE(PlanYear,6,1)-WEEKDAY(DATE(PlanYear,6,1),3)+17,"")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IF(MONTH(DATE(PlanYear,6,1)-WEEKDAY(DATE(PlanYear,6,1),3)+18)=6,DATE(PlanYear,6,1)-WEEKDAY(DATE(PlanYear,6,1),3)+18,"")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IF(MONTH(DATE(PlanYear,6,1)-WEEKDAY(DATE(PlanYear,6,1),3)+19)=6,DATE(PlanYear,6,1)-WEEKDAY(DATE(PlanYear,6,1),3)+19,"")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IF(MONTH(DATE(PlanYear,6,1)-WEEKDAY(DATE(PlanYear,6,1),3)+20)=6,DATE(PlanYear,6,1)-WEEKDAY(DATE(PlanYear,6,1),3)+20,"")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IF(MONTH(DATE(PlanYear,6,1)-WEEKDAY(DATE(PlanYear,6,1),3)+21)=6,DATE(PlanYear,6,1)-WEEKDAY(DATE(PlanYear,6,1),3)+21,"")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IF(MONTH(DATE(PlanYear,6,1)-WEEKDAY(DATE(PlanYear,6,1),3)+22)=6,DATE(PlanYear,6,1)-WEEKDAY(DATE(PlanYear,6,1),3)+22,"")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IF(MONTH(DATE(PlanYear,6,1)-WEEKDAY(DATE(PlanYear,6,1),3)+23)=6,DATE(PlanYear,6,1)-WEEKDAY(DATE(PlanYear,6,1),3)+23,"")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IF(MONTH(DATE(PlanYear,6,1)-WEEKDAY(DATE(PlanYear,6,1),3)+24)=6,DATE(PlanYear,6,1)-WEEKDAY(DATE(PlanYear,6,1),3)+24,"")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IF(MONTH(DATE(PlanYear,6,1)-WEEKDAY(DATE(PlanYear,6,1),3)+25)=6,DATE(PlanYear,6,1)-WEEKDAY(DATE(PlanYear,6,1),3)+25,"")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IF(MONTH(DATE(PlanYear,6,1)-WEEKDAY(DATE(PlanYear,6,1),3)+26)=6,DATE(PlanYear,6,1)-WEEKDAY(DATE(PlanYear,6,1),3)+26,"")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IF(MONTH(DATE(PlanYear,6,1)-WEEKDAY(DATE(PlanYear,6,1),3)+27)=6,DATE(PlanYear,6,1)-WEEKDAY(DATE(PlanYear,6,1),3)+27,"")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IF(MONTH(DATE(PlanYear,6,1)-WEEKDAY(DATE(PlanYear,6,1),3)+28)=6,DATE(PlanYear,6,1)-WEEKDAY(DATE(PlanYear,6,1),3)+28,"")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IF(MONTH(DATE(PlanYear,6,1)-WEEKDAY(DATE(PlanYear,6,1),3)+29)=6,DATE(PlanYear,6,1)-WEEKDAY(DATE(PlanYear,6,1),3)+29,"")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IF(MONTH(DATE(PlanYear,6,1)-WEEKDAY(DATE(PlanYear,6,1),3)+30)=6,DATE(PlanYear,6,1)-WEEKDAY(DATE(PlanYear,6,1),3)+30,"")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IF(MONTH(DATE(PlanYear,6,1)-WEEKDAY(DATE(PlanYear,6,1),3)+31)=6,DATE(PlanYear,6,1)-WEEKDAY(DATE(PlanYear,6,1),3)+31,"")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IF(MONTH(DATE(PlanYear,6,1)-WEEKDAY(DATE(PlanYear,6,1),3)+32)=6,DATE(PlanYear,6,1)-WEEKDAY(DATE(PlanYear,6,1),3)+32,"")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IF(MONTH(DATE(PlanYear,6,1)-WEEKDAY(DATE(PlanYear,6,1),3)+33)=6,DATE(PlanYear,6,1)-WEEKDAY(DATE(PlanYear,6,1),3)+33,"")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IF(MONTH(DATE(PlanYear,6,1)-WEEKDAY(DATE(PlanYear,6,1),3)+34)=6,DATE(PlanYear,6,1)-WEEKDAY(DATE(PlanYear,6,1),3)+34,"")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IF(MONTH(DATE(PlanYear,6,1)-WEEKDAY(DATE(PlanYear,6,1),3)+35)=6,DATE(PlanYear,6,1)-WEEKDAY(DATE(PlanYear,6,1),3)+35,"")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IF(MONTH(DATE(PlanYear,6,1)-WEEKDAY(DATE(PlanYear,6,1),3)+36)=6,DATE(PlanYear,6,1)-WEEKDAY(DATE(PlanYear,6,1),3)+36,"")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IF(MONTH(DATE(PlanYear,6,1)-WEEKDAY(DATE(PlanYear,6,1),3)+37)=6,DATE(PlanYear,6,1)-WEEKDAY(DATE(PlanYear,6,1),3)+37,"")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IF(MONTH(DATE(PlanYear,6,1)-WEEKDAY(DATE(PlanYear,6,1),3)+38)=6,DATE(PlanYear,6,1)-WEEKDAY(DATE(PlanYear,6,1),3)+38,"")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IF(MONTH(DATE(PlanYear,6,1)-WEEKDAY(DATE(PlanYear,6,1),3)+39)=6,DATE(PlanYear,6,1)-WEEKDAY(DATE(PlanYear,6,1),3)+39,"")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IF(MONTH(DATE(PlanYear,6,1)-WEEKDAY(DATE(PlanYear,6,1),3)+40)=6,DATE(PlanYear,6,1)-WEEKDAY(DATE(PlanYear,6,1),3)+40,"")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IF(MONTH(DATE(PlanYear,6,1)-WEEKDAY(DATE(PlanYear,6,1),3)+41)=6,DATE(PlanYear,6,1)-WEEKDAY(DATE(PlanYear,6,1),3)+41,"")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JULY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SUMIFS(FlCount,FlDate,"&gt;="&amp;DATE(PlanYear,7,1),FlDate,"&lt;="&amp;EOMONTH(DATE(PlanYear,7,1),0))</f>
        <v/>
      </c>
      <c r="J3" s="45" t="inlineStr">
        <is>
          <t>Planned flying hrs</t>
        </is>
      </c>
      <c r="L3" s="48">
        <f>SUMIFS(FlHrs,FlDate,"&gt;="&amp;DATE(PlanYear,7,1),FlDate,"&lt;="&amp;EOMONTH(DATE(PlanYear,7,1),0))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IF(MONTH(DATE(PlanYear,7,1)-WEEKDAY(DATE(PlanYear,7,1),3)+0)=7,DATE(PlanYear,7,1)-WEEKDAY(DATE(PlanYear,7,1),3)+0,"")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IF(MONTH(DATE(PlanYear,7,1)-WEEKDAY(DATE(PlanYear,7,1),3)+1)=7,DATE(PlanYear,7,1)-WEEKDAY(DATE(PlanYear,7,1),3)+1,"")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IF(MONTH(DATE(PlanYear,7,1)-WEEKDAY(DATE(PlanYear,7,1),3)+2)=7,DATE(PlanYear,7,1)-WEEKDAY(DATE(PlanYear,7,1),3)+2,"")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IF(MONTH(DATE(PlanYear,7,1)-WEEKDAY(DATE(PlanYear,7,1),3)+3)=7,DATE(PlanYear,7,1)-WEEKDAY(DATE(PlanYear,7,1),3)+3,"")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IF(MONTH(DATE(PlanYear,7,1)-WEEKDAY(DATE(PlanYear,7,1),3)+4)=7,DATE(PlanYear,7,1)-WEEKDAY(DATE(PlanYear,7,1),3)+4,"")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IF(MONTH(DATE(PlanYear,7,1)-WEEKDAY(DATE(PlanYear,7,1),3)+5)=7,DATE(PlanYear,7,1)-WEEKDAY(DATE(PlanYear,7,1),3)+5,"")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IF(MONTH(DATE(PlanYear,7,1)-WEEKDAY(DATE(PlanYear,7,1),3)+6)=7,DATE(PlanYear,7,1)-WEEKDAY(DATE(PlanYear,7,1),3)+6,"")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IF(MONTH(DATE(PlanYear,7,1)-WEEKDAY(DATE(PlanYear,7,1),3)+7)=7,DATE(PlanYear,7,1)-WEEKDAY(DATE(PlanYear,7,1),3)+7,"")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IF(MONTH(DATE(PlanYear,7,1)-WEEKDAY(DATE(PlanYear,7,1),3)+8)=7,DATE(PlanYear,7,1)-WEEKDAY(DATE(PlanYear,7,1),3)+8,"")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IF(MONTH(DATE(PlanYear,7,1)-WEEKDAY(DATE(PlanYear,7,1),3)+9)=7,DATE(PlanYear,7,1)-WEEKDAY(DATE(PlanYear,7,1),3)+9,"")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IF(MONTH(DATE(PlanYear,7,1)-WEEKDAY(DATE(PlanYear,7,1),3)+10)=7,DATE(PlanYear,7,1)-WEEKDAY(DATE(PlanYear,7,1),3)+10,"")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IF(MONTH(DATE(PlanYear,7,1)-WEEKDAY(DATE(PlanYear,7,1),3)+11)=7,DATE(PlanYear,7,1)-WEEKDAY(DATE(PlanYear,7,1),3)+11,"")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IF(MONTH(DATE(PlanYear,7,1)-WEEKDAY(DATE(PlanYear,7,1),3)+12)=7,DATE(PlanYear,7,1)-WEEKDAY(DATE(PlanYear,7,1),3)+12,"")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IF(MONTH(DATE(PlanYear,7,1)-WEEKDAY(DATE(PlanYear,7,1),3)+13)=7,DATE(PlanYear,7,1)-WEEKDAY(DATE(PlanYear,7,1),3)+13,"")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IF(MONTH(DATE(PlanYear,7,1)-WEEKDAY(DATE(PlanYear,7,1),3)+14)=7,DATE(PlanYear,7,1)-WEEKDAY(DATE(PlanYear,7,1),3)+14,"")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IF(MONTH(DATE(PlanYear,7,1)-WEEKDAY(DATE(PlanYear,7,1),3)+15)=7,DATE(PlanYear,7,1)-WEEKDAY(DATE(PlanYear,7,1),3)+15,"")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IF(MONTH(DATE(PlanYear,7,1)-WEEKDAY(DATE(PlanYear,7,1),3)+16)=7,DATE(PlanYear,7,1)-WEEKDAY(DATE(PlanYear,7,1),3)+16,"")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IF(MONTH(DATE(PlanYear,7,1)-WEEKDAY(DATE(PlanYear,7,1),3)+17)=7,DATE(PlanYear,7,1)-WEEKDAY(DATE(PlanYear,7,1),3)+17,"")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IF(MONTH(DATE(PlanYear,7,1)-WEEKDAY(DATE(PlanYear,7,1),3)+18)=7,DATE(PlanYear,7,1)-WEEKDAY(DATE(PlanYear,7,1),3)+18,"")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IF(MONTH(DATE(PlanYear,7,1)-WEEKDAY(DATE(PlanYear,7,1),3)+19)=7,DATE(PlanYear,7,1)-WEEKDAY(DATE(PlanYear,7,1),3)+19,"")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IF(MONTH(DATE(PlanYear,7,1)-WEEKDAY(DATE(PlanYear,7,1),3)+20)=7,DATE(PlanYear,7,1)-WEEKDAY(DATE(PlanYear,7,1),3)+20,"")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IF(MONTH(DATE(PlanYear,7,1)-WEEKDAY(DATE(PlanYear,7,1),3)+21)=7,DATE(PlanYear,7,1)-WEEKDAY(DATE(PlanYear,7,1),3)+21,"")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IF(MONTH(DATE(PlanYear,7,1)-WEEKDAY(DATE(PlanYear,7,1),3)+22)=7,DATE(PlanYear,7,1)-WEEKDAY(DATE(PlanYear,7,1),3)+22,"")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IF(MONTH(DATE(PlanYear,7,1)-WEEKDAY(DATE(PlanYear,7,1),3)+23)=7,DATE(PlanYear,7,1)-WEEKDAY(DATE(PlanYear,7,1),3)+23,"")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IF(MONTH(DATE(PlanYear,7,1)-WEEKDAY(DATE(PlanYear,7,1),3)+24)=7,DATE(PlanYear,7,1)-WEEKDAY(DATE(PlanYear,7,1),3)+24,"")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IF(MONTH(DATE(PlanYear,7,1)-WEEKDAY(DATE(PlanYear,7,1),3)+25)=7,DATE(PlanYear,7,1)-WEEKDAY(DATE(PlanYear,7,1),3)+25,"")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IF(MONTH(DATE(PlanYear,7,1)-WEEKDAY(DATE(PlanYear,7,1),3)+26)=7,DATE(PlanYear,7,1)-WEEKDAY(DATE(PlanYear,7,1),3)+26,"")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IF(MONTH(DATE(PlanYear,7,1)-WEEKDAY(DATE(PlanYear,7,1),3)+27)=7,DATE(PlanYear,7,1)-WEEKDAY(DATE(PlanYear,7,1),3)+27,"")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IF(MONTH(DATE(PlanYear,7,1)-WEEKDAY(DATE(PlanYear,7,1),3)+28)=7,DATE(PlanYear,7,1)-WEEKDAY(DATE(PlanYear,7,1),3)+28,"")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IF(MONTH(DATE(PlanYear,7,1)-WEEKDAY(DATE(PlanYear,7,1),3)+29)=7,DATE(PlanYear,7,1)-WEEKDAY(DATE(PlanYear,7,1),3)+29,"")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IF(MONTH(DATE(PlanYear,7,1)-WEEKDAY(DATE(PlanYear,7,1),3)+30)=7,DATE(PlanYear,7,1)-WEEKDAY(DATE(PlanYear,7,1),3)+30,"")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IF(MONTH(DATE(PlanYear,7,1)-WEEKDAY(DATE(PlanYear,7,1),3)+31)=7,DATE(PlanYear,7,1)-WEEKDAY(DATE(PlanYear,7,1),3)+31,"")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IF(MONTH(DATE(PlanYear,7,1)-WEEKDAY(DATE(PlanYear,7,1),3)+32)=7,DATE(PlanYear,7,1)-WEEKDAY(DATE(PlanYear,7,1),3)+32,"")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IF(MONTH(DATE(PlanYear,7,1)-WEEKDAY(DATE(PlanYear,7,1),3)+33)=7,DATE(PlanYear,7,1)-WEEKDAY(DATE(PlanYear,7,1),3)+33,"")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IF(MONTH(DATE(PlanYear,7,1)-WEEKDAY(DATE(PlanYear,7,1),3)+34)=7,DATE(PlanYear,7,1)-WEEKDAY(DATE(PlanYear,7,1),3)+34,"")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IF(MONTH(DATE(PlanYear,7,1)-WEEKDAY(DATE(PlanYear,7,1),3)+35)=7,DATE(PlanYear,7,1)-WEEKDAY(DATE(PlanYear,7,1),3)+35,"")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IF(MONTH(DATE(PlanYear,7,1)-WEEKDAY(DATE(PlanYear,7,1),3)+36)=7,DATE(PlanYear,7,1)-WEEKDAY(DATE(PlanYear,7,1),3)+36,"")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IF(MONTH(DATE(PlanYear,7,1)-WEEKDAY(DATE(PlanYear,7,1),3)+37)=7,DATE(PlanYear,7,1)-WEEKDAY(DATE(PlanYear,7,1),3)+37,"")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IF(MONTH(DATE(PlanYear,7,1)-WEEKDAY(DATE(PlanYear,7,1),3)+38)=7,DATE(PlanYear,7,1)-WEEKDAY(DATE(PlanYear,7,1),3)+38,"")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IF(MONTH(DATE(PlanYear,7,1)-WEEKDAY(DATE(PlanYear,7,1),3)+39)=7,DATE(PlanYear,7,1)-WEEKDAY(DATE(PlanYear,7,1),3)+39,"")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IF(MONTH(DATE(PlanYear,7,1)-WEEKDAY(DATE(PlanYear,7,1),3)+40)=7,DATE(PlanYear,7,1)-WEEKDAY(DATE(PlanYear,7,1),3)+40,"")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IF(MONTH(DATE(PlanYear,7,1)-WEEKDAY(DATE(PlanYear,7,1),3)+41)=7,DATE(PlanYear,7,1)-WEEKDAY(DATE(PlanYear,7,1),3)+41,"")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AUGUST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SUMIFS(FlCount,FlDate,"&gt;="&amp;DATE(PlanYear,8,1),FlDate,"&lt;="&amp;EOMONTH(DATE(PlanYear,8,1),0))</f>
        <v/>
      </c>
      <c r="J3" s="45" t="inlineStr">
        <is>
          <t>Planned flying hrs</t>
        </is>
      </c>
      <c r="L3" s="48">
        <f>SUMIFS(FlHrs,FlDate,"&gt;="&amp;DATE(PlanYear,8,1),FlDate,"&lt;="&amp;EOMONTH(DATE(PlanYear,8,1),0))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IF(MONTH(DATE(PlanYear,8,1)-WEEKDAY(DATE(PlanYear,8,1),3)+0)=8,DATE(PlanYear,8,1)-WEEKDAY(DATE(PlanYear,8,1),3)+0,"")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IF(MONTH(DATE(PlanYear,8,1)-WEEKDAY(DATE(PlanYear,8,1),3)+1)=8,DATE(PlanYear,8,1)-WEEKDAY(DATE(PlanYear,8,1),3)+1,"")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IF(MONTH(DATE(PlanYear,8,1)-WEEKDAY(DATE(PlanYear,8,1),3)+2)=8,DATE(PlanYear,8,1)-WEEKDAY(DATE(PlanYear,8,1),3)+2,"")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IF(MONTH(DATE(PlanYear,8,1)-WEEKDAY(DATE(PlanYear,8,1),3)+3)=8,DATE(PlanYear,8,1)-WEEKDAY(DATE(PlanYear,8,1),3)+3,"")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IF(MONTH(DATE(PlanYear,8,1)-WEEKDAY(DATE(PlanYear,8,1),3)+4)=8,DATE(PlanYear,8,1)-WEEKDAY(DATE(PlanYear,8,1),3)+4,"")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IF(MONTH(DATE(PlanYear,8,1)-WEEKDAY(DATE(PlanYear,8,1),3)+5)=8,DATE(PlanYear,8,1)-WEEKDAY(DATE(PlanYear,8,1),3)+5,"")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IF(MONTH(DATE(PlanYear,8,1)-WEEKDAY(DATE(PlanYear,8,1),3)+6)=8,DATE(PlanYear,8,1)-WEEKDAY(DATE(PlanYear,8,1),3)+6,"")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IF(MONTH(DATE(PlanYear,8,1)-WEEKDAY(DATE(PlanYear,8,1),3)+7)=8,DATE(PlanYear,8,1)-WEEKDAY(DATE(PlanYear,8,1),3)+7,"")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IF(MONTH(DATE(PlanYear,8,1)-WEEKDAY(DATE(PlanYear,8,1),3)+8)=8,DATE(PlanYear,8,1)-WEEKDAY(DATE(PlanYear,8,1),3)+8,"")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IF(MONTH(DATE(PlanYear,8,1)-WEEKDAY(DATE(PlanYear,8,1),3)+9)=8,DATE(PlanYear,8,1)-WEEKDAY(DATE(PlanYear,8,1),3)+9,"")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IF(MONTH(DATE(PlanYear,8,1)-WEEKDAY(DATE(PlanYear,8,1),3)+10)=8,DATE(PlanYear,8,1)-WEEKDAY(DATE(PlanYear,8,1),3)+10,"")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IF(MONTH(DATE(PlanYear,8,1)-WEEKDAY(DATE(PlanYear,8,1),3)+11)=8,DATE(PlanYear,8,1)-WEEKDAY(DATE(PlanYear,8,1),3)+11,"")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IF(MONTH(DATE(PlanYear,8,1)-WEEKDAY(DATE(PlanYear,8,1),3)+12)=8,DATE(PlanYear,8,1)-WEEKDAY(DATE(PlanYear,8,1),3)+12,"")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IF(MONTH(DATE(PlanYear,8,1)-WEEKDAY(DATE(PlanYear,8,1),3)+13)=8,DATE(PlanYear,8,1)-WEEKDAY(DATE(PlanYear,8,1),3)+13,"")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IF(MONTH(DATE(PlanYear,8,1)-WEEKDAY(DATE(PlanYear,8,1),3)+14)=8,DATE(PlanYear,8,1)-WEEKDAY(DATE(PlanYear,8,1),3)+14,"")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IF(MONTH(DATE(PlanYear,8,1)-WEEKDAY(DATE(PlanYear,8,1),3)+15)=8,DATE(PlanYear,8,1)-WEEKDAY(DATE(PlanYear,8,1),3)+15,"")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IF(MONTH(DATE(PlanYear,8,1)-WEEKDAY(DATE(PlanYear,8,1),3)+16)=8,DATE(PlanYear,8,1)-WEEKDAY(DATE(PlanYear,8,1),3)+16,"")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IF(MONTH(DATE(PlanYear,8,1)-WEEKDAY(DATE(PlanYear,8,1),3)+17)=8,DATE(PlanYear,8,1)-WEEKDAY(DATE(PlanYear,8,1),3)+17,"")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IF(MONTH(DATE(PlanYear,8,1)-WEEKDAY(DATE(PlanYear,8,1),3)+18)=8,DATE(PlanYear,8,1)-WEEKDAY(DATE(PlanYear,8,1),3)+18,"")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IF(MONTH(DATE(PlanYear,8,1)-WEEKDAY(DATE(PlanYear,8,1),3)+19)=8,DATE(PlanYear,8,1)-WEEKDAY(DATE(PlanYear,8,1),3)+19,"")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IF(MONTH(DATE(PlanYear,8,1)-WEEKDAY(DATE(PlanYear,8,1),3)+20)=8,DATE(PlanYear,8,1)-WEEKDAY(DATE(PlanYear,8,1),3)+20,"")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IF(MONTH(DATE(PlanYear,8,1)-WEEKDAY(DATE(PlanYear,8,1),3)+21)=8,DATE(PlanYear,8,1)-WEEKDAY(DATE(PlanYear,8,1),3)+21,"")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IF(MONTH(DATE(PlanYear,8,1)-WEEKDAY(DATE(PlanYear,8,1),3)+22)=8,DATE(PlanYear,8,1)-WEEKDAY(DATE(PlanYear,8,1),3)+22,"")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IF(MONTH(DATE(PlanYear,8,1)-WEEKDAY(DATE(PlanYear,8,1),3)+23)=8,DATE(PlanYear,8,1)-WEEKDAY(DATE(PlanYear,8,1),3)+23,"")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IF(MONTH(DATE(PlanYear,8,1)-WEEKDAY(DATE(PlanYear,8,1),3)+24)=8,DATE(PlanYear,8,1)-WEEKDAY(DATE(PlanYear,8,1),3)+24,"")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IF(MONTH(DATE(PlanYear,8,1)-WEEKDAY(DATE(PlanYear,8,1),3)+25)=8,DATE(PlanYear,8,1)-WEEKDAY(DATE(PlanYear,8,1),3)+25,"")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IF(MONTH(DATE(PlanYear,8,1)-WEEKDAY(DATE(PlanYear,8,1),3)+26)=8,DATE(PlanYear,8,1)-WEEKDAY(DATE(PlanYear,8,1),3)+26,"")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IF(MONTH(DATE(PlanYear,8,1)-WEEKDAY(DATE(PlanYear,8,1),3)+27)=8,DATE(PlanYear,8,1)-WEEKDAY(DATE(PlanYear,8,1),3)+27,"")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IF(MONTH(DATE(PlanYear,8,1)-WEEKDAY(DATE(PlanYear,8,1),3)+28)=8,DATE(PlanYear,8,1)-WEEKDAY(DATE(PlanYear,8,1),3)+28,"")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IF(MONTH(DATE(PlanYear,8,1)-WEEKDAY(DATE(PlanYear,8,1),3)+29)=8,DATE(PlanYear,8,1)-WEEKDAY(DATE(PlanYear,8,1),3)+29,"")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IF(MONTH(DATE(PlanYear,8,1)-WEEKDAY(DATE(PlanYear,8,1),3)+30)=8,DATE(PlanYear,8,1)-WEEKDAY(DATE(PlanYear,8,1),3)+30,"")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IF(MONTH(DATE(PlanYear,8,1)-WEEKDAY(DATE(PlanYear,8,1),3)+31)=8,DATE(PlanYear,8,1)-WEEKDAY(DATE(PlanYear,8,1),3)+31,"")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IF(MONTH(DATE(PlanYear,8,1)-WEEKDAY(DATE(PlanYear,8,1),3)+32)=8,DATE(PlanYear,8,1)-WEEKDAY(DATE(PlanYear,8,1),3)+32,"")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IF(MONTH(DATE(PlanYear,8,1)-WEEKDAY(DATE(PlanYear,8,1),3)+33)=8,DATE(PlanYear,8,1)-WEEKDAY(DATE(PlanYear,8,1),3)+33,"")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IF(MONTH(DATE(PlanYear,8,1)-WEEKDAY(DATE(PlanYear,8,1),3)+34)=8,DATE(PlanYear,8,1)-WEEKDAY(DATE(PlanYear,8,1),3)+34,"")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IF(MONTH(DATE(PlanYear,8,1)-WEEKDAY(DATE(PlanYear,8,1),3)+35)=8,DATE(PlanYear,8,1)-WEEKDAY(DATE(PlanYear,8,1),3)+35,"")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IF(MONTH(DATE(PlanYear,8,1)-WEEKDAY(DATE(PlanYear,8,1),3)+36)=8,DATE(PlanYear,8,1)-WEEKDAY(DATE(PlanYear,8,1),3)+36,"")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IF(MONTH(DATE(PlanYear,8,1)-WEEKDAY(DATE(PlanYear,8,1),3)+37)=8,DATE(PlanYear,8,1)-WEEKDAY(DATE(PlanYear,8,1),3)+37,"")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IF(MONTH(DATE(PlanYear,8,1)-WEEKDAY(DATE(PlanYear,8,1),3)+38)=8,DATE(PlanYear,8,1)-WEEKDAY(DATE(PlanYear,8,1),3)+38,"")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IF(MONTH(DATE(PlanYear,8,1)-WEEKDAY(DATE(PlanYear,8,1),3)+39)=8,DATE(PlanYear,8,1)-WEEKDAY(DATE(PlanYear,8,1),3)+39,"")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IF(MONTH(DATE(PlanYear,8,1)-WEEKDAY(DATE(PlanYear,8,1),3)+40)=8,DATE(PlanYear,8,1)-WEEKDAY(DATE(PlanYear,8,1),3)+40,"")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IF(MONTH(DATE(PlanYear,8,1)-WEEKDAY(DATE(PlanYear,8,1),3)+41)=8,DATE(PlanYear,8,1)-WEEKDAY(DATE(PlanYear,8,1),3)+41,"")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SEPTEMBER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SUMIFS(FlCount,FlDate,"&gt;="&amp;DATE(PlanYear,9,1),FlDate,"&lt;="&amp;EOMONTH(DATE(PlanYear,9,1),0))</f>
        <v/>
      </c>
      <c r="J3" s="45" t="inlineStr">
        <is>
          <t>Planned flying hrs</t>
        </is>
      </c>
      <c r="L3" s="48">
        <f>SUMIFS(FlHrs,FlDate,"&gt;="&amp;DATE(PlanYear,9,1),FlDate,"&lt;="&amp;EOMONTH(DATE(PlanYear,9,1),0))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IF(MONTH(DATE(PlanYear,9,1)-WEEKDAY(DATE(PlanYear,9,1),3)+0)=9,DATE(PlanYear,9,1)-WEEKDAY(DATE(PlanYear,9,1),3)+0,"")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IF(MONTH(DATE(PlanYear,9,1)-WEEKDAY(DATE(PlanYear,9,1),3)+1)=9,DATE(PlanYear,9,1)-WEEKDAY(DATE(PlanYear,9,1),3)+1,"")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IF(MONTH(DATE(PlanYear,9,1)-WEEKDAY(DATE(PlanYear,9,1),3)+2)=9,DATE(PlanYear,9,1)-WEEKDAY(DATE(PlanYear,9,1),3)+2,"")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IF(MONTH(DATE(PlanYear,9,1)-WEEKDAY(DATE(PlanYear,9,1),3)+3)=9,DATE(PlanYear,9,1)-WEEKDAY(DATE(PlanYear,9,1),3)+3,"")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IF(MONTH(DATE(PlanYear,9,1)-WEEKDAY(DATE(PlanYear,9,1),3)+4)=9,DATE(PlanYear,9,1)-WEEKDAY(DATE(PlanYear,9,1),3)+4,"")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IF(MONTH(DATE(PlanYear,9,1)-WEEKDAY(DATE(PlanYear,9,1),3)+5)=9,DATE(PlanYear,9,1)-WEEKDAY(DATE(PlanYear,9,1),3)+5,"")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IF(MONTH(DATE(PlanYear,9,1)-WEEKDAY(DATE(PlanYear,9,1),3)+6)=9,DATE(PlanYear,9,1)-WEEKDAY(DATE(PlanYear,9,1),3)+6,"")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IF(MONTH(DATE(PlanYear,9,1)-WEEKDAY(DATE(PlanYear,9,1),3)+7)=9,DATE(PlanYear,9,1)-WEEKDAY(DATE(PlanYear,9,1),3)+7,"")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IF(MONTH(DATE(PlanYear,9,1)-WEEKDAY(DATE(PlanYear,9,1),3)+8)=9,DATE(PlanYear,9,1)-WEEKDAY(DATE(PlanYear,9,1),3)+8,"")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IF(MONTH(DATE(PlanYear,9,1)-WEEKDAY(DATE(PlanYear,9,1),3)+9)=9,DATE(PlanYear,9,1)-WEEKDAY(DATE(PlanYear,9,1),3)+9,"")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IF(MONTH(DATE(PlanYear,9,1)-WEEKDAY(DATE(PlanYear,9,1),3)+10)=9,DATE(PlanYear,9,1)-WEEKDAY(DATE(PlanYear,9,1),3)+10,"")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IF(MONTH(DATE(PlanYear,9,1)-WEEKDAY(DATE(PlanYear,9,1),3)+11)=9,DATE(PlanYear,9,1)-WEEKDAY(DATE(PlanYear,9,1),3)+11,"")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IF(MONTH(DATE(PlanYear,9,1)-WEEKDAY(DATE(PlanYear,9,1),3)+12)=9,DATE(PlanYear,9,1)-WEEKDAY(DATE(PlanYear,9,1),3)+12,"")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IF(MONTH(DATE(PlanYear,9,1)-WEEKDAY(DATE(PlanYear,9,1),3)+13)=9,DATE(PlanYear,9,1)-WEEKDAY(DATE(PlanYear,9,1),3)+13,"")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IF(MONTH(DATE(PlanYear,9,1)-WEEKDAY(DATE(PlanYear,9,1),3)+14)=9,DATE(PlanYear,9,1)-WEEKDAY(DATE(PlanYear,9,1),3)+14,"")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IF(MONTH(DATE(PlanYear,9,1)-WEEKDAY(DATE(PlanYear,9,1),3)+15)=9,DATE(PlanYear,9,1)-WEEKDAY(DATE(PlanYear,9,1),3)+15,"")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IF(MONTH(DATE(PlanYear,9,1)-WEEKDAY(DATE(PlanYear,9,1),3)+16)=9,DATE(PlanYear,9,1)-WEEKDAY(DATE(PlanYear,9,1),3)+16,"")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IF(MONTH(DATE(PlanYear,9,1)-WEEKDAY(DATE(PlanYear,9,1),3)+17)=9,DATE(PlanYear,9,1)-WEEKDAY(DATE(PlanYear,9,1),3)+17,"")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IF(MONTH(DATE(PlanYear,9,1)-WEEKDAY(DATE(PlanYear,9,1),3)+18)=9,DATE(PlanYear,9,1)-WEEKDAY(DATE(PlanYear,9,1),3)+18,"")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IF(MONTH(DATE(PlanYear,9,1)-WEEKDAY(DATE(PlanYear,9,1),3)+19)=9,DATE(PlanYear,9,1)-WEEKDAY(DATE(PlanYear,9,1),3)+19,"")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IF(MONTH(DATE(PlanYear,9,1)-WEEKDAY(DATE(PlanYear,9,1),3)+20)=9,DATE(PlanYear,9,1)-WEEKDAY(DATE(PlanYear,9,1),3)+20,"")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IF(MONTH(DATE(PlanYear,9,1)-WEEKDAY(DATE(PlanYear,9,1),3)+21)=9,DATE(PlanYear,9,1)-WEEKDAY(DATE(PlanYear,9,1),3)+21,"")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IF(MONTH(DATE(PlanYear,9,1)-WEEKDAY(DATE(PlanYear,9,1),3)+22)=9,DATE(PlanYear,9,1)-WEEKDAY(DATE(PlanYear,9,1),3)+22,"")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IF(MONTH(DATE(PlanYear,9,1)-WEEKDAY(DATE(PlanYear,9,1),3)+23)=9,DATE(PlanYear,9,1)-WEEKDAY(DATE(PlanYear,9,1),3)+23,"")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IF(MONTH(DATE(PlanYear,9,1)-WEEKDAY(DATE(PlanYear,9,1),3)+24)=9,DATE(PlanYear,9,1)-WEEKDAY(DATE(PlanYear,9,1),3)+24,"")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IF(MONTH(DATE(PlanYear,9,1)-WEEKDAY(DATE(PlanYear,9,1),3)+25)=9,DATE(PlanYear,9,1)-WEEKDAY(DATE(PlanYear,9,1),3)+25,"")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IF(MONTH(DATE(PlanYear,9,1)-WEEKDAY(DATE(PlanYear,9,1),3)+26)=9,DATE(PlanYear,9,1)-WEEKDAY(DATE(PlanYear,9,1),3)+26,"")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IF(MONTH(DATE(PlanYear,9,1)-WEEKDAY(DATE(PlanYear,9,1),3)+27)=9,DATE(PlanYear,9,1)-WEEKDAY(DATE(PlanYear,9,1),3)+27,"")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IF(MONTH(DATE(PlanYear,9,1)-WEEKDAY(DATE(PlanYear,9,1),3)+28)=9,DATE(PlanYear,9,1)-WEEKDAY(DATE(PlanYear,9,1),3)+28,"")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IF(MONTH(DATE(PlanYear,9,1)-WEEKDAY(DATE(PlanYear,9,1),3)+29)=9,DATE(PlanYear,9,1)-WEEKDAY(DATE(PlanYear,9,1),3)+29,"")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IF(MONTH(DATE(PlanYear,9,1)-WEEKDAY(DATE(PlanYear,9,1),3)+30)=9,DATE(PlanYear,9,1)-WEEKDAY(DATE(PlanYear,9,1),3)+30,"")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IF(MONTH(DATE(PlanYear,9,1)-WEEKDAY(DATE(PlanYear,9,1),3)+31)=9,DATE(PlanYear,9,1)-WEEKDAY(DATE(PlanYear,9,1),3)+31,"")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IF(MONTH(DATE(PlanYear,9,1)-WEEKDAY(DATE(PlanYear,9,1),3)+32)=9,DATE(PlanYear,9,1)-WEEKDAY(DATE(PlanYear,9,1),3)+32,"")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IF(MONTH(DATE(PlanYear,9,1)-WEEKDAY(DATE(PlanYear,9,1),3)+33)=9,DATE(PlanYear,9,1)-WEEKDAY(DATE(PlanYear,9,1),3)+33,"")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IF(MONTH(DATE(PlanYear,9,1)-WEEKDAY(DATE(PlanYear,9,1),3)+34)=9,DATE(PlanYear,9,1)-WEEKDAY(DATE(PlanYear,9,1),3)+34,"")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IF(MONTH(DATE(PlanYear,9,1)-WEEKDAY(DATE(PlanYear,9,1),3)+35)=9,DATE(PlanYear,9,1)-WEEKDAY(DATE(PlanYear,9,1),3)+35,"")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IF(MONTH(DATE(PlanYear,9,1)-WEEKDAY(DATE(PlanYear,9,1),3)+36)=9,DATE(PlanYear,9,1)-WEEKDAY(DATE(PlanYear,9,1),3)+36,"")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IF(MONTH(DATE(PlanYear,9,1)-WEEKDAY(DATE(PlanYear,9,1),3)+37)=9,DATE(PlanYear,9,1)-WEEKDAY(DATE(PlanYear,9,1),3)+37,"")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IF(MONTH(DATE(PlanYear,9,1)-WEEKDAY(DATE(PlanYear,9,1),3)+38)=9,DATE(PlanYear,9,1)-WEEKDAY(DATE(PlanYear,9,1),3)+38,"")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IF(MONTH(DATE(PlanYear,9,1)-WEEKDAY(DATE(PlanYear,9,1),3)+39)=9,DATE(PlanYear,9,1)-WEEKDAY(DATE(PlanYear,9,1),3)+39,"")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IF(MONTH(DATE(PlanYear,9,1)-WEEKDAY(DATE(PlanYear,9,1),3)+40)=9,DATE(PlanYear,9,1)-WEEKDAY(DATE(PlanYear,9,1),3)+40,"")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IF(MONTH(DATE(PlanYear,9,1)-WEEKDAY(DATE(PlanYear,9,1),3)+41)=9,DATE(PlanYear,9,1)-WEEKDAY(DATE(PlanYear,9,1),3)+41,"")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OCTOBER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SUMIFS(FlCount,FlDate,"&gt;="&amp;DATE(PlanYear,10,1),FlDate,"&lt;="&amp;EOMONTH(DATE(PlanYear,10,1),0))</f>
        <v/>
      </c>
      <c r="J3" s="45" t="inlineStr">
        <is>
          <t>Planned flying hrs</t>
        </is>
      </c>
      <c r="L3" s="48">
        <f>SUMIFS(FlHrs,FlDate,"&gt;="&amp;DATE(PlanYear,10,1),FlDate,"&lt;="&amp;EOMONTH(DATE(PlanYear,10,1),0))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IF(MONTH(DATE(PlanYear,10,1)-WEEKDAY(DATE(PlanYear,10,1),3)+0)=10,DATE(PlanYear,10,1)-WEEKDAY(DATE(PlanYear,10,1),3)+0,"")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IF(MONTH(DATE(PlanYear,10,1)-WEEKDAY(DATE(PlanYear,10,1),3)+1)=10,DATE(PlanYear,10,1)-WEEKDAY(DATE(PlanYear,10,1),3)+1,"")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IF(MONTH(DATE(PlanYear,10,1)-WEEKDAY(DATE(PlanYear,10,1),3)+2)=10,DATE(PlanYear,10,1)-WEEKDAY(DATE(PlanYear,10,1),3)+2,"")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IF(MONTH(DATE(PlanYear,10,1)-WEEKDAY(DATE(PlanYear,10,1),3)+3)=10,DATE(PlanYear,10,1)-WEEKDAY(DATE(PlanYear,10,1),3)+3,"")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IF(MONTH(DATE(PlanYear,10,1)-WEEKDAY(DATE(PlanYear,10,1),3)+4)=10,DATE(PlanYear,10,1)-WEEKDAY(DATE(PlanYear,10,1),3)+4,"")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IF(MONTH(DATE(PlanYear,10,1)-WEEKDAY(DATE(PlanYear,10,1),3)+5)=10,DATE(PlanYear,10,1)-WEEKDAY(DATE(PlanYear,10,1),3)+5,"")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IF(MONTH(DATE(PlanYear,10,1)-WEEKDAY(DATE(PlanYear,10,1),3)+6)=10,DATE(PlanYear,10,1)-WEEKDAY(DATE(PlanYear,10,1),3)+6,"")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IF(MONTH(DATE(PlanYear,10,1)-WEEKDAY(DATE(PlanYear,10,1),3)+7)=10,DATE(PlanYear,10,1)-WEEKDAY(DATE(PlanYear,10,1),3)+7,"")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IF(MONTH(DATE(PlanYear,10,1)-WEEKDAY(DATE(PlanYear,10,1),3)+8)=10,DATE(PlanYear,10,1)-WEEKDAY(DATE(PlanYear,10,1),3)+8,"")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IF(MONTH(DATE(PlanYear,10,1)-WEEKDAY(DATE(PlanYear,10,1),3)+9)=10,DATE(PlanYear,10,1)-WEEKDAY(DATE(PlanYear,10,1),3)+9,"")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IF(MONTH(DATE(PlanYear,10,1)-WEEKDAY(DATE(PlanYear,10,1),3)+10)=10,DATE(PlanYear,10,1)-WEEKDAY(DATE(PlanYear,10,1),3)+10,"")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IF(MONTH(DATE(PlanYear,10,1)-WEEKDAY(DATE(PlanYear,10,1),3)+11)=10,DATE(PlanYear,10,1)-WEEKDAY(DATE(PlanYear,10,1),3)+11,"")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IF(MONTH(DATE(PlanYear,10,1)-WEEKDAY(DATE(PlanYear,10,1),3)+12)=10,DATE(PlanYear,10,1)-WEEKDAY(DATE(PlanYear,10,1),3)+12,"")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IF(MONTH(DATE(PlanYear,10,1)-WEEKDAY(DATE(PlanYear,10,1),3)+13)=10,DATE(PlanYear,10,1)-WEEKDAY(DATE(PlanYear,10,1),3)+13,"")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IF(MONTH(DATE(PlanYear,10,1)-WEEKDAY(DATE(PlanYear,10,1),3)+14)=10,DATE(PlanYear,10,1)-WEEKDAY(DATE(PlanYear,10,1),3)+14,"")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IF(MONTH(DATE(PlanYear,10,1)-WEEKDAY(DATE(PlanYear,10,1),3)+15)=10,DATE(PlanYear,10,1)-WEEKDAY(DATE(PlanYear,10,1),3)+15,"")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IF(MONTH(DATE(PlanYear,10,1)-WEEKDAY(DATE(PlanYear,10,1),3)+16)=10,DATE(PlanYear,10,1)-WEEKDAY(DATE(PlanYear,10,1),3)+16,"")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IF(MONTH(DATE(PlanYear,10,1)-WEEKDAY(DATE(PlanYear,10,1),3)+17)=10,DATE(PlanYear,10,1)-WEEKDAY(DATE(PlanYear,10,1),3)+17,"")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IF(MONTH(DATE(PlanYear,10,1)-WEEKDAY(DATE(PlanYear,10,1),3)+18)=10,DATE(PlanYear,10,1)-WEEKDAY(DATE(PlanYear,10,1),3)+18,"")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IF(MONTH(DATE(PlanYear,10,1)-WEEKDAY(DATE(PlanYear,10,1),3)+19)=10,DATE(PlanYear,10,1)-WEEKDAY(DATE(PlanYear,10,1),3)+19,"")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IF(MONTH(DATE(PlanYear,10,1)-WEEKDAY(DATE(PlanYear,10,1),3)+20)=10,DATE(PlanYear,10,1)-WEEKDAY(DATE(PlanYear,10,1),3)+20,"")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IF(MONTH(DATE(PlanYear,10,1)-WEEKDAY(DATE(PlanYear,10,1),3)+21)=10,DATE(PlanYear,10,1)-WEEKDAY(DATE(PlanYear,10,1),3)+21,"")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IF(MONTH(DATE(PlanYear,10,1)-WEEKDAY(DATE(PlanYear,10,1),3)+22)=10,DATE(PlanYear,10,1)-WEEKDAY(DATE(PlanYear,10,1),3)+22,"")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IF(MONTH(DATE(PlanYear,10,1)-WEEKDAY(DATE(PlanYear,10,1),3)+23)=10,DATE(PlanYear,10,1)-WEEKDAY(DATE(PlanYear,10,1),3)+23,"")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IF(MONTH(DATE(PlanYear,10,1)-WEEKDAY(DATE(PlanYear,10,1),3)+24)=10,DATE(PlanYear,10,1)-WEEKDAY(DATE(PlanYear,10,1),3)+24,"")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IF(MONTH(DATE(PlanYear,10,1)-WEEKDAY(DATE(PlanYear,10,1),3)+25)=10,DATE(PlanYear,10,1)-WEEKDAY(DATE(PlanYear,10,1),3)+25,"")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IF(MONTH(DATE(PlanYear,10,1)-WEEKDAY(DATE(PlanYear,10,1),3)+26)=10,DATE(PlanYear,10,1)-WEEKDAY(DATE(PlanYear,10,1),3)+26,"")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IF(MONTH(DATE(PlanYear,10,1)-WEEKDAY(DATE(PlanYear,10,1),3)+27)=10,DATE(PlanYear,10,1)-WEEKDAY(DATE(PlanYear,10,1),3)+27,"")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IF(MONTH(DATE(PlanYear,10,1)-WEEKDAY(DATE(PlanYear,10,1),3)+28)=10,DATE(PlanYear,10,1)-WEEKDAY(DATE(PlanYear,10,1),3)+28,"")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IF(MONTH(DATE(PlanYear,10,1)-WEEKDAY(DATE(PlanYear,10,1),3)+29)=10,DATE(PlanYear,10,1)-WEEKDAY(DATE(PlanYear,10,1),3)+29,"")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IF(MONTH(DATE(PlanYear,10,1)-WEEKDAY(DATE(PlanYear,10,1),3)+30)=10,DATE(PlanYear,10,1)-WEEKDAY(DATE(PlanYear,10,1),3)+30,"")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IF(MONTH(DATE(PlanYear,10,1)-WEEKDAY(DATE(PlanYear,10,1),3)+31)=10,DATE(PlanYear,10,1)-WEEKDAY(DATE(PlanYear,10,1),3)+31,"")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IF(MONTH(DATE(PlanYear,10,1)-WEEKDAY(DATE(PlanYear,10,1),3)+32)=10,DATE(PlanYear,10,1)-WEEKDAY(DATE(PlanYear,10,1),3)+32,"")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IF(MONTH(DATE(PlanYear,10,1)-WEEKDAY(DATE(PlanYear,10,1),3)+33)=10,DATE(PlanYear,10,1)-WEEKDAY(DATE(PlanYear,10,1),3)+33,"")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IF(MONTH(DATE(PlanYear,10,1)-WEEKDAY(DATE(PlanYear,10,1),3)+34)=10,DATE(PlanYear,10,1)-WEEKDAY(DATE(PlanYear,10,1),3)+34,"")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IF(MONTH(DATE(PlanYear,10,1)-WEEKDAY(DATE(PlanYear,10,1),3)+35)=10,DATE(PlanYear,10,1)-WEEKDAY(DATE(PlanYear,10,1),3)+35,"")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IF(MONTH(DATE(PlanYear,10,1)-WEEKDAY(DATE(PlanYear,10,1),3)+36)=10,DATE(PlanYear,10,1)-WEEKDAY(DATE(PlanYear,10,1),3)+36,"")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IF(MONTH(DATE(PlanYear,10,1)-WEEKDAY(DATE(PlanYear,10,1),3)+37)=10,DATE(PlanYear,10,1)-WEEKDAY(DATE(PlanYear,10,1),3)+37,"")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IF(MONTH(DATE(PlanYear,10,1)-WEEKDAY(DATE(PlanYear,10,1),3)+38)=10,DATE(PlanYear,10,1)-WEEKDAY(DATE(PlanYear,10,1),3)+38,"")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IF(MONTH(DATE(PlanYear,10,1)-WEEKDAY(DATE(PlanYear,10,1),3)+39)=10,DATE(PlanYear,10,1)-WEEKDAY(DATE(PlanYear,10,1),3)+39,"")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IF(MONTH(DATE(PlanYear,10,1)-WEEKDAY(DATE(PlanYear,10,1),3)+40)=10,DATE(PlanYear,10,1)-WEEKDAY(DATE(PlanYear,10,1),3)+40,"")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IF(MONTH(DATE(PlanYear,10,1)-WEEKDAY(DATE(PlanYear,10,1),3)+41)=10,DATE(PlanYear,10,1)-WEEKDAY(DATE(PlanYear,10,1),3)+41,"")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NOVEMBER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SUMIFS(FlCount,FlDate,"&gt;="&amp;DATE(PlanYear,11,1),FlDate,"&lt;="&amp;EOMONTH(DATE(PlanYear,11,1),0))</f>
        <v/>
      </c>
      <c r="J3" s="45" t="inlineStr">
        <is>
          <t>Planned flying hrs</t>
        </is>
      </c>
      <c r="L3" s="48">
        <f>SUMIFS(FlHrs,FlDate,"&gt;="&amp;DATE(PlanYear,11,1),FlDate,"&lt;="&amp;EOMONTH(DATE(PlanYear,11,1),0))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IF(MONTH(DATE(PlanYear,11,1)-WEEKDAY(DATE(PlanYear,11,1),3)+0)=11,DATE(PlanYear,11,1)-WEEKDAY(DATE(PlanYear,11,1),3)+0,"")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IF(MONTH(DATE(PlanYear,11,1)-WEEKDAY(DATE(PlanYear,11,1),3)+1)=11,DATE(PlanYear,11,1)-WEEKDAY(DATE(PlanYear,11,1),3)+1,"")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IF(MONTH(DATE(PlanYear,11,1)-WEEKDAY(DATE(PlanYear,11,1),3)+2)=11,DATE(PlanYear,11,1)-WEEKDAY(DATE(PlanYear,11,1),3)+2,"")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IF(MONTH(DATE(PlanYear,11,1)-WEEKDAY(DATE(PlanYear,11,1),3)+3)=11,DATE(PlanYear,11,1)-WEEKDAY(DATE(PlanYear,11,1),3)+3,"")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IF(MONTH(DATE(PlanYear,11,1)-WEEKDAY(DATE(PlanYear,11,1),3)+4)=11,DATE(PlanYear,11,1)-WEEKDAY(DATE(PlanYear,11,1),3)+4,"")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IF(MONTH(DATE(PlanYear,11,1)-WEEKDAY(DATE(PlanYear,11,1),3)+5)=11,DATE(PlanYear,11,1)-WEEKDAY(DATE(PlanYear,11,1),3)+5,"")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IF(MONTH(DATE(PlanYear,11,1)-WEEKDAY(DATE(PlanYear,11,1),3)+6)=11,DATE(PlanYear,11,1)-WEEKDAY(DATE(PlanYear,11,1),3)+6,"")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IF(MONTH(DATE(PlanYear,11,1)-WEEKDAY(DATE(PlanYear,11,1),3)+7)=11,DATE(PlanYear,11,1)-WEEKDAY(DATE(PlanYear,11,1),3)+7,"")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IF(MONTH(DATE(PlanYear,11,1)-WEEKDAY(DATE(PlanYear,11,1),3)+8)=11,DATE(PlanYear,11,1)-WEEKDAY(DATE(PlanYear,11,1),3)+8,"")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IF(MONTH(DATE(PlanYear,11,1)-WEEKDAY(DATE(PlanYear,11,1),3)+9)=11,DATE(PlanYear,11,1)-WEEKDAY(DATE(PlanYear,11,1),3)+9,"")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IF(MONTH(DATE(PlanYear,11,1)-WEEKDAY(DATE(PlanYear,11,1),3)+10)=11,DATE(PlanYear,11,1)-WEEKDAY(DATE(PlanYear,11,1),3)+10,"")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IF(MONTH(DATE(PlanYear,11,1)-WEEKDAY(DATE(PlanYear,11,1),3)+11)=11,DATE(PlanYear,11,1)-WEEKDAY(DATE(PlanYear,11,1),3)+11,"")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IF(MONTH(DATE(PlanYear,11,1)-WEEKDAY(DATE(PlanYear,11,1),3)+12)=11,DATE(PlanYear,11,1)-WEEKDAY(DATE(PlanYear,11,1),3)+12,"")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IF(MONTH(DATE(PlanYear,11,1)-WEEKDAY(DATE(PlanYear,11,1),3)+13)=11,DATE(PlanYear,11,1)-WEEKDAY(DATE(PlanYear,11,1),3)+13,"")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IF(MONTH(DATE(PlanYear,11,1)-WEEKDAY(DATE(PlanYear,11,1),3)+14)=11,DATE(PlanYear,11,1)-WEEKDAY(DATE(PlanYear,11,1),3)+14,"")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IF(MONTH(DATE(PlanYear,11,1)-WEEKDAY(DATE(PlanYear,11,1),3)+15)=11,DATE(PlanYear,11,1)-WEEKDAY(DATE(PlanYear,11,1),3)+15,"")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IF(MONTH(DATE(PlanYear,11,1)-WEEKDAY(DATE(PlanYear,11,1),3)+16)=11,DATE(PlanYear,11,1)-WEEKDAY(DATE(PlanYear,11,1),3)+16,"")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IF(MONTH(DATE(PlanYear,11,1)-WEEKDAY(DATE(PlanYear,11,1),3)+17)=11,DATE(PlanYear,11,1)-WEEKDAY(DATE(PlanYear,11,1),3)+17,"")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IF(MONTH(DATE(PlanYear,11,1)-WEEKDAY(DATE(PlanYear,11,1),3)+18)=11,DATE(PlanYear,11,1)-WEEKDAY(DATE(PlanYear,11,1),3)+18,"")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IF(MONTH(DATE(PlanYear,11,1)-WEEKDAY(DATE(PlanYear,11,1),3)+19)=11,DATE(PlanYear,11,1)-WEEKDAY(DATE(PlanYear,11,1),3)+19,"")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IF(MONTH(DATE(PlanYear,11,1)-WEEKDAY(DATE(PlanYear,11,1),3)+20)=11,DATE(PlanYear,11,1)-WEEKDAY(DATE(PlanYear,11,1),3)+20,"")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IF(MONTH(DATE(PlanYear,11,1)-WEEKDAY(DATE(PlanYear,11,1),3)+21)=11,DATE(PlanYear,11,1)-WEEKDAY(DATE(PlanYear,11,1),3)+21,"")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IF(MONTH(DATE(PlanYear,11,1)-WEEKDAY(DATE(PlanYear,11,1),3)+22)=11,DATE(PlanYear,11,1)-WEEKDAY(DATE(PlanYear,11,1),3)+22,"")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IF(MONTH(DATE(PlanYear,11,1)-WEEKDAY(DATE(PlanYear,11,1),3)+23)=11,DATE(PlanYear,11,1)-WEEKDAY(DATE(PlanYear,11,1),3)+23,"")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IF(MONTH(DATE(PlanYear,11,1)-WEEKDAY(DATE(PlanYear,11,1),3)+24)=11,DATE(PlanYear,11,1)-WEEKDAY(DATE(PlanYear,11,1),3)+24,"")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IF(MONTH(DATE(PlanYear,11,1)-WEEKDAY(DATE(PlanYear,11,1),3)+25)=11,DATE(PlanYear,11,1)-WEEKDAY(DATE(PlanYear,11,1),3)+25,"")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IF(MONTH(DATE(PlanYear,11,1)-WEEKDAY(DATE(PlanYear,11,1),3)+26)=11,DATE(PlanYear,11,1)-WEEKDAY(DATE(PlanYear,11,1),3)+26,"")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IF(MONTH(DATE(PlanYear,11,1)-WEEKDAY(DATE(PlanYear,11,1),3)+27)=11,DATE(PlanYear,11,1)-WEEKDAY(DATE(PlanYear,11,1),3)+27,"")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IF(MONTH(DATE(PlanYear,11,1)-WEEKDAY(DATE(PlanYear,11,1),3)+28)=11,DATE(PlanYear,11,1)-WEEKDAY(DATE(PlanYear,11,1),3)+28,"")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IF(MONTH(DATE(PlanYear,11,1)-WEEKDAY(DATE(PlanYear,11,1),3)+29)=11,DATE(PlanYear,11,1)-WEEKDAY(DATE(PlanYear,11,1),3)+29,"")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IF(MONTH(DATE(PlanYear,11,1)-WEEKDAY(DATE(PlanYear,11,1),3)+30)=11,DATE(PlanYear,11,1)-WEEKDAY(DATE(PlanYear,11,1),3)+30,"")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IF(MONTH(DATE(PlanYear,11,1)-WEEKDAY(DATE(PlanYear,11,1),3)+31)=11,DATE(PlanYear,11,1)-WEEKDAY(DATE(PlanYear,11,1),3)+31,"")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IF(MONTH(DATE(PlanYear,11,1)-WEEKDAY(DATE(PlanYear,11,1),3)+32)=11,DATE(PlanYear,11,1)-WEEKDAY(DATE(PlanYear,11,1),3)+32,"")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IF(MONTH(DATE(PlanYear,11,1)-WEEKDAY(DATE(PlanYear,11,1),3)+33)=11,DATE(PlanYear,11,1)-WEEKDAY(DATE(PlanYear,11,1),3)+33,"")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IF(MONTH(DATE(PlanYear,11,1)-WEEKDAY(DATE(PlanYear,11,1),3)+34)=11,DATE(PlanYear,11,1)-WEEKDAY(DATE(PlanYear,11,1),3)+34,"")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IF(MONTH(DATE(PlanYear,11,1)-WEEKDAY(DATE(PlanYear,11,1),3)+35)=11,DATE(PlanYear,11,1)-WEEKDAY(DATE(PlanYear,11,1),3)+35,"")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IF(MONTH(DATE(PlanYear,11,1)-WEEKDAY(DATE(PlanYear,11,1),3)+36)=11,DATE(PlanYear,11,1)-WEEKDAY(DATE(PlanYear,11,1),3)+36,"")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IF(MONTH(DATE(PlanYear,11,1)-WEEKDAY(DATE(PlanYear,11,1),3)+37)=11,DATE(PlanYear,11,1)-WEEKDAY(DATE(PlanYear,11,1),3)+37,"")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IF(MONTH(DATE(PlanYear,11,1)-WEEKDAY(DATE(PlanYear,11,1),3)+38)=11,DATE(PlanYear,11,1)-WEEKDAY(DATE(PlanYear,11,1),3)+38,"")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IF(MONTH(DATE(PlanYear,11,1)-WEEKDAY(DATE(PlanYear,11,1),3)+39)=11,DATE(PlanYear,11,1)-WEEKDAY(DATE(PlanYear,11,1),3)+39,"")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IF(MONTH(DATE(PlanYear,11,1)-WEEKDAY(DATE(PlanYear,11,1),3)+40)=11,DATE(PlanYear,11,1)-WEEKDAY(DATE(PlanYear,11,1),3)+40,"")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IF(MONTH(DATE(PlanYear,11,1)-WEEKDAY(DATE(PlanYear,11,1),3)+41)=11,DATE(PlanYear,11,1)-WEEKDAY(DATE(PlanYear,11,1),3)+41,"")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DECEMBER "&amp;(PlanYear+0)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SUMIFS(FlCount,FlDate,"&gt;="&amp;DATE(PlanYear,12,1),FlDate,"&lt;="&amp;EOMONTH(DATE(PlanYear,12,1),0))</f>
        <v/>
      </c>
      <c r="J3" s="45" t="inlineStr">
        <is>
          <t>Planned flying hrs</t>
        </is>
      </c>
      <c r="L3" s="48">
        <f>SUMIFS(FlHrs,FlDate,"&gt;="&amp;DATE(PlanYear,12,1),FlDate,"&lt;="&amp;EOMONTH(DATE(PlanYear,12,1),0))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IF(MONTH(DATE(PlanYear,12,1)-WEEKDAY(DATE(PlanYear,12,1),3)+0)=12,DATE(PlanYear,12,1)-WEEKDAY(DATE(PlanYear,12,1),3)+0,"")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IF(MONTH(DATE(PlanYear,12,1)-WEEKDAY(DATE(PlanYear,12,1),3)+1)=12,DATE(PlanYear,12,1)-WEEKDAY(DATE(PlanYear,12,1),3)+1,"")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IF(MONTH(DATE(PlanYear,12,1)-WEEKDAY(DATE(PlanYear,12,1),3)+2)=12,DATE(PlanYear,12,1)-WEEKDAY(DATE(PlanYear,12,1),3)+2,"")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IF(MONTH(DATE(PlanYear,12,1)-WEEKDAY(DATE(PlanYear,12,1),3)+3)=12,DATE(PlanYear,12,1)-WEEKDAY(DATE(PlanYear,12,1),3)+3,"")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IF(MONTH(DATE(PlanYear,12,1)-WEEKDAY(DATE(PlanYear,12,1),3)+4)=12,DATE(PlanYear,12,1)-WEEKDAY(DATE(PlanYear,12,1),3)+4,"")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IF(MONTH(DATE(PlanYear,12,1)-WEEKDAY(DATE(PlanYear,12,1),3)+5)=12,DATE(PlanYear,12,1)-WEEKDAY(DATE(PlanYear,12,1),3)+5,"")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IF(MONTH(DATE(PlanYear,12,1)-WEEKDAY(DATE(PlanYear,12,1),3)+6)=12,DATE(PlanYear,12,1)-WEEKDAY(DATE(PlanYear,12,1),3)+6,"")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IF(MONTH(DATE(PlanYear,12,1)-WEEKDAY(DATE(PlanYear,12,1),3)+7)=12,DATE(PlanYear,12,1)-WEEKDAY(DATE(PlanYear,12,1),3)+7,"")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IF(MONTH(DATE(PlanYear,12,1)-WEEKDAY(DATE(PlanYear,12,1),3)+8)=12,DATE(PlanYear,12,1)-WEEKDAY(DATE(PlanYear,12,1),3)+8,"")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IF(MONTH(DATE(PlanYear,12,1)-WEEKDAY(DATE(PlanYear,12,1),3)+9)=12,DATE(PlanYear,12,1)-WEEKDAY(DATE(PlanYear,12,1),3)+9,"")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IF(MONTH(DATE(PlanYear,12,1)-WEEKDAY(DATE(PlanYear,12,1),3)+10)=12,DATE(PlanYear,12,1)-WEEKDAY(DATE(PlanYear,12,1),3)+10,"")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IF(MONTH(DATE(PlanYear,12,1)-WEEKDAY(DATE(PlanYear,12,1),3)+11)=12,DATE(PlanYear,12,1)-WEEKDAY(DATE(PlanYear,12,1),3)+11,"")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IF(MONTH(DATE(PlanYear,12,1)-WEEKDAY(DATE(PlanYear,12,1),3)+12)=12,DATE(PlanYear,12,1)-WEEKDAY(DATE(PlanYear,12,1),3)+12,"")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IF(MONTH(DATE(PlanYear,12,1)-WEEKDAY(DATE(PlanYear,12,1),3)+13)=12,DATE(PlanYear,12,1)-WEEKDAY(DATE(PlanYear,12,1),3)+13,"")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IF(MONTH(DATE(PlanYear,12,1)-WEEKDAY(DATE(PlanYear,12,1),3)+14)=12,DATE(PlanYear,12,1)-WEEKDAY(DATE(PlanYear,12,1),3)+14,"")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IF(MONTH(DATE(PlanYear,12,1)-WEEKDAY(DATE(PlanYear,12,1),3)+15)=12,DATE(PlanYear,12,1)-WEEKDAY(DATE(PlanYear,12,1),3)+15,"")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IF(MONTH(DATE(PlanYear,12,1)-WEEKDAY(DATE(PlanYear,12,1),3)+16)=12,DATE(PlanYear,12,1)-WEEKDAY(DATE(PlanYear,12,1),3)+16,"")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IF(MONTH(DATE(PlanYear,12,1)-WEEKDAY(DATE(PlanYear,12,1),3)+17)=12,DATE(PlanYear,12,1)-WEEKDAY(DATE(PlanYear,12,1),3)+17,"")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IF(MONTH(DATE(PlanYear,12,1)-WEEKDAY(DATE(PlanYear,12,1),3)+18)=12,DATE(PlanYear,12,1)-WEEKDAY(DATE(PlanYear,12,1),3)+18,"")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IF(MONTH(DATE(PlanYear,12,1)-WEEKDAY(DATE(PlanYear,12,1),3)+19)=12,DATE(PlanYear,12,1)-WEEKDAY(DATE(PlanYear,12,1),3)+19,"")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IF(MONTH(DATE(PlanYear,12,1)-WEEKDAY(DATE(PlanYear,12,1),3)+20)=12,DATE(PlanYear,12,1)-WEEKDAY(DATE(PlanYear,12,1),3)+20,"")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IF(MONTH(DATE(PlanYear,12,1)-WEEKDAY(DATE(PlanYear,12,1),3)+21)=12,DATE(PlanYear,12,1)-WEEKDAY(DATE(PlanYear,12,1),3)+21,"")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IF(MONTH(DATE(PlanYear,12,1)-WEEKDAY(DATE(PlanYear,12,1),3)+22)=12,DATE(PlanYear,12,1)-WEEKDAY(DATE(PlanYear,12,1),3)+22,"")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IF(MONTH(DATE(PlanYear,12,1)-WEEKDAY(DATE(PlanYear,12,1),3)+23)=12,DATE(PlanYear,12,1)-WEEKDAY(DATE(PlanYear,12,1),3)+23,"")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IF(MONTH(DATE(PlanYear,12,1)-WEEKDAY(DATE(PlanYear,12,1),3)+24)=12,DATE(PlanYear,12,1)-WEEKDAY(DATE(PlanYear,12,1),3)+24,"")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IF(MONTH(DATE(PlanYear,12,1)-WEEKDAY(DATE(PlanYear,12,1),3)+25)=12,DATE(PlanYear,12,1)-WEEKDAY(DATE(PlanYear,12,1),3)+25,"")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IF(MONTH(DATE(PlanYear,12,1)-WEEKDAY(DATE(PlanYear,12,1),3)+26)=12,DATE(PlanYear,12,1)-WEEKDAY(DATE(PlanYear,12,1),3)+26,"")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IF(MONTH(DATE(PlanYear,12,1)-WEEKDAY(DATE(PlanYear,12,1),3)+27)=12,DATE(PlanYear,12,1)-WEEKDAY(DATE(PlanYear,12,1),3)+27,"")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IF(MONTH(DATE(PlanYear,12,1)-WEEKDAY(DATE(PlanYear,12,1),3)+28)=12,DATE(PlanYear,12,1)-WEEKDAY(DATE(PlanYear,12,1),3)+28,"")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IF(MONTH(DATE(PlanYear,12,1)-WEEKDAY(DATE(PlanYear,12,1),3)+29)=12,DATE(PlanYear,12,1)-WEEKDAY(DATE(PlanYear,12,1),3)+29,"")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IF(MONTH(DATE(PlanYear,12,1)-WEEKDAY(DATE(PlanYear,12,1),3)+30)=12,DATE(PlanYear,12,1)-WEEKDAY(DATE(PlanYear,12,1),3)+30,"")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IF(MONTH(DATE(PlanYear,12,1)-WEEKDAY(DATE(PlanYear,12,1),3)+31)=12,DATE(PlanYear,12,1)-WEEKDAY(DATE(PlanYear,12,1),3)+31,"")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IF(MONTH(DATE(PlanYear,12,1)-WEEKDAY(DATE(PlanYear,12,1),3)+32)=12,DATE(PlanYear,12,1)-WEEKDAY(DATE(PlanYear,12,1),3)+32,"")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IF(MONTH(DATE(PlanYear,12,1)-WEEKDAY(DATE(PlanYear,12,1),3)+33)=12,DATE(PlanYear,12,1)-WEEKDAY(DATE(PlanYear,12,1),3)+33,"")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IF(MONTH(DATE(PlanYear,12,1)-WEEKDAY(DATE(PlanYear,12,1),3)+34)=12,DATE(PlanYear,12,1)-WEEKDAY(DATE(PlanYear,12,1),3)+34,"")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IF(MONTH(DATE(PlanYear,12,1)-WEEKDAY(DATE(PlanYear,12,1),3)+35)=12,DATE(PlanYear,12,1)-WEEKDAY(DATE(PlanYear,12,1),3)+35,"")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IF(MONTH(DATE(PlanYear,12,1)-WEEKDAY(DATE(PlanYear,12,1),3)+36)=12,DATE(PlanYear,12,1)-WEEKDAY(DATE(PlanYear,12,1),3)+36,"")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IF(MONTH(DATE(PlanYear,12,1)-WEEKDAY(DATE(PlanYear,12,1),3)+37)=12,DATE(PlanYear,12,1)-WEEKDAY(DATE(PlanYear,12,1),3)+37,"")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IF(MONTH(DATE(PlanYear,12,1)-WEEKDAY(DATE(PlanYear,12,1),3)+38)=12,DATE(PlanYear,12,1)-WEEKDAY(DATE(PlanYear,12,1),3)+38,"")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IF(MONTH(DATE(PlanYear,12,1)-WEEKDAY(DATE(PlanYear,12,1),3)+39)=12,DATE(PlanYear,12,1)-WEEKDAY(DATE(PlanYear,12,1),3)+39,"")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IF(MONTH(DATE(PlanYear,12,1)-WEEKDAY(DATE(PlanYear,12,1),3)+40)=12,DATE(PlanYear,12,1)-WEEKDAY(DATE(PlanYear,12,1),3)+40,"")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IF(MONTH(DATE(PlanYear,12,1)-WEEKDAY(DATE(PlanYear,12,1),3)+41)=12,DATE(PlanYear,12,1)-WEEKDAY(DATE(PlanYear,12,1),3)+41,"")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V7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.5" customWidth="1" min="3" max="3"/>
    <col width="10" customWidth="1" min="4" max="4"/>
    <col width="7" customWidth="1" min="5" max="5"/>
    <col width="10.5" customWidth="1" min="6" max="6"/>
    <col width="10" customWidth="1" min="7" max="7"/>
    <col width="7" customWidth="1" min="8" max="8"/>
    <col width="10.5" customWidth="1" min="9" max="9"/>
    <col width="10" customWidth="1" min="10" max="10"/>
    <col width="7" customWidth="1" min="11" max="11"/>
    <col width="10.5" customWidth="1" min="12" max="12"/>
    <col width="10" customWidth="1" min="13" max="13"/>
    <col width="7" customWidth="1" min="14" max="14"/>
    <col width="10.5" customWidth="1" min="15" max="15"/>
    <col width="10" customWidth="1" min="16" max="16"/>
    <col width="7" customWidth="1" min="17" max="17"/>
    <col width="10.5" customWidth="1" min="18" max="18"/>
    <col width="10" customWidth="1" min="19" max="19"/>
    <col width="7" customWidth="1" min="20" max="20"/>
    <col width="10.5" customWidth="1" min="21" max="21"/>
    <col width="10" customWidth="1" min="22" max="22"/>
  </cols>
  <sheetData>
    <row r="1" ht="30" customHeight="1">
      <c r="A1" s="1">
        <f>"MASTER PLANNER  |  JANUARY "&amp;(PlanYear+1) &amp; "  (NEXT YEAR)"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View only: built from the Flights and Day Status sheets. Shows up to 3 flights per shift; more show as '+n more'. Plan on the Flights sheet or in the planner dashboard.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2" customHeight="1">
      <c r="B3" s="45" t="inlineStr">
        <is>
          <t>Planned sorties this month</t>
        </is>
      </c>
      <c r="E3" s="46">
        <f>N(D5)+N(G5)+N(J5)+N(M5)+N(P5)+N(S5)+N(V5)+N(D16)+N(G16)+N(J16)+N(M16)+N(P16)+N(S16)+N(V16)+N(D27)+N(G27)+N(J27)+N(M27)+N(P27)+N(S27)+N(V27)+N(D38)+N(G38)+N(J38)+N(M38)+N(P38)+N(S38)+N(V38)+N(D49)+N(G49)+N(J49)+N(M49)+N(P49)+N(S49)+N(V49)+N(D60)+N(G60)+N(J60)+N(M60)+N(P60)+N(S60)+N(V60)</f>
        <v/>
      </c>
      <c r="G3" s="45" t="inlineStr">
        <is>
          <t>Flights</t>
        </is>
      </c>
      <c r="I3" s="47">
        <f>SUMIFS(FlCount,FlDate,"&gt;="&amp;DATE(PlanYear,13,1),FlDate,"&lt;="&amp;EOMONTH(DATE(PlanYear,13,1),0))</f>
        <v/>
      </c>
      <c r="J3" s="45" t="inlineStr">
        <is>
          <t>Planned flying hrs</t>
        </is>
      </c>
      <c r="L3" s="48">
        <f>SUMIFS(FlHrs,FlDate,"&gt;="&amp;DATE(PlanYear,13,1),FlDate,"&lt;="&amp;EOMONTH(DATE(PlanYear,13,1),0))</f>
        <v/>
      </c>
      <c r="N3" s="17" t="inlineStr">
        <is>
          <t>To add, change or remove a flight: use the Flights sheet, or the Master Planning tab in the planner dashboard.</t>
        </is>
      </c>
    </row>
    <row r="4" ht="22" customHeight="1">
      <c r="B4" s="49" t="inlineStr">
        <is>
          <t>MON</t>
        </is>
      </c>
      <c r="C4" s="2" t="n"/>
      <c r="D4" s="2" t="n"/>
      <c r="E4" s="49" t="inlineStr">
        <is>
          <t>TUE</t>
        </is>
      </c>
      <c r="F4" s="2" t="n"/>
      <c r="G4" s="2" t="n"/>
      <c r="H4" s="49" t="inlineStr">
        <is>
          <t>WED</t>
        </is>
      </c>
      <c r="I4" s="2" t="n"/>
      <c r="J4" s="2" t="n"/>
      <c r="K4" s="49" t="inlineStr">
        <is>
          <t>THU</t>
        </is>
      </c>
      <c r="L4" s="2" t="n"/>
      <c r="M4" s="2" t="n"/>
      <c r="N4" s="49" t="inlineStr">
        <is>
          <t>FRI</t>
        </is>
      </c>
      <c r="O4" s="2" t="n"/>
      <c r="P4" s="2" t="n"/>
      <c r="Q4" s="50" t="inlineStr">
        <is>
          <t>SAT</t>
        </is>
      </c>
      <c r="R4" s="51" t="n"/>
      <c r="S4" s="51" t="n"/>
      <c r="T4" s="50" t="inlineStr">
        <is>
          <t>SUN</t>
        </is>
      </c>
      <c r="U4" s="51" t="n"/>
      <c r="V4" s="51" t="n"/>
    </row>
    <row r="5" ht="19" customHeight="1">
      <c r="B5" s="52">
        <f>IF(MONTH(DATE(PlanYear,13,1)-WEEKDAY(DATE(PlanYear,13,1),3)+0)=1,DATE(PlanYear,13,1)-WEEKDAY(DATE(PlanYear,13,1),3)+0,"")</f>
        <v/>
      </c>
      <c r="C5" s="53" t="n"/>
      <c r="D5" s="54">
        <f>IF($B$5="","",IF(IFERROR(INDEX(DayStat,$B$5-DATE(PlanYear,1,1)+1)&amp;"","")&lt;&gt;"",0,SUMIFS(FlSorties,FlDate,$B$5)))</f>
        <v/>
      </c>
      <c r="E5" s="52">
        <f>IF(MONTH(DATE(PlanYear,13,1)-WEEKDAY(DATE(PlanYear,13,1),3)+1)=1,DATE(PlanYear,13,1)-WEEKDAY(DATE(PlanYear,13,1),3)+1,"")</f>
        <v/>
      </c>
      <c r="F5" s="53" t="n"/>
      <c r="G5" s="54">
        <f>IF($E$5="","",IF(IFERROR(INDEX(DayStat,$E$5-DATE(PlanYear,1,1)+1)&amp;"","")&lt;&gt;"",0,SUMIFS(FlSorties,FlDate,$E$5)))</f>
        <v/>
      </c>
      <c r="H5" s="52">
        <f>IF(MONTH(DATE(PlanYear,13,1)-WEEKDAY(DATE(PlanYear,13,1),3)+2)=1,DATE(PlanYear,13,1)-WEEKDAY(DATE(PlanYear,13,1),3)+2,"")</f>
        <v/>
      </c>
      <c r="I5" s="53" t="n"/>
      <c r="J5" s="54">
        <f>IF($H$5="","",IF(IFERROR(INDEX(DayStat,$H$5-DATE(PlanYear,1,1)+1)&amp;"","")&lt;&gt;"",0,SUMIFS(FlSorties,FlDate,$H$5)))</f>
        <v/>
      </c>
      <c r="K5" s="52">
        <f>IF(MONTH(DATE(PlanYear,13,1)-WEEKDAY(DATE(PlanYear,13,1),3)+3)=1,DATE(PlanYear,13,1)-WEEKDAY(DATE(PlanYear,13,1),3)+3,"")</f>
        <v/>
      </c>
      <c r="L5" s="53" t="n"/>
      <c r="M5" s="54">
        <f>IF($K$5="","",IF(IFERROR(INDEX(DayStat,$K$5-DATE(PlanYear,1,1)+1)&amp;"","")&lt;&gt;"",0,SUMIFS(FlSorties,FlDate,$K$5)))</f>
        <v/>
      </c>
      <c r="N5" s="52">
        <f>IF(MONTH(DATE(PlanYear,13,1)-WEEKDAY(DATE(PlanYear,13,1),3)+4)=1,DATE(PlanYear,13,1)-WEEKDAY(DATE(PlanYear,13,1),3)+4,"")</f>
        <v/>
      </c>
      <c r="O5" s="53" t="n"/>
      <c r="P5" s="54">
        <f>IF($N$5="","",IF(IFERROR(INDEX(DayStat,$N$5-DATE(PlanYear,1,1)+1)&amp;"","")&lt;&gt;"",0,SUMIFS(FlSorties,FlDate,$N$5)))</f>
        <v/>
      </c>
      <c r="Q5" s="55">
        <f>IF(MONTH(DATE(PlanYear,13,1)-WEEKDAY(DATE(PlanYear,13,1),3)+5)=1,DATE(PlanYear,13,1)-WEEKDAY(DATE(PlanYear,13,1),3)+5,"")</f>
        <v/>
      </c>
      <c r="R5" s="56" t="n"/>
      <c r="S5" s="57">
        <f>IF($Q$5="","",IF(IFERROR(INDEX(DayStat,$Q$5-DATE(PlanYear,1,1)+1)&amp;"","")&lt;&gt;"",0,SUMIFS(FlSorties,FlDate,$Q$5)))</f>
        <v/>
      </c>
      <c r="T5" s="55">
        <f>IF(MONTH(DATE(PlanYear,13,1)-WEEKDAY(DATE(PlanYear,13,1),3)+6)=1,DATE(PlanYear,13,1)-WEEKDAY(DATE(PlanYear,13,1),3)+6,"")</f>
        <v/>
      </c>
      <c r="U5" s="56" t="n"/>
      <c r="V5" s="57">
        <f>IF($T$5="","",IF(IFERROR(INDEX(DayStat,$T$5-DATE(PlanYear,1,1)+1)&amp;"","")&lt;&gt;"",0,SUMIFS(FlSorties,FlDate,$T$5)))</f>
        <v/>
      </c>
    </row>
    <row r="6" ht="14" customHeight="1">
      <c r="B6" s="58">
        <f>IF($B$5="","",IF(IFERROR(INDEX(DayStat,$B$5-DATE(PlanYear,1,1)+1)&amp;"","")&lt;&gt;"",IFERROR(INDEX(DayStat,$B$5-DATE(PlanYear,1,1)+1)&amp;"",""),IF(COUNTIF(GrDate,$B$5)=0,"","GND: "&amp;INDEX(GrAct,MATCH($B$5,GrDate,0))&amp;IF(COUNTIF(GrDate,$B$5)&gt;1," +"&amp;(COUNTIF(GrDate,$B$5)-1)&amp;" more",""))))</f>
        <v/>
      </c>
      <c r="C6" s="59" t="n"/>
      <c r="D6" s="60" t="n"/>
      <c r="E6" s="58">
        <f>IF($E$5="","",IF(IFERROR(INDEX(DayStat,$E$5-DATE(PlanYear,1,1)+1)&amp;"","")&lt;&gt;"",IFERROR(INDEX(DayStat,$E$5-DATE(PlanYear,1,1)+1)&amp;"",""),IF(COUNTIF(GrDate,$E$5)=0,"","GND: "&amp;INDEX(GrAct,MATCH($E$5,GrDate,0))&amp;IF(COUNTIF(GrDate,$E$5)&gt;1," +"&amp;(COUNTIF(GrDate,$E$5)-1)&amp;" more",""))))</f>
        <v/>
      </c>
      <c r="F6" s="59" t="n"/>
      <c r="G6" s="60" t="n"/>
      <c r="H6" s="58">
        <f>IF($H$5="","",IF(IFERROR(INDEX(DayStat,$H$5-DATE(PlanYear,1,1)+1)&amp;"","")&lt;&gt;"",IFERROR(INDEX(DayStat,$H$5-DATE(PlanYear,1,1)+1)&amp;"",""),IF(COUNTIF(GrDate,$H$5)=0,"","GND: "&amp;INDEX(GrAct,MATCH($H$5,GrDate,0))&amp;IF(COUNTIF(GrDate,$H$5)&gt;1," +"&amp;(COUNTIF(GrDate,$H$5)-1)&amp;" more",""))))</f>
        <v/>
      </c>
      <c r="I6" s="59" t="n"/>
      <c r="J6" s="60" t="n"/>
      <c r="K6" s="58">
        <f>IF($K$5="","",IF(IFERROR(INDEX(DayStat,$K$5-DATE(PlanYear,1,1)+1)&amp;"","")&lt;&gt;"",IFERROR(INDEX(DayStat,$K$5-DATE(PlanYear,1,1)+1)&amp;"",""),IF(COUNTIF(GrDate,$K$5)=0,"","GND: "&amp;INDEX(GrAct,MATCH($K$5,GrDate,0))&amp;IF(COUNTIF(GrDate,$K$5)&gt;1," +"&amp;(COUNTIF(GrDate,$K$5)-1)&amp;" more",""))))</f>
        <v/>
      </c>
      <c r="L6" s="59" t="n"/>
      <c r="M6" s="60" t="n"/>
      <c r="N6" s="58">
        <f>IF($N$5="","",IF(IFERROR(INDEX(DayStat,$N$5-DATE(PlanYear,1,1)+1)&amp;"","")&lt;&gt;"",IFERROR(INDEX(DayStat,$N$5-DATE(PlanYear,1,1)+1)&amp;"",""),IF(COUNTIF(GrDate,$N$5)=0,"","GND: "&amp;INDEX(GrAct,MATCH($N$5,GrDate,0))&amp;IF(COUNTIF(GrDate,$N$5)&gt;1," +"&amp;(COUNTIF(GrDate,$N$5)-1)&amp;" more",""))))</f>
        <v/>
      </c>
      <c r="O6" s="59" t="n"/>
      <c r="P6" s="60" t="n"/>
      <c r="Q6" s="58">
        <f>IF($Q$5="","",IF(IFERROR(INDEX(DayStat,$Q$5-DATE(PlanYear,1,1)+1)&amp;"","")&lt;&gt;"",IFERROR(INDEX(DayStat,$Q$5-DATE(PlanYear,1,1)+1)&amp;"",""),IF(COUNTIF(GrDate,$Q$5)=0,"","GND: "&amp;INDEX(GrAct,MATCH($Q$5,GrDate,0))&amp;IF(COUNTIF(GrDate,$Q$5)&gt;1," +"&amp;(COUNTIF(GrDate,$Q$5)-1)&amp;" more",""))))</f>
        <v/>
      </c>
      <c r="R6" s="59" t="n"/>
      <c r="S6" s="60" t="n"/>
      <c r="T6" s="58">
        <f>IF($T$5="","",IF(IFERROR(INDEX(DayStat,$T$5-DATE(PlanYear,1,1)+1)&amp;"","")&lt;&gt;"",IFERROR(INDEX(DayStat,$T$5-DATE(PlanYear,1,1)+1)&amp;"",""),IF(COUNTIF(GrDate,$T$5)=0,"","GND: "&amp;INDEX(GrAct,MATCH($T$5,GrDate,0))&amp;IF(COUNTIF(GrDate,$T$5)&gt;1," +"&amp;(COUNTIF(GrDate,$T$5)-1)&amp;" more",""))))</f>
        <v/>
      </c>
      <c r="U6" s="59" t="n"/>
      <c r="V6" s="60" t="n"/>
    </row>
    <row r="7" ht="14" customHeight="1">
      <c r="B7" s="61">
        <f>IF($B$5="","","AM"&amp;IF(COUNTIFS(FlDate,$B$5,FlShift,"AM",FlCode,"&lt;&gt;")&gt;3,CHAR(10)&amp;"+"&amp;(COUNTIFS(FlDate,$B$5,FlShift,"AM",FlCode,"&lt;&gt;")-3)&amp;" more",""))</f>
        <v/>
      </c>
      <c r="C7" s="62">
        <f>IF($B$5="","",IFERROR(INDEX(FlCode,MATCH($B$5&amp;"|AM|1",FlKey,0)),""))</f>
        <v/>
      </c>
      <c r="D7" s="63">
        <f>IF($B$5="","",IFERROR(INDEX(FlTime,MATCH($B$5&amp;"|AM|1",FlKey,0))&amp;"",""))</f>
        <v/>
      </c>
      <c r="E7" s="61">
        <f>IF($E$5="","","AM"&amp;IF(COUNTIFS(FlDate,$E$5,FlShift,"AM",FlCode,"&lt;&gt;")&gt;3,CHAR(10)&amp;"+"&amp;(COUNTIFS(FlDate,$E$5,FlShift,"AM",FlCode,"&lt;&gt;")-3)&amp;" more",""))</f>
        <v/>
      </c>
      <c r="F7" s="62">
        <f>IF($E$5="","",IFERROR(INDEX(FlCode,MATCH($E$5&amp;"|AM|1",FlKey,0)),""))</f>
        <v/>
      </c>
      <c r="G7" s="63">
        <f>IF($E$5="","",IFERROR(INDEX(FlTime,MATCH($E$5&amp;"|AM|1",FlKey,0))&amp;"",""))</f>
        <v/>
      </c>
      <c r="H7" s="61">
        <f>IF($H$5="","","AM"&amp;IF(COUNTIFS(FlDate,$H$5,FlShift,"AM",FlCode,"&lt;&gt;")&gt;3,CHAR(10)&amp;"+"&amp;(COUNTIFS(FlDate,$H$5,FlShift,"AM",FlCode,"&lt;&gt;")-3)&amp;" more",""))</f>
        <v/>
      </c>
      <c r="I7" s="62">
        <f>IF($H$5="","",IFERROR(INDEX(FlCode,MATCH($H$5&amp;"|AM|1",FlKey,0)),""))</f>
        <v/>
      </c>
      <c r="J7" s="63">
        <f>IF($H$5="","",IFERROR(INDEX(FlTime,MATCH($H$5&amp;"|AM|1",FlKey,0))&amp;"",""))</f>
        <v/>
      </c>
      <c r="K7" s="61">
        <f>IF($K$5="","","AM"&amp;IF(COUNTIFS(FlDate,$K$5,FlShift,"AM",FlCode,"&lt;&gt;")&gt;3,CHAR(10)&amp;"+"&amp;(COUNTIFS(FlDate,$K$5,FlShift,"AM",FlCode,"&lt;&gt;")-3)&amp;" more",""))</f>
        <v/>
      </c>
      <c r="L7" s="62">
        <f>IF($K$5="","",IFERROR(INDEX(FlCode,MATCH($K$5&amp;"|AM|1",FlKey,0)),""))</f>
        <v/>
      </c>
      <c r="M7" s="63">
        <f>IF($K$5="","",IFERROR(INDEX(FlTime,MATCH($K$5&amp;"|AM|1",FlKey,0))&amp;"",""))</f>
        <v/>
      </c>
      <c r="N7" s="61">
        <f>IF($N$5="","","AM"&amp;IF(COUNTIFS(FlDate,$N$5,FlShift,"AM",FlCode,"&lt;&gt;")&gt;3,CHAR(10)&amp;"+"&amp;(COUNTIFS(FlDate,$N$5,FlShift,"AM",FlCode,"&lt;&gt;")-3)&amp;" more",""))</f>
        <v/>
      </c>
      <c r="O7" s="62">
        <f>IF($N$5="","",IFERROR(INDEX(FlCode,MATCH($N$5&amp;"|AM|1",FlKey,0)),""))</f>
        <v/>
      </c>
      <c r="P7" s="63">
        <f>IF($N$5="","",IFERROR(INDEX(FlTime,MATCH($N$5&amp;"|AM|1",FlKey,0))&amp;"",""))</f>
        <v/>
      </c>
      <c r="Q7" s="61">
        <f>IF($Q$5="","","AM"&amp;IF(COUNTIFS(FlDate,$Q$5,FlShift,"AM",FlCode,"&lt;&gt;")&gt;3,CHAR(10)&amp;"+"&amp;(COUNTIFS(FlDate,$Q$5,FlShift,"AM",FlCode,"&lt;&gt;")-3)&amp;" more",""))</f>
        <v/>
      </c>
      <c r="R7" s="62">
        <f>IF($Q$5="","",IFERROR(INDEX(FlCode,MATCH($Q$5&amp;"|AM|1",FlKey,0)),""))</f>
        <v/>
      </c>
      <c r="S7" s="63">
        <f>IF($Q$5="","",IFERROR(INDEX(FlTime,MATCH($Q$5&amp;"|AM|1",FlKey,0))&amp;"",""))</f>
        <v/>
      </c>
      <c r="T7" s="61">
        <f>IF($T$5="","","AM"&amp;IF(COUNTIFS(FlDate,$T$5,FlShift,"AM",FlCode,"&lt;&gt;")&gt;3,CHAR(10)&amp;"+"&amp;(COUNTIFS(FlDate,$T$5,FlShift,"AM",FlCode,"&lt;&gt;")-3)&amp;" more",""))</f>
        <v/>
      </c>
      <c r="U7" s="62">
        <f>IF($T$5="","",IFERROR(INDEX(FlCode,MATCH($T$5&amp;"|AM|1",FlKey,0)),""))</f>
        <v/>
      </c>
      <c r="V7" s="63">
        <f>IF($T$5="","",IFERROR(INDEX(FlTime,MATCH($T$5&amp;"|AM|1",FlKey,0))&amp;"",""))</f>
        <v/>
      </c>
    </row>
    <row r="8" ht="14" customHeight="1">
      <c r="B8" s="64" t="n"/>
      <c r="C8" s="62">
        <f>IF($B$5="","",IFERROR(INDEX(FlCode,MATCH($B$5&amp;"|AM|2",FlKey,0)),""))</f>
        <v/>
      </c>
      <c r="D8" s="63">
        <f>IF($B$5="","",IFERROR(INDEX(FlTime,MATCH($B$5&amp;"|AM|2",FlKey,0))&amp;"",""))</f>
        <v/>
      </c>
      <c r="E8" s="64" t="n"/>
      <c r="F8" s="62">
        <f>IF($E$5="","",IFERROR(INDEX(FlCode,MATCH($E$5&amp;"|AM|2",FlKey,0)),""))</f>
        <v/>
      </c>
      <c r="G8" s="63">
        <f>IF($E$5="","",IFERROR(INDEX(FlTime,MATCH($E$5&amp;"|AM|2",FlKey,0))&amp;"",""))</f>
        <v/>
      </c>
      <c r="H8" s="64" t="n"/>
      <c r="I8" s="62">
        <f>IF($H$5="","",IFERROR(INDEX(FlCode,MATCH($H$5&amp;"|AM|2",FlKey,0)),""))</f>
        <v/>
      </c>
      <c r="J8" s="63">
        <f>IF($H$5="","",IFERROR(INDEX(FlTime,MATCH($H$5&amp;"|AM|2",FlKey,0))&amp;"",""))</f>
        <v/>
      </c>
      <c r="K8" s="64" t="n"/>
      <c r="L8" s="62">
        <f>IF($K$5="","",IFERROR(INDEX(FlCode,MATCH($K$5&amp;"|AM|2",FlKey,0)),""))</f>
        <v/>
      </c>
      <c r="M8" s="63">
        <f>IF($K$5="","",IFERROR(INDEX(FlTime,MATCH($K$5&amp;"|AM|2",FlKey,0))&amp;"",""))</f>
        <v/>
      </c>
      <c r="N8" s="64" t="n"/>
      <c r="O8" s="62">
        <f>IF($N$5="","",IFERROR(INDEX(FlCode,MATCH($N$5&amp;"|AM|2",FlKey,0)),""))</f>
        <v/>
      </c>
      <c r="P8" s="63">
        <f>IF($N$5="","",IFERROR(INDEX(FlTime,MATCH($N$5&amp;"|AM|2",FlKey,0))&amp;"",""))</f>
        <v/>
      </c>
      <c r="Q8" s="64" t="n"/>
      <c r="R8" s="62">
        <f>IF($Q$5="","",IFERROR(INDEX(FlCode,MATCH($Q$5&amp;"|AM|2",FlKey,0)),""))</f>
        <v/>
      </c>
      <c r="S8" s="63">
        <f>IF($Q$5="","",IFERROR(INDEX(FlTime,MATCH($Q$5&amp;"|AM|2",FlKey,0))&amp;"",""))</f>
        <v/>
      </c>
      <c r="T8" s="64" t="n"/>
      <c r="U8" s="62">
        <f>IF($T$5="","",IFERROR(INDEX(FlCode,MATCH($T$5&amp;"|AM|2",FlKey,0)),""))</f>
        <v/>
      </c>
      <c r="V8" s="63">
        <f>IF($T$5="","",IFERROR(INDEX(FlTime,MATCH($T$5&amp;"|AM|2",FlKey,0))&amp;"",""))</f>
        <v/>
      </c>
    </row>
    <row r="9" ht="14" customHeight="1">
      <c r="B9" s="65" t="n"/>
      <c r="C9" s="66">
        <f>IF($B$5="","",IFERROR(INDEX(FlCode,MATCH($B$5&amp;"|AM|3",FlKey,0)),""))</f>
        <v/>
      </c>
      <c r="D9" s="67">
        <f>IF($B$5="","",IFERROR(INDEX(FlTime,MATCH($B$5&amp;"|AM|3",FlKey,0))&amp;"",""))</f>
        <v/>
      </c>
      <c r="E9" s="65" t="n"/>
      <c r="F9" s="66">
        <f>IF($E$5="","",IFERROR(INDEX(FlCode,MATCH($E$5&amp;"|AM|3",FlKey,0)),""))</f>
        <v/>
      </c>
      <c r="G9" s="67">
        <f>IF($E$5="","",IFERROR(INDEX(FlTime,MATCH($E$5&amp;"|AM|3",FlKey,0))&amp;"",""))</f>
        <v/>
      </c>
      <c r="H9" s="65" t="n"/>
      <c r="I9" s="66">
        <f>IF($H$5="","",IFERROR(INDEX(FlCode,MATCH($H$5&amp;"|AM|3",FlKey,0)),""))</f>
        <v/>
      </c>
      <c r="J9" s="67">
        <f>IF($H$5="","",IFERROR(INDEX(FlTime,MATCH($H$5&amp;"|AM|3",FlKey,0))&amp;"",""))</f>
        <v/>
      </c>
      <c r="K9" s="65" t="n"/>
      <c r="L9" s="66">
        <f>IF($K$5="","",IFERROR(INDEX(FlCode,MATCH($K$5&amp;"|AM|3",FlKey,0)),""))</f>
        <v/>
      </c>
      <c r="M9" s="67">
        <f>IF($K$5="","",IFERROR(INDEX(FlTime,MATCH($K$5&amp;"|AM|3",FlKey,0))&amp;"",""))</f>
        <v/>
      </c>
      <c r="N9" s="65" t="n"/>
      <c r="O9" s="66">
        <f>IF($N$5="","",IFERROR(INDEX(FlCode,MATCH($N$5&amp;"|AM|3",FlKey,0)),""))</f>
        <v/>
      </c>
      <c r="P9" s="67">
        <f>IF($N$5="","",IFERROR(INDEX(FlTime,MATCH($N$5&amp;"|AM|3",FlKey,0))&amp;"",""))</f>
        <v/>
      </c>
      <c r="Q9" s="65" t="n"/>
      <c r="R9" s="66">
        <f>IF($Q$5="","",IFERROR(INDEX(FlCode,MATCH($Q$5&amp;"|AM|3",FlKey,0)),""))</f>
        <v/>
      </c>
      <c r="S9" s="67">
        <f>IF($Q$5="","",IFERROR(INDEX(FlTime,MATCH($Q$5&amp;"|AM|3",FlKey,0))&amp;"",""))</f>
        <v/>
      </c>
      <c r="T9" s="65" t="n"/>
      <c r="U9" s="66">
        <f>IF($T$5="","",IFERROR(INDEX(FlCode,MATCH($T$5&amp;"|AM|3",FlKey,0)),""))</f>
        <v/>
      </c>
      <c r="V9" s="67">
        <f>IF($T$5="","",IFERROR(INDEX(FlTime,MATCH($T$5&amp;"|AM|3",FlKey,0))&amp;"",""))</f>
        <v/>
      </c>
    </row>
    <row r="10" ht="14" customHeight="1">
      <c r="B10" s="68">
        <f>IF($B$5="","","PM"&amp;IF(COUNTIFS(FlDate,$B$5,FlShift,"PM",FlCode,"&lt;&gt;")&gt;3,CHAR(10)&amp;"+"&amp;(COUNTIFS(FlDate,$B$5,FlShift,"PM",FlCode,"&lt;&gt;")-3)&amp;" more",""))</f>
        <v/>
      </c>
      <c r="C10" s="62">
        <f>IF($B$5="","",IFERROR(INDEX(FlCode,MATCH($B$5&amp;"|PM|1",FlKey,0)),""))</f>
        <v/>
      </c>
      <c r="D10" s="63">
        <f>IF($B$5="","",IFERROR(INDEX(FlTime,MATCH($B$5&amp;"|PM|1",FlKey,0))&amp;"",""))</f>
        <v/>
      </c>
      <c r="E10" s="68">
        <f>IF($E$5="","","PM"&amp;IF(COUNTIFS(FlDate,$E$5,FlShift,"PM",FlCode,"&lt;&gt;")&gt;3,CHAR(10)&amp;"+"&amp;(COUNTIFS(FlDate,$E$5,FlShift,"PM",FlCode,"&lt;&gt;")-3)&amp;" more",""))</f>
        <v/>
      </c>
      <c r="F10" s="62">
        <f>IF($E$5="","",IFERROR(INDEX(FlCode,MATCH($E$5&amp;"|PM|1",FlKey,0)),""))</f>
        <v/>
      </c>
      <c r="G10" s="63">
        <f>IF($E$5="","",IFERROR(INDEX(FlTime,MATCH($E$5&amp;"|PM|1",FlKey,0))&amp;"",""))</f>
        <v/>
      </c>
      <c r="H10" s="68">
        <f>IF($H$5="","","PM"&amp;IF(COUNTIFS(FlDate,$H$5,FlShift,"PM",FlCode,"&lt;&gt;")&gt;3,CHAR(10)&amp;"+"&amp;(COUNTIFS(FlDate,$H$5,FlShift,"PM",FlCode,"&lt;&gt;")-3)&amp;" more",""))</f>
        <v/>
      </c>
      <c r="I10" s="62">
        <f>IF($H$5="","",IFERROR(INDEX(FlCode,MATCH($H$5&amp;"|PM|1",FlKey,0)),""))</f>
        <v/>
      </c>
      <c r="J10" s="63">
        <f>IF($H$5="","",IFERROR(INDEX(FlTime,MATCH($H$5&amp;"|PM|1",FlKey,0))&amp;"",""))</f>
        <v/>
      </c>
      <c r="K10" s="68">
        <f>IF($K$5="","","PM"&amp;IF(COUNTIFS(FlDate,$K$5,FlShift,"PM",FlCode,"&lt;&gt;")&gt;3,CHAR(10)&amp;"+"&amp;(COUNTIFS(FlDate,$K$5,FlShift,"PM",FlCode,"&lt;&gt;")-3)&amp;" more",""))</f>
        <v/>
      </c>
      <c r="L10" s="62">
        <f>IF($K$5="","",IFERROR(INDEX(FlCode,MATCH($K$5&amp;"|PM|1",FlKey,0)),""))</f>
        <v/>
      </c>
      <c r="M10" s="63">
        <f>IF($K$5="","",IFERROR(INDEX(FlTime,MATCH($K$5&amp;"|PM|1",FlKey,0))&amp;"",""))</f>
        <v/>
      </c>
      <c r="N10" s="68">
        <f>IF($N$5="","","PM"&amp;IF(COUNTIFS(FlDate,$N$5,FlShift,"PM",FlCode,"&lt;&gt;")&gt;3,CHAR(10)&amp;"+"&amp;(COUNTIFS(FlDate,$N$5,FlShift,"PM",FlCode,"&lt;&gt;")-3)&amp;" more",""))</f>
        <v/>
      </c>
      <c r="O10" s="62">
        <f>IF($N$5="","",IFERROR(INDEX(FlCode,MATCH($N$5&amp;"|PM|1",FlKey,0)),""))</f>
        <v/>
      </c>
      <c r="P10" s="63">
        <f>IF($N$5="","",IFERROR(INDEX(FlTime,MATCH($N$5&amp;"|PM|1",FlKey,0))&amp;"",""))</f>
        <v/>
      </c>
      <c r="Q10" s="68">
        <f>IF($Q$5="","","PM"&amp;IF(COUNTIFS(FlDate,$Q$5,FlShift,"PM",FlCode,"&lt;&gt;")&gt;3,CHAR(10)&amp;"+"&amp;(COUNTIFS(FlDate,$Q$5,FlShift,"PM",FlCode,"&lt;&gt;")-3)&amp;" more",""))</f>
        <v/>
      </c>
      <c r="R10" s="62">
        <f>IF($Q$5="","",IFERROR(INDEX(FlCode,MATCH($Q$5&amp;"|PM|1",FlKey,0)),""))</f>
        <v/>
      </c>
      <c r="S10" s="63">
        <f>IF($Q$5="","",IFERROR(INDEX(FlTime,MATCH($Q$5&amp;"|PM|1",FlKey,0))&amp;"",""))</f>
        <v/>
      </c>
      <c r="T10" s="68">
        <f>IF($T$5="","","PM"&amp;IF(COUNTIFS(FlDate,$T$5,FlShift,"PM",FlCode,"&lt;&gt;")&gt;3,CHAR(10)&amp;"+"&amp;(COUNTIFS(FlDate,$T$5,FlShift,"PM",FlCode,"&lt;&gt;")-3)&amp;" more",""))</f>
        <v/>
      </c>
      <c r="U10" s="62">
        <f>IF($T$5="","",IFERROR(INDEX(FlCode,MATCH($T$5&amp;"|PM|1",FlKey,0)),""))</f>
        <v/>
      </c>
      <c r="V10" s="63">
        <f>IF($T$5="","",IFERROR(INDEX(FlTime,MATCH($T$5&amp;"|PM|1",FlKey,0))&amp;"",""))</f>
        <v/>
      </c>
    </row>
    <row r="11" ht="14" customHeight="1">
      <c r="B11" s="69" t="n"/>
      <c r="C11" s="62">
        <f>IF($B$5="","",IFERROR(INDEX(FlCode,MATCH($B$5&amp;"|PM|2",FlKey,0)),""))</f>
        <v/>
      </c>
      <c r="D11" s="63">
        <f>IF($B$5="","",IFERROR(INDEX(FlTime,MATCH($B$5&amp;"|PM|2",FlKey,0))&amp;"",""))</f>
        <v/>
      </c>
      <c r="E11" s="69" t="n"/>
      <c r="F11" s="62">
        <f>IF($E$5="","",IFERROR(INDEX(FlCode,MATCH($E$5&amp;"|PM|2",FlKey,0)),""))</f>
        <v/>
      </c>
      <c r="G11" s="63">
        <f>IF($E$5="","",IFERROR(INDEX(FlTime,MATCH($E$5&amp;"|PM|2",FlKey,0))&amp;"",""))</f>
        <v/>
      </c>
      <c r="H11" s="69" t="n"/>
      <c r="I11" s="62">
        <f>IF($H$5="","",IFERROR(INDEX(FlCode,MATCH($H$5&amp;"|PM|2",FlKey,0)),""))</f>
        <v/>
      </c>
      <c r="J11" s="63">
        <f>IF($H$5="","",IFERROR(INDEX(FlTime,MATCH($H$5&amp;"|PM|2",FlKey,0))&amp;"",""))</f>
        <v/>
      </c>
      <c r="K11" s="69" t="n"/>
      <c r="L11" s="62">
        <f>IF($K$5="","",IFERROR(INDEX(FlCode,MATCH($K$5&amp;"|PM|2",FlKey,0)),""))</f>
        <v/>
      </c>
      <c r="M11" s="63">
        <f>IF($K$5="","",IFERROR(INDEX(FlTime,MATCH($K$5&amp;"|PM|2",FlKey,0))&amp;"",""))</f>
        <v/>
      </c>
      <c r="N11" s="69" t="n"/>
      <c r="O11" s="62">
        <f>IF($N$5="","",IFERROR(INDEX(FlCode,MATCH($N$5&amp;"|PM|2",FlKey,0)),""))</f>
        <v/>
      </c>
      <c r="P11" s="63">
        <f>IF($N$5="","",IFERROR(INDEX(FlTime,MATCH($N$5&amp;"|PM|2",FlKey,0))&amp;"",""))</f>
        <v/>
      </c>
      <c r="Q11" s="69" t="n"/>
      <c r="R11" s="62">
        <f>IF($Q$5="","",IFERROR(INDEX(FlCode,MATCH($Q$5&amp;"|PM|2",FlKey,0)),""))</f>
        <v/>
      </c>
      <c r="S11" s="63">
        <f>IF($Q$5="","",IFERROR(INDEX(FlTime,MATCH($Q$5&amp;"|PM|2",FlKey,0))&amp;"",""))</f>
        <v/>
      </c>
      <c r="T11" s="69" t="n"/>
      <c r="U11" s="62">
        <f>IF($T$5="","",IFERROR(INDEX(FlCode,MATCH($T$5&amp;"|PM|2",FlKey,0)),""))</f>
        <v/>
      </c>
      <c r="V11" s="63">
        <f>IF($T$5="","",IFERROR(INDEX(FlTime,MATCH($T$5&amp;"|PM|2",FlKey,0))&amp;"",""))</f>
        <v/>
      </c>
    </row>
    <row r="12" ht="14" customHeight="1">
      <c r="B12" s="70" t="n"/>
      <c r="C12" s="66">
        <f>IF($B$5="","",IFERROR(INDEX(FlCode,MATCH($B$5&amp;"|PM|3",FlKey,0)),""))</f>
        <v/>
      </c>
      <c r="D12" s="67">
        <f>IF($B$5="","",IFERROR(INDEX(FlTime,MATCH($B$5&amp;"|PM|3",FlKey,0))&amp;"",""))</f>
        <v/>
      </c>
      <c r="E12" s="70" t="n"/>
      <c r="F12" s="66">
        <f>IF($E$5="","",IFERROR(INDEX(FlCode,MATCH($E$5&amp;"|PM|3",FlKey,0)),""))</f>
        <v/>
      </c>
      <c r="G12" s="67">
        <f>IF($E$5="","",IFERROR(INDEX(FlTime,MATCH($E$5&amp;"|PM|3",FlKey,0))&amp;"",""))</f>
        <v/>
      </c>
      <c r="H12" s="70" t="n"/>
      <c r="I12" s="66">
        <f>IF($H$5="","",IFERROR(INDEX(FlCode,MATCH($H$5&amp;"|PM|3",FlKey,0)),""))</f>
        <v/>
      </c>
      <c r="J12" s="67">
        <f>IF($H$5="","",IFERROR(INDEX(FlTime,MATCH($H$5&amp;"|PM|3",FlKey,0))&amp;"",""))</f>
        <v/>
      </c>
      <c r="K12" s="70" t="n"/>
      <c r="L12" s="66">
        <f>IF($K$5="","",IFERROR(INDEX(FlCode,MATCH($K$5&amp;"|PM|3",FlKey,0)),""))</f>
        <v/>
      </c>
      <c r="M12" s="67">
        <f>IF($K$5="","",IFERROR(INDEX(FlTime,MATCH($K$5&amp;"|PM|3",FlKey,0))&amp;"",""))</f>
        <v/>
      </c>
      <c r="N12" s="70" t="n"/>
      <c r="O12" s="66">
        <f>IF($N$5="","",IFERROR(INDEX(FlCode,MATCH($N$5&amp;"|PM|3",FlKey,0)),""))</f>
        <v/>
      </c>
      <c r="P12" s="67">
        <f>IF($N$5="","",IFERROR(INDEX(FlTime,MATCH($N$5&amp;"|PM|3",FlKey,0))&amp;"",""))</f>
        <v/>
      </c>
      <c r="Q12" s="70" t="n"/>
      <c r="R12" s="66">
        <f>IF($Q$5="","",IFERROR(INDEX(FlCode,MATCH($Q$5&amp;"|PM|3",FlKey,0)),""))</f>
        <v/>
      </c>
      <c r="S12" s="67">
        <f>IF($Q$5="","",IFERROR(INDEX(FlTime,MATCH($Q$5&amp;"|PM|3",FlKey,0))&amp;"",""))</f>
        <v/>
      </c>
      <c r="T12" s="70" t="n"/>
      <c r="U12" s="66">
        <f>IF($T$5="","",IFERROR(INDEX(FlCode,MATCH($T$5&amp;"|PM|3",FlKey,0)),""))</f>
        <v/>
      </c>
      <c r="V12" s="67">
        <f>IF($T$5="","",IFERROR(INDEX(FlTime,MATCH($T$5&amp;"|PM|3",FlKey,0))&amp;"",""))</f>
        <v/>
      </c>
    </row>
    <row r="13" ht="14" customHeight="1">
      <c r="B13" s="71">
        <f>IF($B$5="","","NIGHT"&amp;IF(COUNTIFS(FlDate,$B$5,FlShift,"NIGHT",FlCode,"&lt;&gt;")&gt;3,CHAR(10)&amp;"+"&amp;(COUNTIFS(FlDate,$B$5,FlShift,"NIGHT",FlCode,"&lt;&gt;")-3)&amp;" more",""))</f>
        <v/>
      </c>
      <c r="C13" s="62">
        <f>IF($B$5="","",IFERROR(INDEX(FlCode,MATCH($B$5&amp;"|NIGHT|1",FlKey,0)),""))</f>
        <v/>
      </c>
      <c r="D13" s="63">
        <f>IF($B$5="","",IFERROR(INDEX(FlTime,MATCH($B$5&amp;"|NIGHT|1",FlKey,0))&amp;"",""))</f>
        <v/>
      </c>
      <c r="E13" s="71">
        <f>IF($E$5="","","NIGHT"&amp;IF(COUNTIFS(FlDate,$E$5,FlShift,"NIGHT",FlCode,"&lt;&gt;")&gt;3,CHAR(10)&amp;"+"&amp;(COUNTIFS(FlDate,$E$5,FlShift,"NIGHT",FlCode,"&lt;&gt;")-3)&amp;" more",""))</f>
        <v/>
      </c>
      <c r="F13" s="62">
        <f>IF($E$5="","",IFERROR(INDEX(FlCode,MATCH($E$5&amp;"|NIGHT|1",FlKey,0)),""))</f>
        <v/>
      </c>
      <c r="G13" s="63">
        <f>IF($E$5="","",IFERROR(INDEX(FlTime,MATCH($E$5&amp;"|NIGHT|1",FlKey,0))&amp;"",""))</f>
        <v/>
      </c>
      <c r="H13" s="71">
        <f>IF($H$5="","","NIGHT"&amp;IF(COUNTIFS(FlDate,$H$5,FlShift,"NIGHT",FlCode,"&lt;&gt;")&gt;3,CHAR(10)&amp;"+"&amp;(COUNTIFS(FlDate,$H$5,FlShift,"NIGHT",FlCode,"&lt;&gt;")-3)&amp;" more",""))</f>
        <v/>
      </c>
      <c r="I13" s="62">
        <f>IF($H$5="","",IFERROR(INDEX(FlCode,MATCH($H$5&amp;"|NIGHT|1",FlKey,0)),""))</f>
        <v/>
      </c>
      <c r="J13" s="63">
        <f>IF($H$5="","",IFERROR(INDEX(FlTime,MATCH($H$5&amp;"|NIGHT|1",FlKey,0))&amp;"",""))</f>
        <v/>
      </c>
      <c r="K13" s="71">
        <f>IF($K$5="","","NIGHT"&amp;IF(COUNTIFS(FlDate,$K$5,FlShift,"NIGHT",FlCode,"&lt;&gt;")&gt;3,CHAR(10)&amp;"+"&amp;(COUNTIFS(FlDate,$K$5,FlShift,"NIGHT",FlCode,"&lt;&gt;")-3)&amp;" more",""))</f>
        <v/>
      </c>
      <c r="L13" s="62">
        <f>IF($K$5="","",IFERROR(INDEX(FlCode,MATCH($K$5&amp;"|NIGHT|1",FlKey,0)),""))</f>
        <v/>
      </c>
      <c r="M13" s="63">
        <f>IF($K$5="","",IFERROR(INDEX(FlTime,MATCH($K$5&amp;"|NIGHT|1",FlKey,0))&amp;"",""))</f>
        <v/>
      </c>
      <c r="N13" s="71">
        <f>IF($N$5="","","NIGHT"&amp;IF(COUNTIFS(FlDate,$N$5,FlShift,"NIGHT",FlCode,"&lt;&gt;")&gt;3,CHAR(10)&amp;"+"&amp;(COUNTIFS(FlDate,$N$5,FlShift,"NIGHT",FlCode,"&lt;&gt;")-3)&amp;" more",""))</f>
        <v/>
      </c>
      <c r="O13" s="62">
        <f>IF($N$5="","",IFERROR(INDEX(FlCode,MATCH($N$5&amp;"|NIGHT|1",FlKey,0)),""))</f>
        <v/>
      </c>
      <c r="P13" s="63">
        <f>IF($N$5="","",IFERROR(INDEX(FlTime,MATCH($N$5&amp;"|NIGHT|1",FlKey,0))&amp;"",""))</f>
        <v/>
      </c>
      <c r="Q13" s="71">
        <f>IF($Q$5="","","NIGHT"&amp;IF(COUNTIFS(FlDate,$Q$5,FlShift,"NIGHT",FlCode,"&lt;&gt;")&gt;3,CHAR(10)&amp;"+"&amp;(COUNTIFS(FlDate,$Q$5,FlShift,"NIGHT",FlCode,"&lt;&gt;")-3)&amp;" more",""))</f>
        <v/>
      </c>
      <c r="R13" s="62">
        <f>IF($Q$5="","",IFERROR(INDEX(FlCode,MATCH($Q$5&amp;"|NIGHT|1",FlKey,0)),""))</f>
        <v/>
      </c>
      <c r="S13" s="63">
        <f>IF($Q$5="","",IFERROR(INDEX(FlTime,MATCH($Q$5&amp;"|NIGHT|1",FlKey,0))&amp;"",""))</f>
        <v/>
      </c>
      <c r="T13" s="71">
        <f>IF($T$5="","","NIGHT"&amp;IF(COUNTIFS(FlDate,$T$5,FlShift,"NIGHT",FlCode,"&lt;&gt;")&gt;3,CHAR(10)&amp;"+"&amp;(COUNTIFS(FlDate,$T$5,FlShift,"NIGHT",FlCode,"&lt;&gt;")-3)&amp;" more",""))</f>
        <v/>
      </c>
      <c r="U13" s="62">
        <f>IF($T$5="","",IFERROR(INDEX(FlCode,MATCH($T$5&amp;"|NIGHT|1",FlKey,0)),""))</f>
        <v/>
      </c>
      <c r="V13" s="63">
        <f>IF($T$5="","",IFERROR(INDEX(FlTime,MATCH($T$5&amp;"|NIGHT|1",FlKey,0))&amp;"",""))</f>
        <v/>
      </c>
    </row>
    <row r="14" ht="14" customHeight="1">
      <c r="B14" s="72" t="n"/>
      <c r="C14" s="62">
        <f>IF($B$5="","",IFERROR(INDEX(FlCode,MATCH($B$5&amp;"|NIGHT|2",FlKey,0)),""))</f>
        <v/>
      </c>
      <c r="D14" s="63">
        <f>IF($B$5="","",IFERROR(INDEX(FlTime,MATCH($B$5&amp;"|NIGHT|2",FlKey,0))&amp;"",""))</f>
        <v/>
      </c>
      <c r="E14" s="72" t="n"/>
      <c r="F14" s="62">
        <f>IF($E$5="","",IFERROR(INDEX(FlCode,MATCH($E$5&amp;"|NIGHT|2",FlKey,0)),""))</f>
        <v/>
      </c>
      <c r="G14" s="63">
        <f>IF($E$5="","",IFERROR(INDEX(FlTime,MATCH($E$5&amp;"|NIGHT|2",FlKey,0))&amp;"",""))</f>
        <v/>
      </c>
      <c r="H14" s="72" t="n"/>
      <c r="I14" s="62">
        <f>IF($H$5="","",IFERROR(INDEX(FlCode,MATCH($H$5&amp;"|NIGHT|2",FlKey,0)),""))</f>
        <v/>
      </c>
      <c r="J14" s="63">
        <f>IF($H$5="","",IFERROR(INDEX(FlTime,MATCH($H$5&amp;"|NIGHT|2",FlKey,0))&amp;"",""))</f>
        <v/>
      </c>
      <c r="K14" s="72" t="n"/>
      <c r="L14" s="62">
        <f>IF($K$5="","",IFERROR(INDEX(FlCode,MATCH($K$5&amp;"|NIGHT|2",FlKey,0)),""))</f>
        <v/>
      </c>
      <c r="M14" s="63">
        <f>IF($K$5="","",IFERROR(INDEX(FlTime,MATCH($K$5&amp;"|NIGHT|2",FlKey,0))&amp;"",""))</f>
        <v/>
      </c>
      <c r="N14" s="72" t="n"/>
      <c r="O14" s="62">
        <f>IF($N$5="","",IFERROR(INDEX(FlCode,MATCH($N$5&amp;"|NIGHT|2",FlKey,0)),""))</f>
        <v/>
      </c>
      <c r="P14" s="63">
        <f>IF($N$5="","",IFERROR(INDEX(FlTime,MATCH($N$5&amp;"|NIGHT|2",FlKey,0))&amp;"",""))</f>
        <v/>
      </c>
      <c r="Q14" s="72" t="n"/>
      <c r="R14" s="62">
        <f>IF($Q$5="","",IFERROR(INDEX(FlCode,MATCH($Q$5&amp;"|NIGHT|2",FlKey,0)),""))</f>
        <v/>
      </c>
      <c r="S14" s="63">
        <f>IF($Q$5="","",IFERROR(INDEX(FlTime,MATCH($Q$5&amp;"|NIGHT|2",FlKey,0))&amp;"",""))</f>
        <v/>
      </c>
      <c r="T14" s="72" t="n"/>
      <c r="U14" s="62">
        <f>IF($T$5="","",IFERROR(INDEX(FlCode,MATCH($T$5&amp;"|NIGHT|2",FlKey,0)),""))</f>
        <v/>
      </c>
      <c r="V14" s="63">
        <f>IF($T$5="","",IFERROR(INDEX(FlTime,MATCH($T$5&amp;"|NIGHT|2",FlKey,0))&amp;"",""))</f>
        <v/>
      </c>
    </row>
    <row r="15" ht="14" customHeight="1">
      <c r="B15" s="73" t="n"/>
      <c r="C15" s="74">
        <f>IF($B$5="","",IFERROR(INDEX(FlCode,MATCH($B$5&amp;"|NIGHT|3",FlKey,0)),""))</f>
        <v/>
      </c>
      <c r="D15" s="75">
        <f>IF($B$5="","",IFERROR(INDEX(FlTime,MATCH($B$5&amp;"|NIGHT|3",FlKey,0))&amp;"",""))</f>
        <v/>
      </c>
      <c r="E15" s="73" t="n"/>
      <c r="F15" s="74">
        <f>IF($E$5="","",IFERROR(INDEX(FlCode,MATCH($E$5&amp;"|NIGHT|3",FlKey,0)),""))</f>
        <v/>
      </c>
      <c r="G15" s="75">
        <f>IF($E$5="","",IFERROR(INDEX(FlTime,MATCH($E$5&amp;"|NIGHT|3",FlKey,0))&amp;"",""))</f>
        <v/>
      </c>
      <c r="H15" s="73" t="n"/>
      <c r="I15" s="74">
        <f>IF($H$5="","",IFERROR(INDEX(FlCode,MATCH($H$5&amp;"|NIGHT|3",FlKey,0)),""))</f>
        <v/>
      </c>
      <c r="J15" s="75">
        <f>IF($H$5="","",IFERROR(INDEX(FlTime,MATCH($H$5&amp;"|NIGHT|3",FlKey,0))&amp;"",""))</f>
        <v/>
      </c>
      <c r="K15" s="73" t="n"/>
      <c r="L15" s="74">
        <f>IF($K$5="","",IFERROR(INDEX(FlCode,MATCH($K$5&amp;"|NIGHT|3",FlKey,0)),""))</f>
        <v/>
      </c>
      <c r="M15" s="75">
        <f>IF($K$5="","",IFERROR(INDEX(FlTime,MATCH($K$5&amp;"|NIGHT|3",FlKey,0))&amp;"",""))</f>
        <v/>
      </c>
      <c r="N15" s="73" t="n"/>
      <c r="O15" s="74">
        <f>IF($N$5="","",IFERROR(INDEX(FlCode,MATCH($N$5&amp;"|NIGHT|3",FlKey,0)),""))</f>
        <v/>
      </c>
      <c r="P15" s="75">
        <f>IF($N$5="","",IFERROR(INDEX(FlTime,MATCH($N$5&amp;"|NIGHT|3",FlKey,0))&amp;"",""))</f>
        <v/>
      </c>
      <c r="Q15" s="73" t="n"/>
      <c r="R15" s="74">
        <f>IF($Q$5="","",IFERROR(INDEX(FlCode,MATCH($Q$5&amp;"|NIGHT|3",FlKey,0)),""))</f>
        <v/>
      </c>
      <c r="S15" s="75">
        <f>IF($Q$5="","",IFERROR(INDEX(FlTime,MATCH($Q$5&amp;"|NIGHT|3",FlKey,0))&amp;"",""))</f>
        <v/>
      </c>
      <c r="T15" s="73" t="n"/>
      <c r="U15" s="74">
        <f>IF($T$5="","",IFERROR(INDEX(FlCode,MATCH($T$5&amp;"|NIGHT|3",FlKey,0)),""))</f>
        <v/>
      </c>
      <c r="V15" s="75">
        <f>IF($T$5="","",IFERROR(INDEX(FlTime,MATCH($T$5&amp;"|NIGHT|3",FlKey,0))&amp;"",""))</f>
        <v/>
      </c>
    </row>
    <row r="16" ht="19" customHeight="1">
      <c r="B16" s="52">
        <f>IF(MONTH(DATE(PlanYear,13,1)-WEEKDAY(DATE(PlanYear,13,1),3)+7)=1,DATE(PlanYear,13,1)-WEEKDAY(DATE(PlanYear,13,1),3)+7,"")</f>
        <v/>
      </c>
      <c r="C16" s="53" t="n"/>
      <c r="D16" s="54">
        <f>IF($B$16="","",IF(IFERROR(INDEX(DayStat,$B$16-DATE(PlanYear,1,1)+1)&amp;"","")&lt;&gt;"",0,SUMIFS(FlSorties,FlDate,$B$16)))</f>
        <v/>
      </c>
      <c r="E16" s="52">
        <f>IF(MONTH(DATE(PlanYear,13,1)-WEEKDAY(DATE(PlanYear,13,1),3)+8)=1,DATE(PlanYear,13,1)-WEEKDAY(DATE(PlanYear,13,1),3)+8,"")</f>
        <v/>
      </c>
      <c r="F16" s="53" t="n"/>
      <c r="G16" s="54">
        <f>IF($E$16="","",IF(IFERROR(INDEX(DayStat,$E$16-DATE(PlanYear,1,1)+1)&amp;"","")&lt;&gt;"",0,SUMIFS(FlSorties,FlDate,$E$16)))</f>
        <v/>
      </c>
      <c r="H16" s="52">
        <f>IF(MONTH(DATE(PlanYear,13,1)-WEEKDAY(DATE(PlanYear,13,1),3)+9)=1,DATE(PlanYear,13,1)-WEEKDAY(DATE(PlanYear,13,1),3)+9,"")</f>
        <v/>
      </c>
      <c r="I16" s="53" t="n"/>
      <c r="J16" s="54">
        <f>IF($H$16="","",IF(IFERROR(INDEX(DayStat,$H$16-DATE(PlanYear,1,1)+1)&amp;"","")&lt;&gt;"",0,SUMIFS(FlSorties,FlDate,$H$16)))</f>
        <v/>
      </c>
      <c r="K16" s="52">
        <f>IF(MONTH(DATE(PlanYear,13,1)-WEEKDAY(DATE(PlanYear,13,1),3)+10)=1,DATE(PlanYear,13,1)-WEEKDAY(DATE(PlanYear,13,1),3)+10,"")</f>
        <v/>
      </c>
      <c r="L16" s="53" t="n"/>
      <c r="M16" s="54">
        <f>IF($K$16="","",IF(IFERROR(INDEX(DayStat,$K$16-DATE(PlanYear,1,1)+1)&amp;"","")&lt;&gt;"",0,SUMIFS(FlSorties,FlDate,$K$16)))</f>
        <v/>
      </c>
      <c r="N16" s="52">
        <f>IF(MONTH(DATE(PlanYear,13,1)-WEEKDAY(DATE(PlanYear,13,1),3)+11)=1,DATE(PlanYear,13,1)-WEEKDAY(DATE(PlanYear,13,1),3)+11,"")</f>
        <v/>
      </c>
      <c r="O16" s="53" t="n"/>
      <c r="P16" s="54">
        <f>IF($N$16="","",IF(IFERROR(INDEX(DayStat,$N$16-DATE(PlanYear,1,1)+1)&amp;"","")&lt;&gt;"",0,SUMIFS(FlSorties,FlDate,$N$16)))</f>
        <v/>
      </c>
      <c r="Q16" s="55">
        <f>IF(MONTH(DATE(PlanYear,13,1)-WEEKDAY(DATE(PlanYear,13,1),3)+12)=1,DATE(PlanYear,13,1)-WEEKDAY(DATE(PlanYear,13,1),3)+12,"")</f>
        <v/>
      </c>
      <c r="R16" s="56" t="n"/>
      <c r="S16" s="57">
        <f>IF($Q$16="","",IF(IFERROR(INDEX(DayStat,$Q$16-DATE(PlanYear,1,1)+1)&amp;"","")&lt;&gt;"",0,SUMIFS(FlSorties,FlDate,$Q$16)))</f>
        <v/>
      </c>
      <c r="T16" s="55">
        <f>IF(MONTH(DATE(PlanYear,13,1)-WEEKDAY(DATE(PlanYear,13,1),3)+13)=1,DATE(PlanYear,13,1)-WEEKDAY(DATE(PlanYear,13,1),3)+13,"")</f>
        <v/>
      </c>
      <c r="U16" s="56" t="n"/>
      <c r="V16" s="57">
        <f>IF($T$16="","",IF(IFERROR(INDEX(DayStat,$T$16-DATE(PlanYear,1,1)+1)&amp;"","")&lt;&gt;"",0,SUMIFS(FlSorties,FlDate,$T$16)))</f>
        <v/>
      </c>
    </row>
    <row r="17" ht="14" customHeight="1">
      <c r="B17" s="58">
        <f>IF($B$16="","",IF(IFERROR(INDEX(DayStat,$B$16-DATE(PlanYear,1,1)+1)&amp;"","")&lt;&gt;"",IFERROR(INDEX(DayStat,$B$16-DATE(PlanYear,1,1)+1)&amp;"",""),IF(COUNTIF(GrDate,$B$16)=0,"","GND: "&amp;INDEX(GrAct,MATCH($B$16,GrDate,0))&amp;IF(COUNTIF(GrDate,$B$16)&gt;1," +"&amp;(COUNTIF(GrDate,$B$16)-1)&amp;" more",""))))</f>
        <v/>
      </c>
      <c r="C17" s="59" t="n"/>
      <c r="D17" s="60" t="n"/>
      <c r="E17" s="58">
        <f>IF($E$16="","",IF(IFERROR(INDEX(DayStat,$E$16-DATE(PlanYear,1,1)+1)&amp;"","")&lt;&gt;"",IFERROR(INDEX(DayStat,$E$16-DATE(PlanYear,1,1)+1)&amp;"",""),IF(COUNTIF(GrDate,$E$16)=0,"","GND: "&amp;INDEX(GrAct,MATCH($E$16,GrDate,0))&amp;IF(COUNTIF(GrDate,$E$16)&gt;1," +"&amp;(COUNTIF(GrDate,$E$16)-1)&amp;" more",""))))</f>
        <v/>
      </c>
      <c r="F17" s="59" t="n"/>
      <c r="G17" s="60" t="n"/>
      <c r="H17" s="58">
        <f>IF($H$16="","",IF(IFERROR(INDEX(DayStat,$H$16-DATE(PlanYear,1,1)+1)&amp;"","")&lt;&gt;"",IFERROR(INDEX(DayStat,$H$16-DATE(PlanYear,1,1)+1)&amp;"",""),IF(COUNTIF(GrDate,$H$16)=0,"","GND: "&amp;INDEX(GrAct,MATCH($H$16,GrDate,0))&amp;IF(COUNTIF(GrDate,$H$16)&gt;1," +"&amp;(COUNTIF(GrDate,$H$16)-1)&amp;" more",""))))</f>
        <v/>
      </c>
      <c r="I17" s="59" t="n"/>
      <c r="J17" s="60" t="n"/>
      <c r="K17" s="58">
        <f>IF($K$16="","",IF(IFERROR(INDEX(DayStat,$K$16-DATE(PlanYear,1,1)+1)&amp;"","")&lt;&gt;"",IFERROR(INDEX(DayStat,$K$16-DATE(PlanYear,1,1)+1)&amp;"",""),IF(COUNTIF(GrDate,$K$16)=0,"","GND: "&amp;INDEX(GrAct,MATCH($K$16,GrDate,0))&amp;IF(COUNTIF(GrDate,$K$16)&gt;1," +"&amp;(COUNTIF(GrDate,$K$16)-1)&amp;" more",""))))</f>
        <v/>
      </c>
      <c r="L17" s="59" t="n"/>
      <c r="M17" s="60" t="n"/>
      <c r="N17" s="58">
        <f>IF($N$16="","",IF(IFERROR(INDEX(DayStat,$N$16-DATE(PlanYear,1,1)+1)&amp;"","")&lt;&gt;"",IFERROR(INDEX(DayStat,$N$16-DATE(PlanYear,1,1)+1)&amp;"",""),IF(COUNTIF(GrDate,$N$16)=0,"","GND: "&amp;INDEX(GrAct,MATCH($N$16,GrDate,0))&amp;IF(COUNTIF(GrDate,$N$16)&gt;1," +"&amp;(COUNTIF(GrDate,$N$16)-1)&amp;" more",""))))</f>
        <v/>
      </c>
      <c r="O17" s="59" t="n"/>
      <c r="P17" s="60" t="n"/>
      <c r="Q17" s="58">
        <f>IF($Q$16="","",IF(IFERROR(INDEX(DayStat,$Q$16-DATE(PlanYear,1,1)+1)&amp;"","")&lt;&gt;"",IFERROR(INDEX(DayStat,$Q$16-DATE(PlanYear,1,1)+1)&amp;"",""),IF(COUNTIF(GrDate,$Q$16)=0,"","GND: "&amp;INDEX(GrAct,MATCH($Q$16,GrDate,0))&amp;IF(COUNTIF(GrDate,$Q$16)&gt;1," +"&amp;(COUNTIF(GrDate,$Q$16)-1)&amp;" more",""))))</f>
        <v/>
      </c>
      <c r="R17" s="59" t="n"/>
      <c r="S17" s="60" t="n"/>
      <c r="T17" s="58">
        <f>IF($T$16="","",IF(IFERROR(INDEX(DayStat,$T$16-DATE(PlanYear,1,1)+1)&amp;"","")&lt;&gt;"",IFERROR(INDEX(DayStat,$T$16-DATE(PlanYear,1,1)+1)&amp;"",""),IF(COUNTIF(GrDate,$T$16)=0,"","GND: "&amp;INDEX(GrAct,MATCH($T$16,GrDate,0))&amp;IF(COUNTIF(GrDate,$T$16)&gt;1," +"&amp;(COUNTIF(GrDate,$T$16)-1)&amp;" more",""))))</f>
        <v/>
      </c>
      <c r="U17" s="59" t="n"/>
      <c r="V17" s="60" t="n"/>
    </row>
    <row r="18" ht="14" customHeight="1">
      <c r="B18" s="61">
        <f>IF($B$16="","","AM"&amp;IF(COUNTIFS(FlDate,$B$16,FlShift,"AM",FlCode,"&lt;&gt;")&gt;3,CHAR(10)&amp;"+"&amp;(COUNTIFS(FlDate,$B$16,FlShift,"AM",FlCode,"&lt;&gt;")-3)&amp;" more",""))</f>
        <v/>
      </c>
      <c r="C18" s="62">
        <f>IF($B$16="","",IFERROR(INDEX(FlCode,MATCH($B$16&amp;"|AM|1",FlKey,0)),""))</f>
        <v/>
      </c>
      <c r="D18" s="63">
        <f>IF($B$16="","",IFERROR(INDEX(FlTime,MATCH($B$16&amp;"|AM|1",FlKey,0))&amp;"",""))</f>
        <v/>
      </c>
      <c r="E18" s="61">
        <f>IF($E$16="","","AM"&amp;IF(COUNTIFS(FlDate,$E$16,FlShift,"AM",FlCode,"&lt;&gt;")&gt;3,CHAR(10)&amp;"+"&amp;(COUNTIFS(FlDate,$E$16,FlShift,"AM",FlCode,"&lt;&gt;")-3)&amp;" more",""))</f>
        <v/>
      </c>
      <c r="F18" s="62">
        <f>IF($E$16="","",IFERROR(INDEX(FlCode,MATCH($E$16&amp;"|AM|1",FlKey,0)),""))</f>
        <v/>
      </c>
      <c r="G18" s="63">
        <f>IF($E$16="","",IFERROR(INDEX(FlTime,MATCH($E$16&amp;"|AM|1",FlKey,0))&amp;"",""))</f>
        <v/>
      </c>
      <c r="H18" s="61">
        <f>IF($H$16="","","AM"&amp;IF(COUNTIFS(FlDate,$H$16,FlShift,"AM",FlCode,"&lt;&gt;")&gt;3,CHAR(10)&amp;"+"&amp;(COUNTIFS(FlDate,$H$16,FlShift,"AM",FlCode,"&lt;&gt;")-3)&amp;" more",""))</f>
        <v/>
      </c>
      <c r="I18" s="62">
        <f>IF($H$16="","",IFERROR(INDEX(FlCode,MATCH($H$16&amp;"|AM|1",FlKey,0)),""))</f>
        <v/>
      </c>
      <c r="J18" s="63">
        <f>IF($H$16="","",IFERROR(INDEX(FlTime,MATCH($H$16&amp;"|AM|1",FlKey,0))&amp;"",""))</f>
        <v/>
      </c>
      <c r="K18" s="61">
        <f>IF($K$16="","","AM"&amp;IF(COUNTIFS(FlDate,$K$16,FlShift,"AM",FlCode,"&lt;&gt;")&gt;3,CHAR(10)&amp;"+"&amp;(COUNTIFS(FlDate,$K$16,FlShift,"AM",FlCode,"&lt;&gt;")-3)&amp;" more",""))</f>
        <v/>
      </c>
      <c r="L18" s="62">
        <f>IF($K$16="","",IFERROR(INDEX(FlCode,MATCH($K$16&amp;"|AM|1",FlKey,0)),""))</f>
        <v/>
      </c>
      <c r="M18" s="63">
        <f>IF($K$16="","",IFERROR(INDEX(FlTime,MATCH($K$16&amp;"|AM|1",FlKey,0))&amp;"",""))</f>
        <v/>
      </c>
      <c r="N18" s="61">
        <f>IF($N$16="","","AM"&amp;IF(COUNTIFS(FlDate,$N$16,FlShift,"AM",FlCode,"&lt;&gt;")&gt;3,CHAR(10)&amp;"+"&amp;(COUNTIFS(FlDate,$N$16,FlShift,"AM",FlCode,"&lt;&gt;")-3)&amp;" more",""))</f>
        <v/>
      </c>
      <c r="O18" s="62">
        <f>IF($N$16="","",IFERROR(INDEX(FlCode,MATCH($N$16&amp;"|AM|1",FlKey,0)),""))</f>
        <v/>
      </c>
      <c r="P18" s="63">
        <f>IF($N$16="","",IFERROR(INDEX(FlTime,MATCH($N$16&amp;"|AM|1",FlKey,0))&amp;"",""))</f>
        <v/>
      </c>
      <c r="Q18" s="61">
        <f>IF($Q$16="","","AM"&amp;IF(COUNTIFS(FlDate,$Q$16,FlShift,"AM",FlCode,"&lt;&gt;")&gt;3,CHAR(10)&amp;"+"&amp;(COUNTIFS(FlDate,$Q$16,FlShift,"AM",FlCode,"&lt;&gt;")-3)&amp;" more",""))</f>
        <v/>
      </c>
      <c r="R18" s="62">
        <f>IF($Q$16="","",IFERROR(INDEX(FlCode,MATCH($Q$16&amp;"|AM|1",FlKey,0)),""))</f>
        <v/>
      </c>
      <c r="S18" s="63">
        <f>IF($Q$16="","",IFERROR(INDEX(FlTime,MATCH($Q$16&amp;"|AM|1",FlKey,0))&amp;"",""))</f>
        <v/>
      </c>
      <c r="T18" s="61">
        <f>IF($T$16="","","AM"&amp;IF(COUNTIFS(FlDate,$T$16,FlShift,"AM",FlCode,"&lt;&gt;")&gt;3,CHAR(10)&amp;"+"&amp;(COUNTIFS(FlDate,$T$16,FlShift,"AM",FlCode,"&lt;&gt;")-3)&amp;" more",""))</f>
        <v/>
      </c>
      <c r="U18" s="62">
        <f>IF($T$16="","",IFERROR(INDEX(FlCode,MATCH($T$16&amp;"|AM|1",FlKey,0)),""))</f>
        <v/>
      </c>
      <c r="V18" s="63">
        <f>IF($T$16="","",IFERROR(INDEX(FlTime,MATCH($T$16&amp;"|AM|1",FlKey,0))&amp;"",""))</f>
        <v/>
      </c>
    </row>
    <row r="19" ht="14" customHeight="1">
      <c r="B19" s="64" t="n"/>
      <c r="C19" s="62">
        <f>IF($B$16="","",IFERROR(INDEX(FlCode,MATCH($B$16&amp;"|AM|2",FlKey,0)),""))</f>
        <v/>
      </c>
      <c r="D19" s="63">
        <f>IF($B$16="","",IFERROR(INDEX(FlTime,MATCH($B$16&amp;"|AM|2",FlKey,0))&amp;"",""))</f>
        <v/>
      </c>
      <c r="E19" s="64" t="n"/>
      <c r="F19" s="62">
        <f>IF($E$16="","",IFERROR(INDEX(FlCode,MATCH($E$16&amp;"|AM|2",FlKey,0)),""))</f>
        <v/>
      </c>
      <c r="G19" s="63">
        <f>IF($E$16="","",IFERROR(INDEX(FlTime,MATCH($E$16&amp;"|AM|2",FlKey,0))&amp;"",""))</f>
        <v/>
      </c>
      <c r="H19" s="64" t="n"/>
      <c r="I19" s="62">
        <f>IF($H$16="","",IFERROR(INDEX(FlCode,MATCH($H$16&amp;"|AM|2",FlKey,0)),""))</f>
        <v/>
      </c>
      <c r="J19" s="63">
        <f>IF($H$16="","",IFERROR(INDEX(FlTime,MATCH($H$16&amp;"|AM|2",FlKey,0))&amp;"",""))</f>
        <v/>
      </c>
      <c r="K19" s="64" t="n"/>
      <c r="L19" s="62">
        <f>IF($K$16="","",IFERROR(INDEX(FlCode,MATCH($K$16&amp;"|AM|2",FlKey,0)),""))</f>
        <v/>
      </c>
      <c r="M19" s="63">
        <f>IF($K$16="","",IFERROR(INDEX(FlTime,MATCH($K$16&amp;"|AM|2",FlKey,0))&amp;"",""))</f>
        <v/>
      </c>
      <c r="N19" s="64" t="n"/>
      <c r="O19" s="62">
        <f>IF($N$16="","",IFERROR(INDEX(FlCode,MATCH($N$16&amp;"|AM|2",FlKey,0)),""))</f>
        <v/>
      </c>
      <c r="P19" s="63">
        <f>IF($N$16="","",IFERROR(INDEX(FlTime,MATCH($N$16&amp;"|AM|2",FlKey,0))&amp;"",""))</f>
        <v/>
      </c>
      <c r="Q19" s="64" t="n"/>
      <c r="R19" s="62">
        <f>IF($Q$16="","",IFERROR(INDEX(FlCode,MATCH($Q$16&amp;"|AM|2",FlKey,0)),""))</f>
        <v/>
      </c>
      <c r="S19" s="63">
        <f>IF($Q$16="","",IFERROR(INDEX(FlTime,MATCH($Q$16&amp;"|AM|2",FlKey,0))&amp;"",""))</f>
        <v/>
      </c>
      <c r="T19" s="64" t="n"/>
      <c r="U19" s="62">
        <f>IF($T$16="","",IFERROR(INDEX(FlCode,MATCH($T$16&amp;"|AM|2",FlKey,0)),""))</f>
        <v/>
      </c>
      <c r="V19" s="63">
        <f>IF($T$16="","",IFERROR(INDEX(FlTime,MATCH($T$16&amp;"|AM|2",FlKey,0))&amp;"",""))</f>
        <v/>
      </c>
    </row>
    <row r="20" ht="14" customHeight="1">
      <c r="B20" s="65" t="n"/>
      <c r="C20" s="66">
        <f>IF($B$16="","",IFERROR(INDEX(FlCode,MATCH($B$16&amp;"|AM|3",FlKey,0)),""))</f>
        <v/>
      </c>
      <c r="D20" s="67">
        <f>IF($B$16="","",IFERROR(INDEX(FlTime,MATCH($B$16&amp;"|AM|3",FlKey,0))&amp;"",""))</f>
        <v/>
      </c>
      <c r="E20" s="65" t="n"/>
      <c r="F20" s="66">
        <f>IF($E$16="","",IFERROR(INDEX(FlCode,MATCH($E$16&amp;"|AM|3",FlKey,0)),""))</f>
        <v/>
      </c>
      <c r="G20" s="67">
        <f>IF($E$16="","",IFERROR(INDEX(FlTime,MATCH($E$16&amp;"|AM|3",FlKey,0))&amp;"",""))</f>
        <v/>
      </c>
      <c r="H20" s="65" t="n"/>
      <c r="I20" s="66">
        <f>IF($H$16="","",IFERROR(INDEX(FlCode,MATCH($H$16&amp;"|AM|3",FlKey,0)),""))</f>
        <v/>
      </c>
      <c r="J20" s="67">
        <f>IF($H$16="","",IFERROR(INDEX(FlTime,MATCH($H$16&amp;"|AM|3",FlKey,0))&amp;"",""))</f>
        <v/>
      </c>
      <c r="K20" s="65" t="n"/>
      <c r="L20" s="66">
        <f>IF($K$16="","",IFERROR(INDEX(FlCode,MATCH($K$16&amp;"|AM|3",FlKey,0)),""))</f>
        <v/>
      </c>
      <c r="M20" s="67">
        <f>IF($K$16="","",IFERROR(INDEX(FlTime,MATCH($K$16&amp;"|AM|3",FlKey,0))&amp;"",""))</f>
        <v/>
      </c>
      <c r="N20" s="65" t="n"/>
      <c r="O20" s="66">
        <f>IF($N$16="","",IFERROR(INDEX(FlCode,MATCH($N$16&amp;"|AM|3",FlKey,0)),""))</f>
        <v/>
      </c>
      <c r="P20" s="67">
        <f>IF($N$16="","",IFERROR(INDEX(FlTime,MATCH($N$16&amp;"|AM|3",FlKey,0))&amp;"",""))</f>
        <v/>
      </c>
      <c r="Q20" s="65" t="n"/>
      <c r="R20" s="66">
        <f>IF($Q$16="","",IFERROR(INDEX(FlCode,MATCH($Q$16&amp;"|AM|3",FlKey,0)),""))</f>
        <v/>
      </c>
      <c r="S20" s="67">
        <f>IF($Q$16="","",IFERROR(INDEX(FlTime,MATCH($Q$16&amp;"|AM|3",FlKey,0))&amp;"",""))</f>
        <v/>
      </c>
      <c r="T20" s="65" t="n"/>
      <c r="U20" s="66">
        <f>IF($T$16="","",IFERROR(INDEX(FlCode,MATCH($T$16&amp;"|AM|3",FlKey,0)),""))</f>
        <v/>
      </c>
      <c r="V20" s="67">
        <f>IF($T$16="","",IFERROR(INDEX(FlTime,MATCH($T$16&amp;"|AM|3",FlKey,0))&amp;"",""))</f>
        <v/>
      </c>
    </row>
    <row r="21" ht="14" customHeight="1">
      <c r="B21" s="68">
        <f>IF($B$16="","","PM"&amp;IF(COUNTIFS(FlDate,$B$16,FlShift,"PM",FlCode,"&lt;&gt;")&gt;3,CHAR(10)&amp;"+"&amp;(COUNTIFS(FlDate,$B$16,FlShift,"PM",FlCode,"&lt;&gt;")-3)&amp;" more",""))</f>
        <v/>
      </c>
      <c r="C21" s="62">
        <f>IF($B$16="","",IFERROR(INDEX(FlCode,MATCH($B$16&amp;"|PM|1",FlKey,0)),""))</f>
        <v/>
      </c>
      <c r="D21" s="63">
        <f>IF($B$16="","",IFERROR(INDEX(FlTime,MATCH($B$16&amp;"|PM|1",FlKey,0))&amp;"",""))</f>
        <v/>
      </c>
      <c r="E21" s="68">
        <f>IF($E$16="","","PM"&amp;IF(COUNTIFS(FlDate,$E$16,FlShift,"PM",FlCode,"&lt;&gt;")&gt;3,CHAR(10)&amp;"+"&amp;(COUNTIFS(FlDate,$E$16,FlShift,"PM",FlCode,"&lt;&gt;")-3)&amp;" more",""))</f>
        <v/>
      </c>
      <c r="F21" s="62">
        <f>IF($E$16="","",IFERROR(INDEX(FlCode,MATCH($E$16&amp;"|PM|1",FlKey,0)),""))</f>
        <v/>
      </c>
      <c r="G21" s="63">
        <f>IF($E$16="","",IFERROR(INDEX(FlTime,MATCH($E$16&amp;"|PM|1",FlKey,0))&amp;"",""))</f>
        <v/>
      </c>
      <c r="H21" s="68">
        <f>IF($H$16="","","PM"&amp;IF(COUNTIFS(FlDate,$H$16,FlShift,"PM",FlCode,"&lt;&gt;")&gt;3,CHAR(10)&amp;"+"&amp;(COUNTIFS(FlDate,$H$16,FlShift,"PM",FlCode,"&lt;&gt;")-3)&amp;" more",""))</f>
        <v/>
      </c>
      <c r="I21" s="62">
        <f>IF($H$16="","",IFERROR(INDEX(FlCode,MATCH($H$16&amp;"|PM|1",FlKey,0)),""))</f>
        <v/>
      </c>
      <c r="J21" s="63">
        <f>IF($H$16="","",IFERROR(INDEX(FlTime,MATCH($H$16&amp;"|PM|1",FlKey,0))&amp;"",""))</f>
        <v/>
      </c>
      <c r="K21" s="68">
        <f>IF($K$16="","","PM"&amp;IF(COUNTIFS(FlDate,$K$16,FlShift,"PM",FlCode,"&lt;&gt;")&gt;3,CHAR(10)&amp;"+"&amp;(COUNTIFS(FlDate,$K$16,FlShift,"PM",FlCode,"&lt;&gt;")-3)&amp;" more",""))</f>
        <v/>
      </c>
      <c r="L21" s="62">
        <f>IF($K$16="","",IFERROR(INDEX(FlCode,MATCH($K$16&amp;"|PM|1",FlKey,0)),""))</f>
        <v/>
      </c>
      <c r="M21" s="63">
        <f>IF($K$16="","",IFERROR(INDEX(FlTime,MATCH($K$16&amp;"|PM|1",FlKey,0))&amp;"",""))</f>
        <v/>
      </c>
      <c r="N21" s="68">
        <f>IF($N$16="","","PM"&amp;IF(COUNTIFS(FlDate,$N$16,FlShift,"PM",FlCode,"&lt;&gt;")&gt;3,CHAR(10)&amp;"+"&amp;(COUNTIFS(FlDate,$N$16,FlShift,"PM",FlCode,"&lt;&gt;")-3)&amp;" more",""))</f>
        <v/>
      </c>
      <c r="O21" s="62">
        <f>IF($N$16="","",IFERROR(INDEX(FlCode,MATCH($N$16&amp;"|PM|1",FlKey,0)),""))</f>
        <v/>
      </c>
      <c r="P21" s="63">
        <f>IF($N$16="","",IFERROR(INDEX(FlTime,MATCH($N$16&amp;"|PM|1",FlKey,0))&amp;"",""))</f>
        <v/>
      </c>
      <c r="Q21" s="68">
        <f>IF($Q$16="","","PM"&amp;IF(COUNTIFS(FlDate,$Q$16,FlShift,"PM",FlCode,"&lt;&gt;")&gt;3,CHAR(10)&amp;"+"&amp;(COUNTIFS(FlDate,$Q$16,FlShift,"PM",FlCode,"&lt;&gt;")-3)&amp;" more",""))</f>
        <v/>
      </c>
      <c r="R21" s="62">
        <f>IF($Q$16="","",IFERROR(INDEX(FlCode,MATCH($Q$16&amp;"|PM|1",FlKey,0)),""))</f>
        <v/>
      </c>
      <c r="S21" s="63">
        <f>IF($Q$16="","",IFERROR(INDEX(FlTime,MATCH($Q$16&amp;"|PM|1",FlKey,0))&amp;"",""))</f>
        <v/>
      </c>
      <c r="T21" s="68">
        <f>IF($T$16="","","PM"&amp;IF(COUNTIFS(FlDate,$T$16,FlShift,"PM",FlCode,"&lt;&gt;")&gt;3,CHAR(10)&amp;"+"&amp;(COUNTIFS(FlDate,$T$16,FlShift,"PM",FlCode,"&lt;&gt;")-3)&amp;" more",""))</f>
        <v/>
      </c>
      <c r="U21" s="62">
        <f>IF($T$16="","",IFERROR(INDEX(FlCode,MATCH($T$16&amp;"|PM|1",FlKey,0)),""))</f>
        <v/>
      </c>
      <c r="V21" s="63">
        <f>IF($T$16="","",IFERROR(INDEX(FlTime,MATCH($T$16&amp;"|PM|1",FlKey,0))&amp;"",""))</f>
        <v/>
      </c>
    </row>
    <row r="22" ht="14" customHeight="1">
      <c r="B22" s="69" t="n"/>
      <c r="C22" s="62">
        <f>IF($B$16="","",IFERROR(INDEX(FlCode,MATCH($B$16&amp;"|PM|2",FlKey,0)),""))</f>
        <v/>
      </c>
      <c r="D22" s="63">
        <f>IF($B$16="","",IFERROR(INDEX(FlTime,MATCH($B$16&amp;"|PM|2",FlKey,0))&amp;"",""))</f>
        <v/>
      </c>
      <c r="E22" s="69" t="n"/>
      <c r="F22" s="62">
        <f>IF($E$16="","",IFERROR(INDEX(FlCode,MATCH($E$16&amp;"|PM|2",FlKey,0)),""))</f>
        <v/>
      </c>
      <c r="G22" s="63">
        <f>IF($E$16="","",IFERROR(INDEX(FlTime,MATCH($E$16&amp;"|PM|2",FlKey,0))&amp;"",""))</f>
        <v/>
      </c>
      <c r="H22" s="69" t="n"/>
      <c r="I22" s="62">
        <f>IF($H$16="","",IFERROR(INDEX(FlCode,MATCH($H$16&amp;"|PM|2",FlKey,0)),""))</f>
        <v/>
      </c>
      <c r="J22" s="63">
        <f>IF($H$16="","",IFERROR(INDEX(FlTime,MATCH($H$16&amp;"|PM|2",FlKey,0))&amp;"",""))</f>
        <v/>
      </c>
      <c r="K22" s="69" t="n"/>
      <c r="L22" s="62">
        <f>IF($K$16="","",IFERROR(INDEX(FlCode,MATCH($K$16&amp;"|PM|2",FlKey,0)),""))</f>
        <v/>
      </c>
      <c r="M22" s="63">
        <f>IF($K$16="","",IFERROR(INDEX(FlTime,MATCH($K$16&amp;"|PM|2",FlKey,0))&amp;"",""))</f>
        <v/>
      </c>
      <c r="N22" s="69" t="n"/>
      <c r="O22" s="62">
        <f>IF($N$16="","",IFERROR(INDEX(FlCode,MATCH($N$16&amp;"|PM|2",FlKey,0)),""))</f>
        <v/>
      </c>
      <c r="P22" s="63">
        <f>IF($N$16="","",IFERROR(INDEX(FlTime,MATCH($N$16&amp;"|PM|2",FlKey,0))&amp;"",""))</f>
        <v/>
      </c>
      <c r="Q22" s="69" t="n"/>
      <c r="R22" s="62">
        <f>IF($Q$16="","",IFERROR(INDEX(FlCode,MATCH($Q$16&amp;"|PM|2",FlKey,0)),""))</f>
        <v/>
      </c>
      <c r="S22" s="63">
        <f>IF($Q$16="","",IFERROR(INDEX(FlTime,MATCH($Q$16&amp;"|PM|2",FlKey,0))&amp;"",""))</f>
        <v/>
      </c>
      <c r="T22" s="69" t="n"/>
      <c r="U22" s="62">
        <f>IF($T$16="","",IFERROR(INDEX(FlCode,MATCH($T$16&amp;"|PM|2",FlKey,0)),""))</f>
        <v/>
      </c>
      <c r="V22" s="63">
        <f>IF($T$16="","",IFERROR(INDEX(FlTime,MATCH($T$16&amp;"|PM|2",FlKey,0))&amp;"",""))</f>
        <v/>
      </c>
    </row>
    <row r="23" ht="14" customHeight="1">
      <c r="B23" s="70" t="n"/>
      <c r="C23" s="66">
        <f>IF($B$16="","",IFERROR(INDEX(FlCode,MATCH($B$16&amp;"|PM|3",FlKey,0)),""))</f>
        <v/>
      </c>
      <c r="D23" s="67">
        <f>IF($B$16="","",IFERROR(INDEX(FlTime,MATCH($B$16&amp;"|PM|3",FlKey,0))&amp;"",""))</f>
        <v/>
      </c>
      <c r="E23" s="70" t="n"/>
      <c r="F23" s="66">
        <f>IF($E$16="","",IFERROR(INDEX(FlCode,MATCH($E$16&amp;"|PM|3",FlKey,0)),""))</f>
        <v/>
      </c>
      <c r="G23" s="67">
        <f>IF($E$16="","",IFERROR(INDEX(FlTime,MATCH($E$16&amp;"|PM|3",FlKey,0))&amp;"",""))</f>
        <v/>
      </c>
      <c r="H23" s="70" t="n"/>
      <c r="I23" s="66">
        <f>IF($H$16="","",IFERROR(INDEX(FlCode,MATCH($H$16&amp;"|PM|3",FlKey,0)),""))</f>
        <v/>
      </c>
      <c r="J23" s="67">
        <f>IF($H$16="","",IFERROR(INDEX(FlTime,MATCH($H$16&amp;"|PM|3",FlKey,0))&amp;"",""))</f>
        <v/>
      </c>
      <c r="K23" s="70" t="n"/>
      <c r="L23" s="66">
        <f>IF($K$16="","",IFERROR(INDEX(FlCode,MATCH($K$16&amp;"|PM|3",FlKey,0)),""))</f>
        <v/>
      </c>
      <c r="M23" s="67">
        <f>IF($K$16="","",IFERROR(INDEX(FlTime,MATCH($K$16&amp;"|PM|3",FlKey,0))&amp;"",""))</f>
        <v/>
      </c>
      <c r="N23" s="70" t="n"/>
      <c r="O23" s="66">
        <f>IF($N$16="","",IFERROR(INDEX(FlCode,MATCH($N$16&amp;"|PM|3",FlKey,0)),""))</f>
        <v/>
      </c>
      <c r="P23" s="67">
        <f>IF($N$16="","",IFERROR(INDEX(FlTime,MATCH($N$16&amp;"|PM|3",FlKey,0))&amp;"",""))</f>
        <v/>
      </c>
      <c r="Q23" s="70" t="n"/>
      <c r="R23" s="66">
        <f>IF($Q$16="","",IFERROR(INDEX(FlCode,MATCH($Q$16&amp;"|PM|3",FlKey,0)),""))</f>
        <v/>
      </c>
      <c r="S23" s="67">
        <f>IF($Q$16="","",IFERROR(INDEX(FlTime,MATCH($Q$16&amp;"|PM|3",FlKey,0))&amp;"",""))</f>
        <v/>
      </c>
      <c r="T23" s="70" t="n"/>
      <c r="U23" s="66">
        <f>IF($T$16="","",IFERROR(INDEX(FlCode,MATCH($T$16&amp;"|PM|3",FlKey,0)),""))</f>
        <v/>
      </c>
      <c r="V23" s="67">
        <f>IF($T$16="","",IFERROR(INDEX(FlTime,MATCH($T$16&amp;"|PM|3",FlKey,0))&amp;"",""))</f>
        <v/>
      </c>
    </row>
    <row r="24" ht="14" customHeight="1">
      <c r="B24" s="71">
        <f>IF($B$16="","","NIGHT"&amp;IF(COUNTIFS(FlDate,$B$16,FlShift,"NIGHT",FlCode,"&lt;&gt;")&gt;3,CHAR(10)&amp;"+"&amp;(COUNTIFS(FlDate,$B$16,FlShift,"NIGHT",FlCode,"&lt;&gt;")-3)&amp;" more",""))</f>
        <v/>
      </c>
      <c r="C24" s="62">
        <f>IF($B$16="","",IFERROR(INDEX(FlCode,MATCH($B$16&amp;"|NIGHT|1",FlKey,0)),""))</f>
        <v/>
      </c>
      <c r="D24" s="63">
        <f>IF($B$16="","",IFERROR(INDEX(FlTime,MATCH($B$16&amp;"|NIGHT|1",FlKey,0))&amp;"",""))</f>
        <v/>
      </c>
      <c r="E24" s="71">
        <f>IF($E$16="","","NIGHT"&amp;IF(COUNTIFS(FlDate,$E$16,FlShift,"NIGHT",FlCode,"&lt;&gt;")&gt;3,CHAR(10)&amp;"+"&amp;(COUNTIFS(FlDate,$E$16,FlShift,"NIGHT",FlCode,"&lt;&gt;")-3)&amp;" more",""))</f>
        <v/>
      </c>
      <c r="F24" s="62">
        <f>IF($E$16="","",IFERROR(INDEX(FlCode,MATCH($E$16&amp;"|NIGHT|1",FlKey,0)),""))</f>
        <v/>
      </c>
      <c r="G24" s="63">
        <f>IF($E$16="","",IFERROR(INDEX(FlTime,MATCH($E$16&amp;"|NIGHT|1",FlKey,0))&amp;"",""))</f>
        <v/>
      </c>
      <c r="H24" s="71">
        <f>IF($H$16="","","NIGHT"&amp;IF(COUNTIFS(FlDate,$H$16,FlShift,"NIGHT",FlCode,"&lt;&gt;")&gt;3,CHAR(10)&amp;"+"&amp;(COUNTIFS(FlDate,$H$16,FlShift,"NIGHT",FlCode,"&lt;&gt;")-3)&amp;" more",""))</f>
        <v/>
      </c>
      <c r="I24" s="62">
        <f>IF($H$16="","",IFERROR(INDEX(FlCode,MATCH($H$16&amp;"|NIGHT|1",FlKey,0)),""))</f>
        <v/>
      </c>
      <c r="J24" s="63">
        <f>IF($H$16="","",IFERROR(INDEX(FlTime,MATCH($H$16&amp;"|NIGHT|1",FlKey,0))&amp;"",""))</f>
        <v/>
      </c>
      <c r="K24" s="71">
        <f>IF($K$16="","","NIGHT"&amp;IF(COUNTIFS(FlDate,$K$16,FlShift,"NIGHT",FlCode,"&lt;&gt;")&gt;3,CHAR(10)&amp;"+"&amp;(COUNTIFS(FlDate,$K$16,FlShift,"NIGHT",FlCode,"&lt;&gt;")-3)&amp;" more",""))</f>
        <v/>
      </c>
      <c r="L24" s="62">
        <f>IF($K$16="","",IFERROR(INDEX(FlCode,MATCH($K$16&amp;"|NIGHT|1",FlKey,0)),""))</f>
        <v/>
      </c>
      <c r="M24" s="63">
        <f>IF($K$16="","",IFERROR(INDEX(FlTime,MATCH($K$16&amp;"|NIGHT|1",FlKey,0))&amp;"",""))</f>
        <v/>
      </c>
      <c r="N24" s="71">
        <f>IF($N$16="","","NIGHT"&amp;IF(COUNTIFS(FlDate,$N$16,FlShift,"NIGHT",FlCode,"&lt;&gt;")&gt;3,CHAR(10)&amp;"+"&amp;(COUNTIFS(FlDate,$N$16,FlShift,"NIGHT",FlCode,"&lt;&gt;")-3)&amp;" more",""))</f>
        <v/>
      </c>
      <c r="O24" s="62">
        <f>IF($N$16="","",IFERROR(INDEX(FlCode,MATCH($N$16&amp;"|NIGHT|1",FlKey,0)),""))</f>
        <v/>
      </c>
      <c r="P24" s="63">
        <f>IF($N$16="","",IFERROR(INDEX(FlTime,MATCH($N$16&amp;"|NIGHT|1",FlKey,0))&amp;"",""))</f>
        <v/>
      </c>
      <c r="Q24" s="71">
        <f>IF($Q$16="","","NIGHT"&amp;IF(COUNTIFS(FlDate,$Q$16,FlShift,"NIGHT",FlCode,"&lt;&gt;")&gt;3,CHAR(10)&amp;"+"&amp;(COUNTIFS(FlDate,$Q$16,FlShift,"NIGHT",FlCode,"&lt;&gt;")-3)&amp;" more",""))</f>
        <v/>
      </c>
      <c r="R24" s="62">
        <f>IF($Q$16="","",IFERROR(INDEX(FlCode,MATCH($Q$16&amp;"|NIGHT|1",FlKey,0)),""))</f>
        <v/>
      </c>
      <c r="S24" s="63">
        <f>IF($Q$16="","",IFERROR(INDEX(FlTime,MATCH($Q$16&amp;"|NIGHT|1",FlKey,0))&amp;"",""))</f>
        <v/>
      </c>
      <c r="T24" s="71">
        <f>IF($T$16="","","NIGHT"&amp;IF(COUNTIFS(FlDate,$T$16,FlShift,"NIGHT",FlCode,"&lt;&gt;")&gt;3,CHAR(10)&amp;"+"&amp;(COUNTIFS(FlDate,$T$16,FlShift,"NIGHT",FlCode,"&lt;&gt;")-3)&amp;" more",""))</f>
        <v/>
      </c>
      <c r="U24" s="62">
        <f>IF($T$16="","",IFERROR(INDEX(FlCode,MATCH($T$16&amp;"|NIGHT|1",FlKey,0)),""))</f>
        <v/>
      </c>
      <c r="V24" s="63">
        <f>IF($T$16="","",IFERROR(INDEX(FlTime,MATCH($T$16&amp;"|NIGHT|1",FlKey,0))&amp;"",""))</f>
        <v/>
      </c>
    </row>
    <row r="25" ht="14" customHeight="1">
      <c r="B25" s="72" t="n"/>
      <c r="C25" s="62">
        <f>IF($B$16="","",IFERROR(INDEX(FlCode,MATCH($B$16&amp;"|NIGHT|2",FlKey,0)),""))</f>
        <v/>
      </c>
      <c r="D25" s="63">
        <f>IF($B$16="","",IFERROR(INDEX(FlTime,MATCH($B$16&amp;"|NIGHT|2",FlKey,0))&amp;"",""))</f>
        <v/>
      </c>
      <c r="E25" s="72" t="n"/>
      <c r="F25" s="62">
        <f>IF($E$16="","",IFERROR(INDEX(FlCode,MATCH($E$16&amp;"|NIGHT|2",FlKey,0)),""))</f>
        <v/>
      </c>
      <c r="G25" s="63">
        <f>IF($E$16="","",IFERROR(INDEX(FlTime,MATCH($E$16&amp;"|NIGHT|2",FlKey,0))&amp;"",""))</f>
        <v/>
      </c>
      <c r="H25" s="72" t="n"/>
      <c r="I25" s="62">
        <f>IF($H$16="","",IFERROR(INDEX(FlCode,MATCH($H$16&amp;"|NIGHT|2",FlKey,0)),""))</f>
        <v/>
      </c>
      <c r="J25" s="63">
        <f>IF($H$16="","",IFERROR(INDEX(FlTime,MATCH($H$16&amp;"|NIGHT|2",FlKey,0))&amp;"",""))</f>
        <v/>
      </c>
      <c r="K25" s="72" t="n"/>
      <c r="L25" s="62">
        <f>IF($K$16="","",IFERROR(INDEX(FlCode,MATCH($K$16&amp;"|NIGHT|2",FlKey,0)),""))</f>
        <v/>
      </c>
      <c r="M25" s="63">
        <f>IF($K$16="","",IFERROR(INDEX(FlTime,MATCH($K$16&amp;"|NIGHT|2",FlKey,0))&amp;"",""))</f>
        <v/>
      </c>
      <c r="N25" s="72" t="n"/>
      <c r="O25" s="62">
        <f>IF($N$16="","",IFERROR(INDEX(FlCode,MATCH($N$16&amp;"|NIGHT|2",FlKey,0)),""))</f>
        <v/>
      </c>
      <c r="P25" s="63">
        <f>IF($N$16="","",IFERROR(INDEX(FlTime,MATCH($N$16&amp;"|NIGHT|2",FlKey,0))&amp;"",""))</f>
        <v/>
      </c>
      <c r="Q25" s="72" t="n"/>
      <c r="R25" s="62">
        <f>IF($Q$16="","",IFERROR(INDEX(FlCode,MATCH($Q$16&amp;"|NIGHT|2",FlKey,0)),""))</f>
        <v/>
      </c>
      <c r="S25" s="63">
        <f>IF($Q$16="","",IFERROR(INDEX(FlTime,MATCH($Q$16&amp;"|NIGHT|2",FlKey,0))&amp;"",""))</f>
        <v/>
      </c>
      <c r="T25" s="72" t="n"/>
      <c r="U25" s="62">
        <f>IF($T$16="","",IFERROR(INDEX(FlCode,MATCH($T$16&amp;"|NIGHT|2",FlKey,0)),""))</f>
        <v/>
      </c>
      <c r="V25" s="63">
        <f>IF($T$16="","",IFERROR(INDEX(FlTime,MATCH($T$16&amp;"|NIGHT|2",FlKey,0))&amp;"",""))</f>
        <v/>
      </c>
    </row>
    <row r="26" ht="14" customHeight="1">
      <c r="B26" s="73" t="n"/>
      <c r="C26" s="74">
        <f>IF($B$16="","",IFERROR(INDEX(FlCode,MATCH($B$16&amp;"|NIGHT|3",FlKey,0)),""))</f>
        <v/>
      </c>
      <c r="D26" s="75">
        <f>IF($B$16="","",IFERROR(INDEX(FlTime,MATCH($B$16&amp;"|NIGHT|3",FlKey,0))&amp;"",""))</f>
        <v/>
      </c>
      <c r="E26" s="73" t="n"/>
      <c r="F26" s="74">
        <f>IF($E$16="","",IFERROR(INDEX(FlCode,MATCH($E$16&amp;"|NIGHT|3",FlKey,0)),""))</f>
        <v/>
      </c>
      <c r="G26" s="75">
        <f>IF($E$16="","",IFERROR(INDEX(FlTime,MATCH($E$16&amp;"|NIGHT|3",FlKey,0))&amp;"",""))</f>
        <v/>
      </c>
      <c r="H26" s="73" t="n"/>
      <c r="I26" s="74">
        <f>IF($H$16="","",IFERROR(INDEX(FlCode,MATCH($H$16&amp;"|NIGHT|3",FlKey,0)),""))</f>
        <v/>
      </c>
      <c r="J26" s="75">
        <f>IF($H$16="","",IFERROR(INDEX(FlTime,MATCH($H$16&amp;"|NIGHT|3",FlKey,0))&amp;"",""))</f>
        <v/>
      </c>
      <c r="K26" s="73" t="n"/>
      <c r="L26" s="74">
        <f>IF($K$16="","",IFERROR(INDEX(FlCode,MATCH($K$16&amp;"|NIGHT|3",FlKey,0)),""))</f>
        <v/>
      </c>
      <c r="M26" s="75">
        <f>IF($K$16="","",IFERROR(INDEX(FlTime,MATCH($K$16&amp;"|NIGHT|3",FlKey,0))&amp;"",""))</f>
        <v/>
      </c>
      <c r="N26" s="73" t="n"/>
      <c r="O26" s="74">
        <f>IF($N$16="","",IFERROR(INDEX(FlCode,MATCH($N$16&amp;"|NIGHT|3",FlKey,0)),""))</f>
        <v/>
      </c>
      <c r="P26" s="75">
        <f>IF($N$16="","",IFERROR(INDEX(FlTime,MATCH($N$16&amp;"|NIGHT|3",FlKey,0))&amp;"",""))</f>
        <v/>
      </c>
      <c r="Q26" s="73" t="n"/>
      <c r="R26" s="74">
        <f>IF($Q$16="","",IFERROR(INDEX(FlCode,MATCH($Q$16&amp;"|NIGHT|3",FlKey,0)),""))</f>
        <v/>
      </c>
      <c r="S26" s="75">
        <f>IF($Q$16="","",IFERROR(INDEX(FlTime,MATCH($Q$16&amp;"|NIGHT|3",FlKey,0))&amp;"",""))</f>
        <v/>
      </c>
      <c r="T26" s="73" t="n"/>
      <c r="U26" s="74">
        <f>IF($T$16="","",IFERROR(INDEX(FlCode,MATCH($T$16&amp;"|NIGHT|3",FlKey,0)),""))</f>
        <v/>
      </c>
      <c r="V26" s="75">
        <f>IF($T$16="","",IFERROR(INDEX(FlTime,MATCH($T$16&amp;"|NIGHT|3",FlKey,0))&amp;"",""))</f>
        <v/>
      </c>
    </row>
    <row r="27" ht="19" customHeight="1">
      <c r="B27" s="52">
        <f>IF(MONTH(DATE(PlanYear,13,1)-WEEKDAY(DATE(PlanYear,13,1),3)+14)=1,DATE(PlanYear,13,1)-WEEKDAY(DATE(PlanYear,13,1),3)+14,"")</f>
        <v/>
      </c>
      <c r="C27" s="53" t="n"/>
      <c r="D27" s="54">
        <f>IF($B$27="","",IF(IFERROR(INDEX(DayStat,$B$27-DATE(PlanYear,1,1)+1)&amp;"","")&lt;&gt;"",0,SUMIFS(FlSorties,FlDate,$B$27)))</f>
        <v/>
      </c>
      <c r="E27" s="52">
        <f>IF(MONTH(DATE(PlanYear,13,1)-WEEKDAY(DATE(PlanYear,13,1),3)+15)=1,DATE(PlanYear,13,1)-WEEKDAY(DATE(PlanYear,13,1),3)+15,"")</f>
        <v/>
      </c>
      <c r="F27" s="53" t="n"/>
      <c r="G27" s="54">
        <f>IF($E$27="","",IF(IFERROR(INDEX(DayStat,$E$27-DATE(PlanYear,1,1)+1)&amp;"","")&lt;&gt;"",0,SUMIFS(FlSorties,FlDate,$E$27)))</f>
        <v/>
      </c>
      <c r="H27" s="52">
        <f>IF(MONTH(DATE(PlanYear,13,1)-WEEKDAY(DATE(PlanYear,13,1),3)+16)=1,DATE(PlanYear,13,1)-WEEKDAY(DATE(PlanYear,13,1),3)+16,"")</f>
        <v/>
      </c>
      <c r="I27" s="53" t="n"/>
      <c r="J27" s="54">
        <f>IF($H$27="","",IF(IFERROR(INDEX(DayStat,$H$27-DATE(PlanYear,1,1)+1)&amp;"","")&lt;&gt;"",0,SUMIFS(FlSorties,FlDate,$H$27)))</f>
        <v/>
      </c>
      <c r="K27" s="52">
        <f>IF(MONTH(DATE(PlanYear,13,1)-WEEKDAY(DATE(PlanYear,13,1),3)+17)=1,DATE(PlanYear,13,1)-WEEKDAY(DATE(PlanYear,13,1),3)+17,"")</f>
        <v/>
      </c>
      <c r="L27" s="53" t="n"/>
      <c r="M27" s="54">
        <f>IF($K$27="","",IF(IFERROR(INDEX(DayStat,$K$27-DATE(PlanYear,1,1)+1)&amp;"","")&lt;&gt;"",0,SUMIFS(FlSorties,FlDate,$K$27)))</f>
        <v/>
      </c>
      <c r="N27" s="52">
        <f>IF(MONTH(DATE(PlanYear,13,1)-WEEKDAY(DATE(PlanYear,13,1),3)+18)=1,DATE(PlanYear,13,1)-WEEKDAY(DATE(PlanYear,13,1),3)+18,"")</f>
        <v/>
      </c>
      <c r="O27" s="53" t="n"/>
      <c r="P27" s="54">
        <f>IF($N$27="","",IF(IFERROR(INDEX(DayStat,$N$27-DATE(PlanYear,1,1)+1)&amp;"","")&lt;&gt;"",0,SUMIFS(FlSorties,FlDate,$N$27)))</f>
        <v/>
      </c>
      <c r="Q27" s="55">
        <f>IF(MONTH(DATE(PlanYear,13,1)-WEEKDAY(DATE(PlanYear,13,1),3)+19)=1,DATE(PlanYear,13,1)-WEEKDAY(DATE(PlanYear,13,1),3)+19,"")</f>
        <v/>
      </c>
      <c r="R27" s="56" t="n"/>
      <c r="S27" s="57">
        <f>IF($Q$27="","",IF(IFERROR(INDEX(DayStat,$Q$27-DATE(PlanYear,1,1)+1)&amp;"","")&lt;&gt;"",0,SUMIFS(FlSorties,FlDate,$Q$27)))</f>
        <v/>
      </c>
      <c r="T27" s="55">
        <f>IF(MONTH(DATE(PlanYear,13,1)-WEEKDAY(DATE(PlanYear,13,1),3)+20)=1,DATE(PlanYear,13,1)-WEEKDAY(DATE(PlanYear,13,1),3)+20,"")</f>
        <v/>
      </c>
      <c r="U27" s="56" t="n"/>
      <c r="V27" s="57">
        <f>IF($T$27="","",IF(IFERROR(INDEX(DayStat,$T$27-DATE(PlanYear,1,1)+1)&amp;"","")&lt;&gt;"",0,SUMIFS(FlSorties,FlDate,$T$27)))</f>
        <v/>
      </c>
    </row>
    <row r="28" ht="14" customHeight="1">
      <c r="B28" s="58">
        <f>IF($B$27="","",IF(IFERROR(INDEX(DayStat,$B$27-DATE(PlanYear,1,1)+1)&amp;"","")&lt;&gt;"",IFERROR(INDEX(DayStat,$B$27-DATE(PlanYear,1,1)+1)&amp;"",""),IF(COUNTIF(GrDate,$B$27)=0,"","GND: "&amp;INDEX(GrAct,MATCH($B$27,GrDate,0))&amp;IF(COUNTIF(GrDate,$B$27)&gt;1," +"&amp;(COUNTIF(GrDate,$B$27)-1)&amp;" more",""))))</f>
        <v/>
      </c>
      <c r="C28" s="59" t="n"/>
      <c r="D28" s="60" t="n"/>
      <c r="E28" s="58">
        <f>IF($E$27="","",IF(IFERROR(INDEX(DayStat,$E$27-DATE(PlanYear,1,1)+1)&amp;"","")&lt;&gt;"",IFERROR(INDEX(DayStat,$E$27-DATE(PlanYear,1,1)+1)&amp;"",""),IF(COUNTIF(GrDate,$E$27)=0,"","GND: "&amp;INDEX(GrAct,MATCH($E$27,GrDate,0))&amp;IF(COUNTIF(GrDate,$E$27)&gt;1," +"&amp;(COUNTIF(GrDate,$E$27)-1)&amp;" more",""))))</f>
        <v/>
      </c>
      <c r="F28" s="59" t="n"/>
      <c r="G28" s="60" t="n"/>
      <c r="H28" s="58">
        <f>IF($H$27="","",IF(IFERROR(INDEX(DayStat,$H$27-DATE(PlanYear,1,1)+1)&amp;"","")&lt;&gt;"",IFERROR(INDEX(DayStat,$H$27-DATE(PlanYear,1,1)+1)&amp;"",""),IF(COUNTIF(GrDate,$H$27)=0,"","GND: "&amp;INDEX(GrAct,MATCH($H$27,GrDate,0))&amp;IF(COUNTIF(GrDate,$H$27)&gt;1," +"&amp;(COUNTIF(GrDate,$H$27)-1)&amp;" more",""))))</f>
        <v/>
      </c>
      <c r="I28" s="59" t="n"/>
      <c r="J28" s="60" t="n"/>
      <c r="K28" s="58">
        <f>IF($K$27="","",IF(IFERROR(INDEX(DayStat,$K$27-DATE(PlanYear,1,1)+1)&amp;"","")&lt;&gt;"",IFERROR(INDEX(DayStat,$K$27-DATE(PlanYear,1,1)+1)&amp;"",""),IF(COUNTIF(GrDate,$K$27)=0,"","GND: "&amp;INDEX(GrAct,MATCH($K$27,GrDate,0))&amp;IF(COUNTIF(GrDate,$K$27)&gt;1," +"&amp;(COUNTIF(GrDate,$K$27)-1)&amp;" more",""))))</f>
        <v/>
      </c>
      <c r="L28" s="59" t="n"/>
      <c r="M28" s="60" t="n"/>
      <c r="N28" s="58">
        <f>IF($N$27="","",IF(IFERROR(INDEX(DayStat,$N$27-DATE(PlanYear,1,1)+1)&amp;"","")&lt;&gt;"",IFERROR(INDEX(DayStat,$N$27-DATE(PlanYear,1,1)+1)&amp;"",""),IF(COUNTIF(GrDate,$N$27)=0,"","GND: "&amp;INDEX(GrAct,MATCH($N$27,GrDate,0))&amp;IF(COUNTIF(GrDate,$N$27)&gt;1," +"&amp;(COUNTIF(GrDate,$N$27)-1)&amp;" more",""))))</f>
        <v/>
      </c>
      <c r="O28" s="59" t="n"/>
      <c r="P28" s="60" t="n"/>
      <c r="Q28" s="58">
        <f>IF($Q$27="","",IF(IFERROR(INDEX(DayStat,$Q$27-DATE(PlanYear,1,1)+1)&amp;"","")&lt;&gt;"",IFERROR(INDEX(DayStat,$Q$27-DATE(PlanYear,1,1)+1)&amp;"",""),IF(COUNTIF(GrDate,$Q$27)=0,"","GND: "&amp;INDEX(GrAct,MATCH($Q$27,GrDate,0))&amp;IF(COUNTIF(GrDate,$Q$27)&gt;1," +"&amp;(COUNTIF(GrDate,$Q$27)-1)&amp;" more",""))))</f>
        <v/>
      </c>
      <c r="R28" s="59" t="n"/>
      <c r="S28" s="60" t="n"/>
      <c r="T28" s="58">
        <f>IF($T$27="","",IF(IFERROR(INDEX(DayStat,$T$27-DATE(PlanYear,1,1)+1)&amp;"","")&lt;&gt;"",IFERROR(INDEX(DayStat,$T$27-DATE(PlanYear,1,1)+1)&amp;"",""),IF(COUNTIF(GrDate,$T$27)=0,"","GND: "&amp;INDEX(GrAct,MATCH($T$27,GrDate,0))&amp;IF(COUNTIF(GrDate,$T$27)&gt;1," +"&amp;(COUNTIF(GrDate,$T$27)-1)&amp;" more",""))))</f>
        <v/>
      </c>
      <c r="U28" s="59" t="n"/>
      <c r="V28" s="60" t="n"/>
    </row>
    <row r="29" ht="14" customHeight="1">
      <c r="B29" s="61">
        <f>IF($B$27="","","AM"&amp;IF(COUNTIFS(FlDate,$B$27,FlShift,"AM",FlCode,"&lt;&gt;")&gt;3,CHAR(10)&amp;"+"&amp;(COUNTIFS(FlDate,$B$27,FlShift,"AM",FlCode,"&lt;&gt;")-3)&amp;" more",""))</f>
        <v/>
      </c>
      <c r="C29" s="62">
        <f>IF($B$27="","",IFERROR(INDEX(FlCode,MATCH($B$27&amp;"|AM|1",FlKey,0)),""))</f>
        <v/>
      </c>
      <c r="D29" s="63">
        <f>IF($B$27="","",IFERROR(INDEX(FlTime,MATCH($B$27&amp;"|AM|1",FlKey,0))&amp;"",""))</f>
        <v/>
      </c>
      <c r="E29" s="61">
        <f>IF($E$27="","","AM"&amp;IF(COUNTIFS(FlDate,$E$27,FlShift,"AM",FlCode,"&lt;&gt;")&gt;3,CHAR(10)&amp;"+"&amp;(COUNTIFS(FlDate,$E$27,FlShift,"AM",FlCode,"&lt;&gt;")-3)&amp;" more",""))</f>
        <v/>
      </c>
      <c r="F29" s="62">
        <f>IF($E$27="","",IFERROR(INDEX(FlCode,MATCH($E$27&amp;"|AM|1",FlKey,0)),""))</f>
        <v/>
      </c>
      <c r="G29" s="63">
        <f>IF($E$27="","",IFERROR(INDEX(FlTime,MATCH($E$27&amp;"|AM|1",FlKey,0))&amp;"",""))</f>
        <v/>
      </c>
      <c r="H29" s="61">
        <f>IF($H$27="","","AM"&amp;IF(COUNTIFS(FlDate,$H$27,FlShift,"AM",FlCode,"&lt;&gt;")&gt;3,CHAR(10)&amp;"+"&amp;(COUNTIFS(FlDate,$H$27,FlShift,"AM",FlCode,"&lt;&gt;")-3)&amp;" more",""))</f>
        <v/>
      </c>
      <c r="I29" s="62">
        <f>IF($H$27="","",IFERROR(INDEX(FlCode,MATCH($H$27&amp;"|AM|1",FlKey,0)),""))</f>
        <v/>
      </c>
      <c r="J29" s="63">
        <f>IF($H$27="","",IFERROR(INDEX(FlTime,MATCH($H$27&amp;"|AM|1",FlKey,0))&amp;"",""))</f>
        <v/>
      </c>
      <c r="K29" s="61">
        <f>IF($K$27="","","AM"&amp;IF(COUNTIFS(FlDate,$K$27,FlShift,"AM",FlCode,"&lt;&gt;")&gt;3,CHAR(10)&amp;"+"&amp;(COUNTIFS(FlDate,$K$27,FlShift,"AM",FlCode,"&lt;&gt;")-3)&amp;" more",""))</f>
        <v/>
      </c>
      <c r="L29" s="62">
        <f>IF($K$27="","",IFERROR(INDEX(FlCode,MATCH($K$27&amp;"|AM|1",FlKey,0)),""))</f>
        <v/>
      </c>
      <c r="M29" s="63">
        <f>IF($K$27="","",IFERROR(INDEX(FlTime,MATCH($K$27&amp;"|AM|1",FlKey,0))&amp;"",""))</f>
        <v/>
      </c>
      <c r="N29" s="61">
        <f>IF($N$27="","","AM"&amp;IF(COUNTIFS(FlDate,$N$27,FlShift,"AM",FlCode,"&lt;&gt;")&gt;3,CHAR(10)&amp;"+"&amp;(COUNTIFS(FlDate,$N$27,FlShift,"AM",FlCode,"&lt;&gt;")-3)&amp;" more",""))</f>
        <v/>
      </c>
      <c r="O29" s="62">
        <f>IF($N$27="","",IFERROR(INDEX(FlCode,MATCH($N$27&amp;"|AM|1",FlKey,0)),""))</f>
        <v/>
      </c>
      <c r="P29" s="63">
        <f>IF($N$27="","",IFERROR(INDEX(FlTime,MATCH($N$27&amp;"|AM|1",FlKey,0))&amp;"",""))</f>
        <v/>
      </c>
      <c r="Q29" s="61">
        <f>IF($Q$27="","","AM"&amp;IF(COUNTIFS(FlDate,$Q$27,FlShift,"AM",FlCode,"&lt;&gt;")&gt;3,CHAR(10)&amp;"+"&amp;(COUNTIFS(FlDate,$Q$27,FlShift,"AM",FlCode,"&lt;&gt;")-3)&amp;" more",""))</f>
        <v/>
      </c>
      <c r="R29" s="62">
        <f>IF($Q$27="","",IFERROR(INDEX(FlCode,MATCH($Q$27&amp;"|AM|1",FlKey,0)),""))</f>
        <v/>
      </c>
      <c r="S29" s="63">
        <f>IF($Q$27="","",IFERROR(INDEX(FlTime,MATCH($Q$27&amp;"|AM|1",FlKey,0))&amp;"",""))</f>
        <v/>
      </c>
      <c r="T29" s="61">
        <f>IF($T$27="","","AM"&amp;IF(COUNTIFS(FlDate,$T$27,FlShift,"AM",FlCode,"&lt;&gt;")&gt;3,CHAR(10)&amp;"+"&amp;(COUNTIFS(FlDate,$T$27,FlShift,"AM",FlCode,"&lt;&gt;")-3)&amp;" more",""))</f>
        <v/>
      </c>
      <c r="U29" s="62">
        <f>IF($T$27="","",IFERROR(INDEX(FlCode,MATCH($T$27&amp;"|AM|1",FlKey,0)),""))</f>
        <v/>
      </c>
      <c r="V29" s="63">
        <f>IF($T$27="","",IFERROR(INDEX(FlTime,MATCH($T$27&amp;"|AM|1",FlKey,0))&amp;"",""))</f>
        <v/>
      </c>
    </row>
    <row r="30" ht="14" customHeight="1">
      <c r="B30" s="64" t="n"/>
      <c r="C30" s="62">
        <f>IF($B$27="","",IFERROR(INDEX(FlCode,MATCH($B$27&amp;"|AM|2",FlKey,0)),""))</f>
        <v/>
      </c>
      <c r="D30" s="63">
        <f>IF($B$27="","",IFERROR(INDEX(FlTime,MATCH($B$27&amp;"|AM|2",FlKey,0))&amp;"",""))</f>
        <v/>
      </c>
      <c r="E30" s="64" t="n"/>
      <c r="F30" s="62">
        <f>IF($E$27="","",IFERROR(INDEX(FlCode,MATCH($E$27&amp;"|AM|2",FlKey,0)),""))</f>
        <v/>
      </c>
      <c r="G30" s="63">
        <f>IF($E$27="","",IFERROR(INDEX(FlTime,MATCH($E$27&amp;"|AM|2",FlKey,0))&amp;"",""))</f>
        <v/>
      </c>
      <c r="H30" s="64" t="n"/>
      <c r="I30" s="62">
        <f>IF($H$27="","",IFERROR(INDEX(FlCode,MATCH($H$27&amp;"|AM|2",FlKey,0)),""))</f>
        <v/>
      </c>
      <c r="J30" s="63">
        <f>IF($H$27="","",IFERROR(INDEX(FlTime,MATCH($H$27&amp;"|AM|2",FlKey,0))&amp;"",""))</f>
        <v/>
      </c>
      <c r="K30" s="64" t="n"/>
      <c r="L30" s="62">
        <f>IF($K$27="","",IFERROR(INDEX(FlCode,MATCH($K$27&amp;"|AM|2",FlKey,0)),""))</f>
        <v/>
      </c>
      <c r="M30" s="63">
        <f>IF($K$27="","",IFERROR(INDEX(FlTime,MATCH($K$27&amp;"|AM|2",FlKey,0))&amp;"",""))</f>
        <v/>
      </c>
      <c r="N30" s="64" t="n"/>
      <c r="O30" s="62">
        <f>IF($N$27="","",IFERROR(INDEX(FlCode,MATCH($N$27&amp;"|AM|2",FlKey,0)),""))</f>
        <v/>
      </c>
      <c r="P30" s="63">
        <f>IF($N$27="","",IFERROR(INDEX(FlTime,MATCH($N$27&amp;"|AM|2",FlKey,0))&amp;"",""))</f>
        <v/>
      </c>
      <c r="Q30" s="64" t="n"/>
      <c r="R30" s="62">
        <f>IF($Q$27="","",IFERROR(INDEX(FlCode,MATCH($Q$27&amp;"|AM|2",FlKey,0)),""))</f>
        <v/>
      </c>
      <c r="S30" s="63">
        <f>IF($Q$27="","",IFERROR(INDEX(FlTime,MATCH($Q$27&amp;"|AM|2",FlKey,0))&amp;"",""))</f>
        <v/>
      </c>
      <c r="T30" s="64" t="n"/>
      <c r="U30" s="62">
        <f>IF($T$27="","",IFERROR(INDEX(FlCode,MATCH($T$27&amp;"|AM|2",FlKey,0)),""))</f>
        <v/>
      </c>
      <c r="V30" s="63">
        <f>IF($T$27="","",IFERROR(INDEX(FlTime,MATCH($T$27&amp;"|AM|2",FlKey,0))&amp;"",""))</f>
        <v/>
      </c>
    </row>
    <row r="31" ht="14" customHeight="1">
      <c r="B31" s="65" t="n"/>
      <c r="C31" s="66">
        <f>IF($B$27="","",IFERROR(INDEX(FlCode,MATCH($B$27&amp;"|AM|3",FlKey,0)),""))</f>
        <v/>
      </c>
      <c r="D31" s="67">
        <f>IF($B$27="","",IFERROR(INDEX(FlTime,MATCH($B$27&amp;"|AM|3",FlKey,0))&amp;"",""))</f>
        <v/>
      </c>
      <c r="E31" s="65" t="n"/>
      <c r="F31" s="66">
        <f>IF($E$27="","",IFERROR(INDEX(FlCode,MATCH($E$27&amp;"|AM|3",FlKey,0)),""))</f>
        <v/>
      </c>
      <c r="G31" s="67">
        <f>IF($E$27="","",IFERROR(INDEX(FlTime,MATCH($E$27&amp;"|AM|3",FlKey,0))&amp;"",""))</f>
        <v/>
      </c>
      <c r="H31" s="65" t="n"/>
      <c r="I31" s="66">
        <f>IF($H$27="","",IFERROR(INDEX(FlCode,MATCH($H$27&amp;"|AM|3",FlKey,0)),""))</f>
        <v/>
      </c>
      <c r="J31" s="67">
        <f>IF($H$27="","",IFERROR(INDEX(FlTime,MATCH($H$27&amp;"|AM|3",FlKey,0))&amp;"",""))</f>
        <v/>
      </c>
      <c r="K31" s="65" t="n"/>
      <c r="L31" s="66">
        <f>IF($K$27="","",IFERROR(INDEX(FlCode,MATCH($K$27&amp;"|AM|3",FlKey,0)),""))</f>
        <v/>
      </c>
      <c r="M31" s="67">
        <f>IF($K$27="","",IFERROR(INDEX(FlTime,MATCH($K$27&amp;"|AM|3",FlKey,0))&amp;"",""))</f>
        <v/>
      </c>
      <c r="N31" s="65" t="n"/>
      <c r="O31" s="66">
        <f>IF($N$27="","",IFERROR(INDEX(FlCode,MATCH($N$27&amp;"|AM|3",FlKey,0)),""))</f>
        <v/>
      </c>
      <c r="P31" s="67">
        <f>IF($N$27="","",IFERROR(INDEX(FlTime,MATCH($N$27&amp;"|AM|3",FlKey,0))&amp;"",""))</f>
        <v/>
      </c>
      <c r="Q31" s="65" t="n"/>
      <c r="R31" s="66">
        <f>IF($Q$27="","",IFERROR(INDEX(FlCode,MATCH($Q$27&amp;"|AM|3",FlKey,0)),""))</f>
        <v/>
      </c>
      <c r="S31" s="67">
        <f>IF($Q$27="","",IFERROR(INDEX(FlTime,MATCH($Q$27&amp;"|AM|3",FlKey,0))&amp;"",""))</f>
        <v/>
      </c>
      <c r="T31" s="65" t="n"/>
      <c r="U31" s="66">
        <f>IF($T$27="","",IFERROR(INDEX(FlCode,MATCH($T$27&amp;"|AM|3",FlKey,0)),""))</f>
        <v/>
      </c>
      <c r="V31" s="67">
        <f>IF($T$27="","",IFERROR(INDEX(FlTime,MATCH($T$27&amp;"|AM|3",FlKey,0))&amp;"",""))</f>
        <v/>
      </c>
    </row>
    <row r="32" ht="14" customHeight="1">
      <c r="B32" s="68">
        <f>IF($B$27="","","PM"&amp;IF(COUNTIFS(FlDate,$B$27,FlShift,"PM",FlCode,"&lt;&gt;")&gt;3,CHAR(10)&amp;"+"&amp;(COUNTIFS(FlDate,$B$27,FlShift,"PM",FlCode,"&lt;&gt;")-3)&amp;" more",""))</f>
        <v/>
      </c>
      <c r="C32" s="62">
        <f>IF($B$27="","",IFERROR(INDEX(FlCode,MATCH($B$27&amp;"|PM|1",FlKey,0)),""))</f>
        <v/>
      </c>
      <c r="D32" s="63">
        <f>IF($B$27="","",IFERROR(INDEX(FlTime,MATCH($B$27&amp;"|PM|1",FlKey,0))&amp;"",""))</f>
        <v/>
      </c>
      <c r="E32" s="68">
        <f>IF($E$27="","","PM"&amp;IF(COUNTIFS(FlDate,$E$27,FlShift,"PM",FlCode,"&lt;&gt;")&gt;3,CHAR(10)&amp;"+"&amp;(COUNTIFS(FlDate,$E$27,FlShift,"PM",FlCode,"&lt;&gt;")-3)&amp;" more",""))</f>
        <v/>
      </c>
      <c r="F32" s="62">
        <f>IF($E$27="","",IFERROR(INDEX(FlCode,MATCH($E$27&amp;"|PM|1",FlKey,0)),""))</f>
        <v/>
      </c>
      <c r="G32" s="63">
        <f>IF($E$27="","",IFERROR(INDEX(FlTime,MATCH($E$27&amp;"|PM|1",FlKey,0))&amp;"",""))</f>
        <v/>
      </c>
      <c r="H32" s="68">
        <f>IF($H$27="","","PM"&amp;IF(COUNTIFS(FlDate,$H$27,FlShift,"PM",FlCode,"&lt;&gt;")&gt;3,CHAR(10)&amp;"+"&amp;(COUNTIFS(FlDate,$H$27,FlShift,"PM",FlCode,"&lt;&gt;")-3)&amp;" more",""))</f>
        <v/>
      </c>
      <c r="I32" s="62">
        <f>IF($H$27="","",IFERROR(INDEX(FlCode,MATCH($H$27&amp;"|PM|1",FlKey,0)),""))</f>
        <v/>
      </c>
      <c r="J32" s="63">
        <f>IF($H$27="","",IFERROR(INDEX(FlTime,MATCH($H$27&amp;"|PM|1",FlKey,0))&amp;"",""))</f>
        <v/>
      </c>
      <c r="K32" s="68">
        <f>IF($K$27="","","PM"&amp;IF(COUNTIFS(FlDate,$K$27,FlShift,"PM",FlCode,"&lt;&gt;")&gt;3,CHAR(10)&amp;"+"&amp;(COUNTIFS(FlDate,$K$27,FlShift,"PM",FlCode,"&lt;&gt;")-3)&amp;" more",""))</f>
        <v/>
      </c>
      <c r="L32" s="62">
        <f>IF($K$27="","",IFERROR(INDEX(FlCode,MATCH($K$27&amp;"|PM|1",FlKey,0)),""))</f>
        <v/>
      </c>
      <c r="M32" s="63">
        <f>IF($K$27="","",IFERROR(INDEX(FlTime,MATCH($K$27&amp;"|PM|1",FlKey,0))&amp;"",""))</f>
        <v/>
      </c>
      <c r="N32" s="68">
        <f>IF($N$27="","","PM"&amp;IF(COUNTIFS(FlDate,$N$27,FlShift,"PM",FlCode,"&lt;&gt;")&gt;3,CHAR(10)&amp;"+"&amp;(COUNTIFS(FlDate,$N$27,FlShift,"PM",FlCode,"&lt;&gt;")-3)&amp;" more",""))</f>
        <v/>
      </c>
      <c r="O32" s="62">
        <f>IF($N$27="","",IFERROR(INDEX(FlCode,MATCH($N$27&amp;"|PM|1",FlKey,0)),""))</f>
        <v/>
      </c>
      <c r="P32" s="63">
        <f>IF($N$27="","",IFERROR(INDEX(FlTime,MATCH($N$27&amp;"|PM|1",FlKey,0))&amp;"",""))</f>
        <v/>
      </c>
      <c r="Q32" s="68">
        <f>IF($Q$27="","","PM"&amp;IF(COUNTIFS(FlDate,$Q$27,FlShift,"PM",FlCode,"&lt;&gt;")&gt;3,CHAR(10)&amp;"+"&amp;(COUNTIFS(FlDate,$Q$27,FlShift,"PM",FlCode,"&lt;&gt;")-3)&amp;" more",""))</f>
        <v/>
      </c>
      <c r="R32" s="62">
        <f>IF($Q$27="","",IFERROR(INDEX(FlCode,MATCH($Q$27&amp;"|PM|1",FlKey,0)),""))</f>
        <v/>
      </c>
      <c r="S32" s="63">
        <f>IF($Q$27="","",IFERROR(INDEX(FlTime,MATCH($Q$27&amp;"|PM|1",FlKey,0))&amp;"",""))</f>
        <v/>
      </c>
      <c r="T32" s="68">
        <f>IF($T$27="","","PM"&amp;IF(COUNTIFS(FlDate,$T$27,FlShift,"PM",FlCode,"&lt;&gt;")&gt;3,CHAR(10)&amp;"+"&amp;(COUNTIFS(FlDate,$T$27,FlShift,"PM",FlCode,"&lt;&gt;")-3)&amp;" more",""))</f>
        <v/>
      </c>
      <c r="U32" s="62">
        <f>IF($T$27="","",IFERROR(INDEX(FlCode,MATCH($T$27&amp;"|PM|1",FlKey,0)),""))</f>
        <v/>
      </c>
      <c r="V32" s="63">
        <f>IF($T$27="","",IFERROR(INDEX(FlTime,MATCH($T$27&amp;"|PM|1",FlKey,0))&amp;"",""))</f>
        <v/>
      </c>
    </row>
    <row r="33" ht="14" customHeight="1">
      <c r="B33" s="69" t="n"/>
      <c r="C33" s="62">
        <f>IF($B$27="","",IFERROR(INDEX(FlCode,MATCH($B$27&amp;"|PM|2",FlKey,0)),""))</f>
        <v/>
      </c>
      <c r="D33" s="63">
        <f>IF($B$27="","",IFERROR(INDEX(FlTime,MATCH($B$27&amp;"|PM|2",FlKey,0))&amp;"",""))</f>
        <v/>
      </c>
      <c r="E33" s="69" t="n"/>
      <c r="F33" s="62">
        <f>IF($E$27="","",IFERROR(INDEX(FlCode,MATCH($E$27&amp;"|PM|2",FlKey,0)),""))</f>
        <v/>
      </c>
      <c r="G33" s="63">
        <f>IF($E$27="","",IFERROR(INDEX(FlTime,MATCH($E$27&amp;"|PM|2",FlKey,0))&amp;"",""))</f>
        <v/>
      </c>
      <c r="H33" s="69" t="n"/>
      <c r="I33" s="62">
        <f>IF($H$27="","",IFERROR(INDEX(FlCode,MATCH($H$27&amp;"|PM|2",FlKey,0)),""))</f>
        <v/>
      </c>
      <c r="J33" s="63">
        <f>IF($H$27="","",IFERROR(INDEX(FlTime,MATCH($H$27&amp;"|PM|2",FlKey,0))&amp;"",""))</f>
        <v/>
      </c>
      <c r="K33" s="69" t="n"/>
      <c r="L33" s="62">
        <f>IF($K$27="","",IFERROR(INDEX(FlCode,MATCH($K$27&amp;"|PM|2",FlKey,0)),""))</f>
        <v/>
      </c>
      <c r="M33" s="63">
        <f>IF($K$27="","",IFERROR(INDEX(FlTime,MATCH($K$27&amp;"|PM|2",FlKey,0))&amp;"",""))</f>
        <v/>
      </c>
      <c r="N33" s="69" t="n"/>
      <c r="O33" s="62">
        <f>IF($N$27="","",IFERROR(INDEX(FlCode,MATCH($N$27&amp;"|PM|2",FlKey,0)),""))</f>
        <v/>
      </c>
      <c r="P33" s="63">
        <f>IF($N$27="","",IFERROR(INDEX(FlTime,MATCH($N$27&amp;"|PM|2",FlKey,0))&amp;"",""))</f>
        <v/>
      </c>
      <c r="Q33" s="69" t="n"/>
      <c r="R33" s="62">
        <f>IF($Q$27="","",IFERROR(INDEX(FlCode,MATCH($Q$27&amp;"|PM|2",FlKey,0)),""))</f>
        <v/>
      </c>
      <c r="S33" s="63">
        <f>IF($Q$27="","",IFERROR(INDEX(FlTime,MATCH($Q$27&amp;"|PM|2",FlKey,0))&amp;"",""))</f>
        <v/>
      </c>
      <c r="T33" s="69" t="n"/>
      <c r="U33" s="62">
        <f>IF($T$27="","",IFERROR(INDEX(FlCode,MATCH($T$27&amp;"|PM|2",FlKey,0)),""))</f>
        <v/>
      </c>
      <c r="V33" s="63">
        <f>IF($T$27="","",IFERROR(INDEX(FlTime,MATCH($T$27&amp;"|PM|2",FlKey,0))&amp;"",""))</f>
        <v/>
      </c>
    </row>
    <row r="34" ht="14" customHeight="1">
      <c r="B34" s="70" t="n"/>
      <c r="C34" s="66">
        <f>IF($B$27="","",IFERROR(INDEX(FlCode,MATCH($B$27&amp;"|PM|3",FlKey,0)),""))</f>
        <v/>
      </c>
      <c r="D34" s="67">
        <f>IF($B$27="","",IFERROR(INDEX(FlTime,MATCH($B$27&amp;"|PM|3",FlKey,0))&amp;"",""))</f>
        <v/>
      </c>
      <c r="E34" s="70" t="n"/>
      <c r="F34" s="66">
        <f>IF($E$27="","",IFERROR(INDEX(FlCode,MATCH($E$27&amp;"|PM|3",FlKey,0)),""))</f>
        <v/>
      </c>
      <c r="G34" s="67">
        <f>IF($E$27="","",IFERROR(INDEX(FlTime,MATCH($E$27&amp;"|PM|3",FlKey,0))&amp;"",""))</f>
        <v/>
      </c>
      <c r="H34" s="70" t="n"/>
      <c r="I34" s="66">
        <f>IF($H$27="","",IFERROR(INDEX(FlCode,MATCH($H$27&amp;"|PM|3",FlKey,0)),""))</f>
        <v/>
      </c>
      <c r="J34" s="67">
        <f>IF($H$27="","",IFERROR(INDEX(FlTime,MATCH($H$27&amp;"|PM|3",FlKey,0))&amp;"",""))</f>
        <v/>
      </c>
      <c r="K34" s="70" t="n"/>
      <c r="L34" s="66">
        <f>IF($K$27="","",IFERROR(INDEX(FlCode,MATCH($K$27&amp;"|PM|3",FlKey,0)),""))</f>
        <v/>
      </c>
      <c r="M34" s="67">
        <f>IF($K$27="","",IFERROR(INDEX(FlTime,MATCH($K$27&amp;"|PM|3",FlKey,0))&amp;"",""))</f>
        <v/>
      </c>
      <c r="N34" s="70" t="n"/>
      <c r="O34" s="66">
        <f>IF($N$27="","",IFERROR(INDEX(FlCode,MATCH($N$27&amp;"|PM|3",FlKey,0)),""))</f>
        <v/>
      </c>
      <c r="P34" s="67">
        <f>IF($N$27="","",IFERROR(INDEX(FlTime,MATCH($N$27&amp;"|PM|3",FlKey,0))&amp;"",""))</f>
        <v/>
      </c>
      <c r="Q34" s="70" t="n"/>
      <c r="R34" s="66">
        <f>IF($Q$27="","",IFERROR(INDEX(FlCode,MATCH($Q$27&amp;"|PM|3",FlKey,0)),""))</f>
        <v/>
      </c>
      <c r="S34" s="67">
        <f>IF($Q$27="","",IFERROR(INDEX(FlTime,MATCH($Q$27&amp;"|PM|3",FlKey,0))&amp;"",""))</f>
        <v/>
      </c>
      <c r="T34" s="70" t="n"/>
      <c r="U34" s="66">
        <f>IF($T$27="","",IFERROR(INDEX(FlCode,MATCH($T$27&amp;"|PM|3",FlKey,0)),""))</f>
        <v/>
      </c>
      <c r="V34" s="67">
        <f>IF($T$27="","",IFERROR(INDEX(FlTime,MATCH($T$27&amp;"|PM|3",FlKey,0))&amp;"",""))</f>
        <v/>
      </c>
    </row>
    <row r="35" ht="14" customHeight="1">
      <c r="B35" s="71">
        <f>IF($B$27="","","NIGHT"&amp;IF(COUNTIFS(FlDate,$B$27,FlShift,"NIGHT",FlCode,"&lt;&gt;")&gt;3,CHAR(10)&amp;"+"&amp;(COUNTIFS(FlDate,$B$27,FlShift,"NIGHT",FlCode,"&lt;&gt;")-3)&amp;" more",""))</f>
        <v/>
      </c>
      <c r="C35" s="62">
        <f>IF($B$27="","",IFERROR(INDEX(FlCode,MATCH($B$27&amp;"|NIGHT|1",FlKey,0)),""))</f>
        <v/>
      </c>
      <c r="D35" s="63">
        <f>IF($B$27="","",IFERROR(INDEX(FlTime,MATCH($B$27&amp;"|NIGHT|1",FlKey,0))&amp;"",""))</f>
        <v/>
      </c>
      <c r="E35" s="71">
        <f>IF($E$27="","","NIGHT"&amp;IF(COUNTIFS(FlDate,$E$27,FlShift,"NIGHT",FlCode,"&lt;&gt;")&gt;3,CHAR(10)&amp;"+"&amp;(COUNTIFS(FlDate,$E$27,FlShift,"NIGHT",FlCode,"&lt;&gt;")-3)&amp;" more",""))</f>
        <v/>
      </c>
      <c r="F35" s="62">
        <f>IF($E$27="","",IFERROR(INDEX(FlCode,MATCH($E$27&amp;"|NIGHT|1",FlKey,0)),""))</f>
        <v/>
      </c>
      <c r="G35" s="63">
        <f>IF($E$27="","",IFERROR(INDEX(FlTime,MATCH($E$27&amp;"|NIGHT|1",FlKey,0))&amp;"",""))</f>
        <v/>
      </c>
      <c r="H35" s="71">
        <f>IF($H$27="","","NIGHT"&amp;IF(COUNTIFS(FlDate,$H$27,FlShift,"NIGHT",FlCode,"&lt;&gt;")&gt;3,CHAR(10)&amp;"+"&amp;(COUNTIFS(FlDate,$H$27,FlShift,"NIGHT",FlCode,"&lt;&gt;")-3)&amp;" more",""))</f>
        <v/>
      </c>
      <c r="I35" s="62">
        <f>IF($H$27="","",IFERROR(INDEX(FlCode,MATCH($H$27&amp;"|NIGHT|1",FlKey,0)),""))</f>
        <v/>
      </c>
      <c r="J35" s="63">
        <f>IF($H$27="","",IFERROR(INDEX(FlTime,MATCH($H$27&amp;"|NIGHT|1",FlKey,0))&amp;"",""))</f>
        <v/>
      </c>
      <c r="K35" s="71">
        <f>IF($K$27="","","NIGHT"&amp;IF(COUNTIFS(FlDate,$K$27,FlShift,"NIGHT",FlCode,"&lt;&gt;")&gt;3,CHAR(10)&amp;"+"&amp;(COUNTIFS(FlDate,$K$27,FlShift,"NIGHT",FlCode,"&lt;&gt;")-3)&amp;" more",""))</f>
        <v/>
      </c>
      <c r="L35" s="62">
        <f>IF($K$27="","",IFERROR(INDEX(FlCode,MATCH($K$27&amp;"|NIGHT|1",FlKey,0)),""))</f>
        <v/>
      </c>
      <c r="M35" s="63">
        <f>IF($K$27="","",IFERROR(INDEX(FlTime,MATCH($K$27&amp;"|NIGHT|1",FlKey,0))&amp;"",""))</f>
        <v/>
      </c>
      <c r="N35" s="71">
        <f>IF($N$27="","","NIGHT"&amp;IF(COUNTIFS(FlDate,$N$27,FlShift,"NIGHT",FlCode,"&lt;&gt;")&gt;3,CHAR(10)&amp;"+"&amp;(COUNTIFS(FlDate,$N$27,FlShift,"NIGHT",FlCode,"&lt;&gt;")-3)&amp;" more",""))</f>
        <v/>
      </c>
      <c r="O35" s="62">
        <f>IF($N$27="","",IFERROR(INDEX(FlCode,MATCH($N$27&amp;"|NIGHT|1",FlKey,0)),""))</f>
        <v/>
      </c>
      <c r="P35" s="63">
        <f>IF($N$27="","",IFERROR(INDEX(FlTime,MATCH($N$27&amp;"|NIGHT|1",FlKey,0))&amp;"",""))</f>
        <v/>
      </c>
      <c r="Q35" s="71">
        <f>IF($Q$27="","","NIGHT"&amp;IF(COUNTIFS(FlDate,$Q$27,FlShift,"NIGHT",FlCode,"&lt;&gt;")&gt;3,CHAR(10)&amp;"+"&amp;(COUNTIFS(FlDate,$Q$27,FlShift,"NIGHT",FlCode,"&lt;&gt;")-3)&amp;" more",""))</f>
        <v/>
      </c>
      <c r="R35" s="62">
        <f>IF($Q$27="","",IFERROR(INDEX(FlCode,MATCH($Q$27&amp;"|NIGHT|1",FlKey,0)),""))</f>
        <v/>
      </c>
      <c r="S35" s="63">
        <f>IF($Q$27="","",IFERROR(INDEX(FlTime,MATCH($Q$27&amp;"|NIGHT|1",FlKey,0))&amp;"",""))</f>
        <v/>
      </c>
      <c r="T35" s="71">
        <f>IF($T$27="","","NIGHT"&amp;IF(COUNTIFS(FlDate,$T$27,FlShift,"NIGHT",FlCode,"&lt;&gt;")&gt;3,CHAR(10)&amp;"+"&amp;(COUNTIFS(FlDate,$T$27,FlShift,"NIGHT",FlCode,"&lt;&gt;")-3)&amp;" more",""))</f>
        <v/>
      </c>
      <c r="U35" s="62">
        <f>IF($T$27="","",IFERROR(INDEX(FlCode,MATCH($T$27&amp;"|NIGHT|1",FlKey,0)),""))</f>
        <v/>
      </c>
      <c r="V35" s="63">
        <f>IF($T$27="","",IFERROR(INDEX(FlTime,MATCH($T$27&amp;"|NIGHT|1",FlKey,0))&amp;"",""))</f>
        <v/>
      </c>
    </row>
    <row r="36" ht="14" customHeight="1">
      <c r="B36" s="72" t="n"/>
      <c r="C36" s="62">
        <f>IF($B$27="","",IFERROR(INDEX(FlCode,MATCH($B$27&amp;"|NIGHT|2",FlKey,0)),""))</f>
        <v/>
      </c>
      <c r="D36" s="63">
        <f>IF($B$27="","",IFERROR(INDEX(FlTime,MATCH($B$27&amp;"|NIGHT|2",FlKey,0))&amp;"",""))</f>
        <v/>
      </c>
      <c r="E36" s="72" t="n"/>
      <c r="F36" s="62">
        <f>IF($E$27="","",IFERROR(INDEX(FlCode,MATCH($E$27&amp;"|NIGHT|2",FlKey,0)),""))</f>
        <v/>
      </c>
      <c r="G36" s="63">
        <f>IF($E$27="","",IFERROR(INDEX(FlTime,MATCH($E$27&amp;"|NIGHT|2",FlKey,0))&amp;"",""))</f>
        <v/>
      </c>
      <c r="H36" s="72" t="n"/>
      <c r="I36" s="62">
        <f>IF($H$27="","",IFERROR(INDEX(FlCode,MATCH($H$27&amp;"|NIGHT|2",FlKey,0)),""))</f>
        <v/>
      </c>
      <c r="J36" s="63">
        <f>IF($H$27="","",IFERROR(INDEX(FlTime,MATCH($H$27&amp;"|NIGHT|2",FlKey,0))&amp;"",""))</f>
        <v/>
      </c>
      <c r="K36" s="72" t="n"/>
      <c r="L36" s="62">
        <f>IF($K$27="","",IFERROR(INDEX(FlCode,MATCH($K$27&amp;"|NIGHT|2",FlKey,0)),""))</f>
        <v/>
      </c>
      <c r="M36" s="63">
        <f>IF($K$27="","",IFERROR(INDEX(FlTime,MATCH($K$27&amp;"|NIGHT|2",FlKey,0))&amp;"",""))</f>
        <v/>
      </c>
      <c r="N36" s="72" t="n"/>
      <c r="O36" s="62">
        <f>IF($N$27="","",IFERROR(INDEX(FlCode,MATCH($N$27&amp;"|NIGHT|2",FlKey,0)),""))</f>
        <v/>
      </c>
      <c r="P36" s="63">
        <f>IF($N$27="","",IFERROR(INDEX(FlTime,MATCH($N$27&amp;"|NIGHT|2",FlKey,0))&amp;"",""))</f>
        <v/>
      </c>
      <c r="Q36" s="72" t="n"/>
      <c r="R36" s="62">
        <f>IF($Q$27="","",IFERROR(INDEX(FlCode,MATCH($Q$27&amp;"|NIGHT|2",FlKey,0)),""))</f>
        <v/>
      </c>
      <c r="S36" s="63">
        <f>IF($Q$27="","",IFERROR(INDEX(FlTime,MATCH($Q$27&amp;"|NIGHT|2",FlKey,0))&amp;"",""))</f>
        <v/>
      </c>
      <c r="T36" s="72" t="n"/>
      <c r="U36" s="62">
        <f>IF($T$27="","",IFERROR(INDEX(FlCode,MATCH($T$27&amp;"|NIGHT|2",FlKey,0)),""))</f>
        <v/>
      </c>
      <c r="V36" s="63">
        <f>IF($T$27="","",IFERROR(INDEX(FlTime,MATCH($T$27&amp;"|NIGHT|2",FlKey,0))&amp;"",""))</f>
        <v/>
      </c>
    </row>
    <row r="37" ht="14" customHeight="1">
      <c r="B37" s="73" t="n"/>
      <c r="C37" s="74">
        <f>IF($B$27="","",IFERROR(INDEX(FlCode,MATCH($B$27&amp;"|NIGHT|3",FlKey,0)),""))</f>
        <v/>
      </c>
      <c r="D37" s="75">
        <f>IF($B$27="","",IFERROR(INDEX(FlTime,MATCH($B$27&amp;"|NIGHT|3",FlKey,0))&amp;"",""))</f>
        <v/>
      </c>
      <c r="E37" s="73" t="n"/>
      <c r="F37" s="74">
        <f>IF($E$27="","",IFERROR(INDEX(FlCode,MATCH($E$27&amp;"|NIGHT|3",FlKey,0)),""))</f>
        <v/>
      </c>
      <c r="G37" s="75">
        <f>IF($E$27="","",IFERROR(INDEX(FlTime,MATCH($E$27&amp;"|NIGHT|3",FlKey,0))&amp;"",""))</f>
        <v/>
      </c>
      <c r="H37" s="73" t="n"/>
      <c r="I37" s="74">
        <f>IF($H$27="","",IFERROR(INDEX(FlCode,MATCH($H$27&amp;"|NIGHT|3",FlKey,0)),""))</f>
        <v/>
      </c>
      <c r="J37" s="75">
        <f>IF($H$27="","",IFERROR(INDEX(FlTime,MATCH($H$27&amp;"|NIGHT|3",FlKey,0))&amp;"",""))</f>
        <v/>
      </c>
      <c r="K37" s="73" t="n"/>
      <c r="L37" s="74">
        <f>IF($K$27="","",IFERROR(INDEX(FlCode,MATCH($K$27&amp;"|NIGHT|3",FlKey,0)),""))</f>
        <v/>
      </c>
      <c r="M37" s="75">
        <f>IF($K$27="","",IFERROR(INDEX(FlTime,MATCH($K$27&amp;"|NIGHT|3",FlKey,0))&amp;"",""))</f>
        <v/>
      </c>
      <c r="N37" s="73" t="n"/>
      <c r="O37" s="74">
        <f>IF($N$27="","",IFERROR(INDEX(FlCode,MATCH($N$27&amp;"|NIGHT|3",FlKey,0)),""))</f>
        <v/>
      </c>
      <c r="P37" s="75">
        <f>IF($N$27="","",IFERROR(INDEX(FlTime,MATCH($N$27&amp;"|NIGHT|3",FlKey,0))&amp;"",""))</f>
        <v/>
      </c>
      <c r="Q37" s="73" t="n"/>
      <c r="R37" s="74">
        <f>IF($Q$27="","",IFERROR(INDEX(FlCode,MATCH($Q$27&amp;"|NIGHT|3",FlKey,0)),""))</f>
        <v/>
      </c>
      <c r="S37" s="75">
        <f>IF($Q$27="","",IFERROR(INDEX(FlTime,MATCH($Q$27&amp;"|NIGHT|3",FlKey,0))&amp;"",""))</f>
        <v/>
      </c>
      <c r="T37" s="73" t="n"/>
      <c r="U37" s="74">
        <f>IF($T$27="","",IFERROR(INDEX(FlCode,MATCH($T$27&amp;"|NIGHT|3",FlKey,0)),""))</f>
        <v/>
      </c>
      <c r="V37" s="75">
        <f>IF($T$27="","",IFERROR(INDEX(FlTime,MATCH($T$27&amp;"|NIGHT|3",FlKey,0))&amp;"",""))</f>
        <v/>
      </c>
    </row>
    <row r="38" ht="19" customHeight="1">
      <c r="B38" s="52">
        <f>IF(MONTH(DATE(PlanYear,13,1)-WEEKDAY(DATE(PlanYear,13,1),3)+21)=1,DATE(PlanYear,13,1)-WEEKDAY(DATE(PlanYear,13,1),3)+21,"")</f>
        <v/>
      </c>
      <c r="C38" s="53" t="n"/>
      <c r="D38" s="54">
        <f>IF($B$38="","",IF(IFERROR(INDEX(DayStat,$B$38-DATE(PlanYear,1,1)+1)&amp;"","")&lt;&gt;"",0,SUMIFS(FlSorties,FlDate,$B$38)))</f>
        <v/>
      </c>
      <c r="E38" s="52">
        <f>IF(MONTH(DATE(PlanYear,13,1)-WEEKDAY(DATE(PlanYear,13,1),3)+22)=1,DATE(PlanYear,13,1)-WEEKDAY(DATE(PlanYear,13,1),3)+22,"")</f>
        <v/>
      </c>
      <c r="F38" s="53" t="n"/>
      <c r="G38" s="54">
        <f>IF($E$38="","",IF(IFERROR(INDEX(DayStat,$E$38-DATE(PlanYear,1,1)+1)&amp;"","")&lt;&gt;"",0,SUMIFS(FlSorties,FlDate,$E$38)))</f>
        <v/>
      </c>
      <c r="H38" s="52">
        <f>IF(MONTH(DATE(PlanYear,13,1)-WEEKDAY(DATE(PlanYear,13,1),3)+23)=1,DATE(PlanYear,13,1)-WEEKDAY(DATE(PlanYear,13,1),3)+23,"")</f>
        <v/>
      </c>
      <c r="I38" s="53" t="n"/>
      <c r="J38" s="54">
        <f>IF($H$38="","",IF(IFERROR(INDEX(DayStat,$H$38-DATE(PlanYear,1,1)+1)&amp;"","")&lt;&gt;"",0,SUMIFS(FlSorties,FlDate,$H$38)))</f>
        <v/>
      </c>
      <c r="K38" s="52">
        <f>IF(MONTH(DATE(PlanYear,13,1)-WEEKDAY(DATE(PlanYear,13,1),3)+24)=1,DATE(PlanYear,13,1)-WEEKDAY(DATE(PlanYear,13,1),3)+24,"")</f>
        <v/>
      </c>
      <c r="L38" s="53" t="n"/>
      <c r="M38" s="54">
        <f>IF($K$38="","",IF(IFERROR(INDEX(DayStat,$K$38-DATE(PlanYear,1,1)+1)&amp;"","")&lt;&gt;"",0,SUMIFS(FlSorties,FlDate,$K$38)))</f>
        <v/>
      </c>
      <c r="N38" s="52">
        <f>IF(MONTH(DATE(PlanYear,13,1)-WEEKDAY(DATE(PlanYear,13,1),3)+25)=1,DATE(PlanYear,13,1)-WEEKDAY(DATE(PlanYear,13,1),3)+25,"")</f>
        <v/>
      </c>
      <c r="O38" s="53" t="n"/>
      <c r="P38" s="54">
        <f>IF($N$38="","",IF(IFERROR(INDEX(DayStat,$N$38-DATE(PlanYear,1,1)+1)&amp;"","")&lt;&gt;"",0,SUMIFS(FlSorties,FlDate,$N$38)))</f>
        <v/>
      </c>
      <c r="Q38" s="55">
        <f>IF(MONTH(DATE(PlanYear,13,1)-WEEKDAY(DATE(PlanYear,13,1),3)+26)=1,DATE(PlanYear,13,1)-WEEKDAY(DATE(PlanYear,13,1),3)+26,"")</f>
        <v/>
      </c>
      <c r="R38" s="56" t="n"/>
      <c r="S38" s="57">
        <f>IF($Q$38="","",IF(IFERROR(INDEX(DayStat,$Q$38-DATE(PlanYear,1,1)+1)&amp;"","")&lt;&gt;"",0,SUMIFS(FlSorties,FlDate,$Q$38)))</f>
        <v/>
      </c>
      <c r="T38" s="55">
        <f>IF(MONTH(DATE(PlanYear,13,1)-WEEKDAY(DATE(PlanYear,13,1),3)+27)=1,DATE(PlanYear,13,1)-WEEKDAY(DATE(PlanYear,13,1),3)+27,"")</f>
        <v/>
      </c>
      <c r="U38" s="56" t="n"/>
      <c r="V38" s="57">
        <f>IF($T$38="","",IF(IFERROR(INDEX(DayStat,$T$38-DATE(PlanYear,1,1)+1)&amp;"","")&lt;&gt;"",0,SUMIFS(FlSorties,FlDate,$T$38)))</f>
        <v/>
      </c>
    </row>
    <row r="39" ht="14" customHeight="1">
      <c r="B39" s="58">
        <f>IF($B$38="","",IF(IFERROR(INDEX(DayStat,$B$38-DATE(PlanYear,1,1)+1)&amp;"","")&lt;&gt;"",IFERROR(INDEX(DayStat,$B$38-DATE(PlanYear,1,1)+1)&amp;"",""),IF(COUNTIF(GrDate,$B$38)=0,"","GND: "&amp;INDEX(GrAct,MATCH($B$38,GrDate,0))&amp;IF(COUNTIF(GrDate,$B$38)&gt;1," +"&amp;(COUNTIF(GrDate,$B$38)-1)&amp;" more",""))))</f>
        <v/>
      </c>
      <c r="C39" s="59" t="n"/>
      <c r="D39" s="60" t="n"/>
      <c r="E39" s="58">
        <f>IF($E$38="","",IF(IFERROR(INDEX(DayStat,$E$38-DATE(PlanYear,1,1)+1)&amp;"","")&lt;&gt;"",IFERROR(INDEX(DayStat,$E$38-DATE(PlanYear,1,1)+1)&amp;"",""),IF(COUNTIF(GrDate,$E$38)=0,"","GND: "&amp;INDEX(GrAct,MATCH($E$38,GrDate,0))&amp;IF(COUNTIF(GrDate,$E$38)&gt;1," +"&amp;(COUNTIF(GrDate,$E$38)-1)&amp;" more",""))))</f>
        <v/>
      </c>
      <c r="F39" s="59" t="n"/>
      <c r="G39" s="60" t="n"/>
      <c r="H39" s="58">
        <f>IF($H$38="","",IF(IFERROR(INDEX(DayStat,$H$38-DATE(PlanYear,1,1)+1)&amp;"","")&lt;&gt;"",IFERROR(INDEX(DayStat,$H$38-DATE(PlanYear,1,1)+1)&amp;"",""),IF(COUNTIF(GrDate,$H$38)=0,"","GND: "&amp;INDEX(GrAct,MATCH($H$38,GrDate,0))&amp;IF(COUNTIF(GrDate,$H$38)&gt;1," +"&amp;(COUNTIF(GrDate,$H$38)-1)&amp;" more",""))))</f>
        <v/>
      </c>
      <c r="I39" s="59" t="n"/>
      <c r="J39" s="60" t="n"/>
      <c r="K39" s="58">
        <f>IF($K$38="","",IF(IFERROR(INDEX(DayStat,$K$38-DATE(PlanYear,1,1)+1)&amp;"","")&lt;&gt;"",IFERROR(INDEX(DayStat,$K$38-DATE(PlanYear,1,1)+1)&amp;"",""),IF(COUNTIF(GrDate,$K$38)=0,"","GND: "&amp;INDEX(GrAct,MATCH($K$38,GrDate,0))&amp;IF(COUNTIF(GrDate,$K$38)&gt;1," +"&amp;(COUNTIF(GrDate,$K$38)-1)&amp;" more",""))))</f>
        <v/>
      </c>
      <c r="L39" s="59" t="n"/>
      <c r="M39" s="60" t="n"/>
      <c r="N39" s="58">
        <f>IF($N$38="","",IF(IFERROR(INDEX(DayStat,$N$38-DATE(PlanYear,1,1)+1)&amp;"","")&lt;&gt;"",IFERROR(INDEX(DayStat,$N$38-DATE(PlanYear,1,1)+1)&amp;"",""),IF(COUNTIF(GrDate,$N$38)=0,"","GND: "&amp;INDEX(GrAct,MATCH($N$38,GrDate,0))&amp;IF(COUNTIF(GrDate,$N$38)&gt;1," +"&amp;(COUNTIF(GrDate,$N$38)-1)&amp;" more",""))))</f>
        <v/>
      </c>
      <c r="O39" s="59" t="n"/>
      <c r="P39" s="60" t="n"/>
      <c r="Q39" s="58">
        <f>IF($Q$38="","",IF(IFERROR(INDEX(DayStat,$Q$38-DATE(PlanYear,1,1)+1)&amp;"","")&lt;&gt;"",IFERROR(INDEX(DayStat,$Q$38-DATE(PlanYear,1,1)+1)&amp;"",""),IF(COUNTIF(GrDate,$Q$38)=0,"","GND: "&amp;INDEX(GrAct,MATCH($Q$38,GrDate,0))&amp;IF(COUNTIF(GrDate,$Q$38)&gt;1," +"&amp;(COUNTIF(GrDate,$Q$38)-1)&amp;" more",""))))</f>
        <v/>
      </c>
      <c r="R39" s="59" t="n"/>
      <c r="S39" s="60" t="n"/>
      <c r="T39" s="58">
        <f>IF($T$38="","",IF(IFERROR(INDEX(DayStat,$T$38-DATE(PlanYear,1,1)+1)&amp;"","")&lt;&gt;"",IFERROR(INDEX(DayStat,$T$38-DATE(PlanYear,1,1)+1)&amp;"",""),IF(COUNTIF(GrDate,$T$38)=0,"","GND: "&amp;INDEX(GrAct,MATCH($T$38,GrDate,0))&amp;IF(COUNTIF(GrDate,$T$38)&gt;1," +"&amp;(COUNTIF(GrDate,$T$38)-1)&amp;" more",""))))</f>
        <v/>
      </c>
      <c r="U39" s="59" t="n"/>
      <c r="V39" s="60" t="n"/>
    </row>
    <row r="40" ht="14" customHeight="1">
      <c r="B40" s="61">
        <f>IF($B$38="","","AM"&amp;IF(COUNTIFS(FlDate,$B$38,FlShift,"AM",FlCode,"&lt;&gt;")&gt;3,CHAR(10)&amp;"+"&amp;(COUNTIFS(FlDate,$B$38,FlShift,"AM",FlCode,"&lt;&gt;")-3)&amp;" more",""))</f>
        <v/>
      </c>
      <c r="C40" s="62">
        <f>IF($B$38="","",IFERROR(INDEX(FlCode,MATCH($B$38&amp;"|AM|1",FlKey,0)),""))</f>
        <v/>
      </c>
      <c r="D40" s="63">
        <f>IF($B$38="","",IFERROR(INDEX(FlTime,MATCH($B$38&amp;"|AM|1",FlKey,0))&amp;"",""))</f>
        <v/>
      </c>
      <c r="E40" s="61">
        <f>IF($E$38="","","AM"&amp;IF(COUNTIFS(FlDate,$E$38,FlShift,"AM",FlCode,"&lt;&gt;")&gt;3,CHAR(10)&amp;"+"&amp;(COUNTIFS(FlDate,$E$38,FlShift,"AM",FlCode,"&lt;&gt;")-3)&amp;" more",""))</f>
        <v/>
      </c>
      <c r="F40" s="62">
        <f>IF($E$38="","",IFERROR(INDEX(FlCode,MATCH($E$38&amp;"|AM|1",FlKey,0)),""))</f>
        <v/>
      </c>
      <c r="G40" s="63">
        <f>IF($E$38="","",IFERROR(INDEX(FlTime,MATCH($E$38&amp;"|AM|1",FlKey,0))&amp;"",""))</f>
        <v/>
      </c>
      <c r="H40" s="61">
        <f>IF($H$38="","","AM"&amp;IF(COUNTIFS(FlDate,$H$38,FlShift,"AM",FlCode,"&lt;&gt;")&gt;3,CHAR(10)&amp;"+"&amp;(COUNTIFS(FlDate,$H$38,FlShift,"AM",FlCode,"&lt;&gt;")-3)&amp;" more",""))</f>
        <v/>
      </c>
      <c r="I40" s="62">
        <f>IF($H$38="","",IFERROR(INDEX(FlCode,MATCH($H$38&amp;"|AM|1",FlKey,0)),""))</f>
        <v/>
      </c>
      <c r="J40" s="63">
        <f>IF($H$38="","",IFERROR(INDEX(FlTime,MATCH($H$38&amp;"|AM|1",FlKey,0))&amp;"",""))</f>
        <v/>
      </c>
      <c r="K40" s="61">
        <f>IF($K$38="","","AM"&amp;IF(COUNTIFS(FlDate,$K$38,FlShift,"AM",FlCode,"&lt;&gt;")&gt;3,CHAR(10)&amp;"+"&amp;(COUNTIFS(FlDate,$K$38,FlShift,"AM",FlCode,"&lt;&gt;")-3)&amp;" more",""))</f>
        <v/>
      </c>
      <c r="L40" s="62">
        <f>IF($K$38="","",IFERROR(INDEX(FlCode,MATCH($K$38&amp;"|AM|1",FlKey,0)),""))</f>
        <v/>
      </c>
      <c r="M40" s="63">
        <f>IF($K$38="","",IFERROR(INDEX(FlTime,MATCH($K$38&amp;"|AM|1",FlKey,0))&amp;"",""))</f>
        <v/>
      </c>
      <c r="N40" s="61">
        <f>IF($N$38="","","AM"&amp;IF(COUNTIFS(FlDate,$N$38,FlShift,"AM",FlCode,"&lt;&gt;")&gt;3,CHAR(10)&amp;"+"&amp;(COUNTIFS(FlDate,$N$38,FlShift,"AM",FlCode,"&lt;&gt;")-3)&amp;" more",""))</f>
        <v/>
      </c>
      <c r="O40" s="62">
        <f>IF($N$38="","",IFERROR(INDEX(FlCode,MATCH($N$38&amp;"|AM|1",FlKey,0)),""))</f>
        <v/>
      </c>
      <c r="P40" s="63">
        <f>IF($N$38="","",IFERROR(INDEX(FlTime,MATCH($N$38&amp;"|AM|1",FlKey,0))&amp;"",""))</f>
        <v/>
      </c>
      <c r="Q40" s="61">
        <f>IF($Q$38="","","AM"&amp;IF(COUNTIFS(FlDate,$Q$38,FlShift,"AM",FlCode,"&lt;&gt;")&gt;3,CHAR(10)&amp;"+"&amp;(COUNTIFS(FlDate,$Q$38,FlShift,"AM",FlCode,"&lt;&gt;")-3)&amp;" more",""))</f>
        <v/>
      </c>
      <c r="R40" s="62">
        <f>IF($Q$38="","",IFERROR(INDEX(FlCode,MATCH($Q$38&amp;"|AM|1",FlKey,0)),""))</f>
        <v/>
      </c>
      <c r="S40" s="63">
        <f>IF($Q$38="","",IFERROR(INDEX(FlTime,MATCH($Q$38&amp;"|AM|1",FlKey,0))&amp;"",""))</f>
        <v/>
      </c>
      <c r="T40" s="61">
        <f>IF($T$38="","","AM"&amp;IF(COUNTIFS(FlDate,$T$38,FlShift,"AM",FlCode,"&lt;&gt;")&gt;3,CHAR(10)&amp;"+"&amp;(COUNTIFS(FlDate,$T$38,FlShift,"AM",FlCode,"&lt;&gt;")-3)&amp;" more",""))</f>
        <v/>
      </c>
      <c r="U40" s="62">
        <f>IF($T$38="","",IFERROR(INDEX(FlCode,MATCH($T$38&amp;"|AM|1",FlKey,0)),""))</f>
        <v/>
      </c>
      <c r="V40" s="63">
        <f>IF($T$38="","",IFERROR(INDEX(FlTime,MATCH($T$38&amp;"|AM|1",FlKey,0))&amp;"",""))</f>
        <v/>
      </c>
    </row>
    <row r="41" ht="14" customHeight="1">
      <c r="B41" s="64" t="n"/>
      <c r="C41" s="62">
        <f>IF($B$38="","",IFERROR(INDEX(FlCode,MATCH($B$38&amp;"|AM|2",FlKey,0)),""))</f>
        <v/>
      </c>
      <c r="D41" s="63">
        <f>IF($B$38="","",IFERROR(INDEX(FlTime,MATCH($B$38&amp;"|AM|2",FlKey,0))&amp;"",""))</f>
        <v/>
      </c>
      <c r="E41" s="64" t="n"/>
      <c r="F41" s="62">
        <f>IF($E$38="","",IFERROR(INDEX(FlCode,MATCH($E$38&amp;"|AM|2",FlKey,0)),""))</f>
        <v/>
      </c>
      <c r="G41" s="63">
        <f>IF($E$38="","",IFERROR(INDEX(FlTime,MATCH($E$38&amp;"|AM|2",FlKey,0))&amp;"",""))</f>
        <v/>
      </c>
      <c r="H41" s="64" t="n"/>
      <c r="I41" s="62">
        <f>IF($H$38="","",IFERROR(INDEX(FlCode,MATCH($H$38&amp;"|AM|2",FlKey,0)),""))</f>
        <v/>
      </c>
      <c r="J41" s="63">
        <f>IF($H$38="","",IFERROR(INDEX(FlTime,MATCH($H$38&amp;"|AM|2",FlKey,0))&amp;"",""))</f>
        <v/>
      </c>
      <c r="K41" s="64" t="n"/>
      <c r="L41" s="62">
        <f>IF($K$38="","",IFERROR(INDEX(FlCode,MATCH($K$38&amp;"|AM|2",FlKey,0)),""))</f>
        <v/>
      </c>
      <c r="M41" s="63">
        <f>IF($K$38="","",IFERROR(INDEX(FlTime,MATCH($K$38&amp;"|AM|2",FlKey,0))&amp;"",""))</f>
        <v/>
      </c>
      <c r="N41" s="64" t="n"/>
      <c r="O41" s="62">
        <f>IF($N$38="","",IFERROR(INDEX(FlCode,MATCH($N$38&amp;"|AM|2",FlKey,0)),""))</f>
        <v/>
      </c>
      <c r="P41" s="63">
        <f>IF($N$38="","",IFERROR(INDEX(FlTime,MATCH($N$38&amp;"|AM|2",FlKey,0))&amp;"",""))</f>
        <v/>
      </c>
      <c r="Q41" s="64" t="n"/>
      <c r="R41" s="62">
        <f>IF($Q$38="","",IFERROR(INDEX(FlCode,MATCH($Q$38&amp;"|AM|2",FlKey,0)),""))</f>
        <v/>
      </c>
      <c r="S41" s="63">
        <f>IF($Q$38="","",IFERROR(INDEX(FlTime,MATCH($Q$38&amp;"|AM|2",FlKey,0))&amp;"",""))</f>
        <v/>
      </c>
      <c r="T41" s="64" t="n"/>
      <c r="U41" s="62">
        <f>IF($T$38="","",IFERROR(INDEX(FlCode,MATCH($T$38&amp;"|AM|2",FlKey,0)),""))</f>
        <v/>
      </c>
      <c r="V41" s="63">
        <f>IF($T$38="","",IFERROR(INDEX(FlTime,MATCH($T$38&amp;"|AM|2",FlKey,0))&amp;"",""))</f>
        <v/>
      </c>
    </row>
    <row r="42" ht="14" customHeight="1">
      <c r="B42" s="65" t="n"/>
      <c r="C42" s="66">
        <f>IF($B$38="","",IFERROR(INDEX(FlCode,MATCH($B$38&amp;"|AM|3",FlKey,0)),""))</f>
        <v/>
      </c>
      <c r="D42" s="67">
        <f>IF($B$38="","",IFERROR(INDEX(FlTime,MATCH($B$38&amp;"|AM|3",FlKey,0))&amp;"",""))</f>
        <v/>
      </c>
      <c r="E42" s="65" t="n"/>
      <c r="F42" s="66">
        <f>IF($E$38="","",IFERROR(INDEX(FlCode,MATCH($E$38&amp;"|AM|3",FlKey,0)),""))</f>
        <v/>
      </c>
      <c r="G42" s="67">
        <f>IF($E$38="","",IFERROR(INDEX(FlTime,MATCH($E$38&amp;"|AM|3",FlKey,0))&amp;"",""))</f>
        <v/>
      </c>
      <c r="H42" s="65" t="n"/>
      <c r="I42" s="66">
        <f>IF($H$38="","",IFERROR(INDEX(FlCode,MATCH($H$38&amp;"|AM|3",FlKey,0)),""))</f>
        <v/>
      </c>
      <c r="J42" s="67">
        <f>IF($H$38="","",IFERROR(INDEX(FlTime,MATCH($H$38&amp;"|AM|3",FlKey,0))&amp;"",""))</f>
        <v/>
      </c>
      <c r="K42" s="65" t="n"/>
      <c r="L42" s="66">
        <f>IF($K$38="","",IFERROR(INDEX(FlCode,MATCH($K$38&amp;"|AM|3",FlKey,0)),""))</f>
        <v/>
      </c>
      <c r="M42" s="67">
        <f>IF($K$38="","",IFERROR(INDEX(FlTime,MATCH($K$38&amp;"|AM|3",FlKey,0))&amp;"",""))</f>
        <v/>
      </c>
      <c r="N42" s="65" t="n"/>
      <c r="O42" s="66">
        <f>IF($N$38="","",IFERROR(INDEX(FlCode,MATCH($N$38&amp;"|AM|3",FlKey,0)),""))</f>
        <v/>
      </c>
      <c r="P42" s="67">
        <f>IF($N$38="","",IFERROR(INDEX(FlTime,MATCH($N$38&amp;"|AM|3",FlKey,0))&amp;"",""))</f>
        <v/>
      </c>
      <c r="Q42" s="65" t="n"/>
      <c r="R42" s="66">
        <f>IF($Q$38="","",IFERROR(INDEX(FlCode,MATCH($Q$38&amp;"|AM|3",FlKey,0)),""))</f>
        <v/>
      </c>
      <c r="S42" s="67">
        <f>IF($Q$38="","",IFERROR(INDEX(FlTime,MATCH($Q$38&amp;"|AM|3",FlKey,0))&amp;"",""))</f>
        <v/>
      </c>
      <c r="T42" s="65" t="n"/>
      <c r="U42" s="66">
        <f>IF($T$38="","",IFERROR(INDEX(FlCode,MATCH($T$38&amp;"|AM|3",FlKey,0)),""))</f>
        <v/>
      </c>
      <c r="V42" s="67">
        <f>IF($T$38="","",IFERROR(INDEX(FlTime,MATCH($T$38&amp;"|AM|3",FlKey,0))&amp;"",""))</f>
        <v/>
      </c>
    </row>
    <row r="43" ht="14" customHeight="1">
      <c r="B43" s="68">
        <f>IF($B$38="","","PM"&amp;IF(COUNTIFS(FlDate,$B$38,FlShift,"PM",FlCode,"&lt;&gt;")&gt;3,CHAR(10)&amp;"+"&amp;(COUNTIFS(FlDate,$B$38,FlShift,"PM",FlCode,"&lt;&gt;")-3)&amp;" more",""))</f>
        <v/>
      </c>
      <c r="C43" s="62">
        <f>IF($B$38="","",IFERROR(INDEX(FlCode,MATCH($B$38&amp;"|PM|1",FlKey,0)),""))</f>
        <v/>
      </c>
      <c r="D43" s="63">
        <f>IF($B$38="","",IFERROR(INDEX(FlTime,MATCH($B$38&amp;"|PM|1",FlKey,0))&amp;"",""))</f>
        <v/>
      </c>
      <c r="E43" s="68">
        <f>IF($E$38="","","PM"&amp;IF(COUNTIFS(FlDate,$E$38,FlShift,"PM",FlCode,"&lt;&gt;")&gt;3,CHAR(10)&amp;"+"&amp;(COUNTIFS(FlDate,$E$38,FlShift,"PM",FlCode,"&lt;&gt;")-3)&amp;" more",""))</f>
        <v/>
      </c>
      <c r="F43" s="62">
        <f>IF($E$38="","",IFERROR(INDEX(FlCode,MATCH($E$38&amp;"|PM|1",FlKey,0)),""))</f>
        <v/>
      </c>
      <c r="G43" s="63">
        <f>IF($E$38="","",IFERROR(INDEX(FlTime,MATCH($E$38&amp;"|PM|1",FlKey,0))&amp;"",""))</f>
        <v/>
      </c>
      <c r="H43" s="68">
        <f>IF($H$38="","","PM"&amp;IF(COUNTIFS(FlDate,$H$38,FlShift,"PM",FlCode,"&lt;&gt;")&gt;3,CHAR(10)&amp;"+"&amp;(COUNTIFS(FlDate,$H$38,FlShift,"PM",FlCode,"&lt;&gt;")-3)&amp;" more",""))</f>
        <v/>
      </c>
      <c r="I43" s="62">
        <f>IF($H$38="","",IFERROR(INDEX(FlCode,MATCH($H$38&amp;"|PM|1",FlKey,0)),""))</f>
        <v/>
      </c>
      <c r="J43" s="63">
        <f>IF($H$38="","",IFERROR(INDEX(FlTime,MATCH($H$38&amp;"|PM|1",FlKey,0))&amp;"",""))</f>
        <v/>
      </c>
      <c r="K43" s="68">
        <f>IF($K$38="","","PM"&amp;IF(COUNTIFS(FlDate,$K$38,FlShift,"PM",FlCode,"&lt;&gt;")&gt;3,CHAR(10)&amp;"+"&amp;(COUNTIFS(FlDate,$K$38,FlShift,"PM",FlCode,"&lt;&gt;")-3)&amp;" more",""))</f>
        <v/>
      </c>
      <c r="L43" s="62">
        <f>IF($K$38="","",IFERROR(INDEX(FlCode,MATCH($K$38&amp;"|PM|1",FlKey,0)),""))</f>
        <v/>
      </c>
      <c r="M43" s="63">
        <f>IF($K$38="","",IFERROR(INDEX(FlTime,MATCH($K$38&amp;"|PM|1",FlKey,0))&amp;"",""))</f>
        <v/>
      </c>
      <c r="N43" s="68">
        <f>IF($N$38="","","PM"&amp;IF(COUNTIFS(FlDate,$N$38,FlShift,"PM",FlCode,"&lt;&gt;")&gt;3,CHAR(10)&amp;"+"&amp;(COUNTIFS(FlDate,$N$38,FlShift,"PM",FlCode,"&lt;&gt;")-3)&amp;" more",""))</f>
        <v/>
      </c>
      <c r="O43" s="62">
        <f>IF($N$38="","",IFERROR(INDEX(FlCode,MATCH($N$38&amp;"|PM|1",FlKey,0)),""))</f>
        <v/>
      </c>
      <c r="P43" s="63">
        <f>IF($N$38="","",IFERROR(INDEX(FlTime,MATCH($N$38&amp;"|PM|1",FlKey,0))&amp;"",""))</f>
        <v/>
      </c>
      <c r="Q43" s="68">
        <f>IF($Q$38="","","PM"&amp;IF(COUNTIFS(FlDate,$Q$38,FlShift,"PM",FlCode,"&lt;&gt;")&gt;3,CHAR(10)&amp;"+"&amp;(COUNTIFS(FlDate,$Q$38,FlShift,"PM",FlCode,"&lt;&gt;")-3)&amp;" more",""))</f>
        <v/>
      </c>
      <c r="R43" s="62">
        <f>IF($Q$38="","",IFERROR(INDEX(FlCode,MATCH($Q$38&amp;"|PM|1",FlKey,0)),""))</f>
        <v/>
      </c>
      <c r="S43" s="63">
        <f>IF($Q$38="","",IFERROR(INDEX(FlTime,MATCH($Q$38&amp;"|PM|1",FlKey,0))&amp;"",""))</f>
        <v/>
      </c>
      <c r="T43" s="68">
        <f>IF($T$38="","","PM"&amp;IF(COUNTIFS(FlDate,$T$38,FlShift,"PM",FlCode,"&lt;&gt;")&gt;3,CHAR(10)&amp;"+"&amp;(COUNTIFS(FlDate,$T$38,FlShift,"PM",FlCode,"&lt;&gt;")-3)&amp;" more",""))</f>
        <v/>
      </c>
      <c r="U43" s="62">
        <f>IF($T$38="","",IFERROR(INDEX(FlCode,MATCH($T$38&amp;"|PM|1",FlKey,0)),""))</f>
        <v/>
      </c>
      <c r="V43" s="63">
        <f>IF($T$38="","",IFERROR(INDEX(FlTime,MATCH($T$38&amp;"|PM|1",FlKey,0))&amp;"",""))</f>
        <v/>
      </c>
    </row>
    <row r="44" ht="14" customHeight="1">
      <c r="B44" s="69" t="n"/>
      <c r="C44" s="62">
        <f>IF($B$38="","",IFERROR(INDEX(FlCode,MATCH($B$38&amp;"|PM|2",FlKey,0)),""))</f>
        <v/>
      </c>
      <c r="D44" s="63">
        <f>IF($B$38="","",IFERROR(INDEX(FlTime,MATCH($B$38&amp;"|PM|2",FlKey,0))&amp;"",""))</f>
        <v/>
      </c>
      <c r="E44" s="69" t="n"/>
      <c r="F44" s="62">
        <f>IF($E$38="","",IFERROR(INDEX(FlCode,MATCH($E$38&amp;"|PM|2",FlKey,0)),""))</f>
        <v/>
      </c>
      <c r="G44" s="63">
        <f>IF($E$38="","",IFERROR(INDEX(FlTime,MATCH($E$38&amp;"|PM|2",FlKey,0))&amp;"",""))</f>
        <v/>
      </c>
      <c r="H44" s="69" t="n"/>
      <c r="I44" s="62">
        <f>IF($H$38="","",IFERROR(INDEX(FlCode,MATCH($H$38&amp;"|PM|2",FlKey,0)),""))</f>
        <v/>
      </c>
      <c r="J44" s="63">
        <f>IF($H$38="","",IFERROR(INDEX(FlTime,MATCH($H$38&amp;"|PM|2",FlKey,0))&amp;"",""))</f>
        <v/>
      </c>
      <c r="K44" s="69" t="n"/>
      <c r="L44" s="62">
        <f>IF($K$38="","",IFERROR(INDEX(FlCode,MATCH($K$38&amp;"|PM|2",FlKey,0)),""))</f>
        <v/>
      </c>
      <c r="M44" s="63">
        <f>IF($K$38="","",IFERROR(INDEX(FlTime,MATCH($K$38&amp;"|PM|2",FlKey,0))&amp;"",""))</f>
        <v/>
      </c>
      <c r="N44" s="69" t="n"/>
      <c r="O44" s="62">
        <f>IF($N$38="","",IFERROR(INDEX(FlCode,MATCH($N$38&amp;"|PM|2",FlKey,0)),""))</f>
        <v/>
      </c>
      <c r="P44" s="63">
        <f>IF($N$38="","",IFERROR(INDEX(FlTime,MATCH($N$38&amp;"|PM|2",FlKey,0))&amp;"",""))</f>
        <v/>
      </c>
      <c r="Q44" s="69" t="n"/>
      <c r="R44" s="62">
        <f>IF($Q$38="","",IFERROR(INDEX(FlCode,MATCH($Q$38&amp;"|PM|2",FlKey,0)),""))</f>
        <v/>
      </c>
      <c r="S44" s="63">
        <f>IF($Q$38="","",IFERROR(INDEX(FlTime,MATCH($Q$38&amp;"|PM|2",FlKey,0))&amp;"",""))</f>
        <v/>
      </c>
      <c r="T44" s="69" t="n"/>
      <c r="U44" s="62">
        <f>IF($T$38="","",IFERROR(INDEX(FlCode,MATCH($T$38&amp;"|PM|2",FlKey,0)),""))</f>
        <v/>
      </c>
      <c r="V44" s="63">
        <f>IF($T$38="","",IFERROR(INDEX(FlTime,MATCH($T$38&amp;"|PM|2",FlKey,0))&amp;"",""))</f>
        <v/>
      </c>
    </row>
    <row r="45" ht="14" customHeight="1">
      <c r="B45" s="70" t="n"/>
      <c r="C45" s="66">
        <f>IF($B$38="","",IFERROR(INDEX(FlCode,MATCH($B$38&amp;"|PM|3",FlKey,0)),""))</f>
        <v/>
      </c>
      <c r="D45" s="67">
        <f>IF($B$38="","",IFERROR(INDEX(FlTime,MATCH($B$38&amp;"|PM|3",FlKey,0))&amp;"",""))</f>
        <v/>
      </c>
      <c r="E45" s="70" t="n"/>
      <c r="F45" s="66">
        <f>IF($E$38="","",IFERROR(INDEX(FlCode,MATCH($E$38&amp;"|PM|3",FlKey,0)),""))</f>
        <v/>
      </c>
      <c r="G45" s="67">
        <f>IF($E$38="","",IFERROR(INDEX(FlTime,MATCH($E$38&amp;"|PM|3",FlKey,0))&amp;"",""))</f>
        <v/>
      </c>
      <c r="H45" s="70" t="n"/>
      <c r="I45" s="66">
        <f>IF($H$38="","",IFERROR(INDEX(FlCode,MATCH($H$38&amp;"|PM|3",FlKey,0)),""))</f>
        <v/>
      </c>
      <c r="J45" s="67">
        <f>IF($H$38="","",IFERROR(INDEX(FlTime,MATCH($H$38&amp;"|PM|3",FlKey,0))&amp;"",""))</f>
        <v/>
      </c>
      <c r="K45" s="70" t="n"/>
      <c r="L45" s="66">
        <f>IF($K$38="","",IFERROR(INDEX(FlCode,MATCH($K$38&amp;"|PM|3",FlKey,0)),""))</f>
        <v/>
      </c>
      <c r="M45" s="67">
        <f>IF($K$38="","",IFERROR(INDEX(FlTime,MATCH($K$38&amp;"|PM|3",FlKey,0))&amp;"",""))</f>
        <v/>
      </c>
      <c r="N45" s="70" t="n"/>
      <c r="O45" s="66">
        <f>IF($N$38="","",IFERROR(INDEX(FlCode,MATCH($N$38&amp;"|PM|3",FlKey,0)),""))</f>
        <v/>
      </c>
      <c r="P45" s="67">
        <f>IF($N$38="","",IFERROR(INDEX(FlTime,MATCH($N$38&amp;"|PM|3",FlKey,0))&amp;"",""))</f>
        <v/>
      </c>
      <c r="Q45" s="70" t="n"/>
      <c r="R45" s="66">
        <f>IF($Q$38="","",IFERROR(INDEX(FlCode,MATCH($Q$38&amp;"|PM|3",FlKey,0)),""))</f>
        <v/>
      </c>
      <c r="S45" s="67">
        <f>IF($Q$38="","",IFERROR(INDEX(FlTime,MATCH($Q$38&amp;"|PM|3",FlKey,0))&amp;"",""))</f>
        <v/>
      </c>
      <c r="T45" s="70" t="n"/>
      <c r="U45" s="66">
        <f>IF($T$38="","",IFERROR(INDEX(FlCode,MATCH($T$38&amp;"|PM|3",FlKey,0)),""))</f>
        <v/>
      </c>
      <c r="V45" s="67">
        <f>IF($T$38="","",IFERROR(INDEX(FlTime,MATCH($T$38&amp;"|PM|3",FlKey,0))&amp;"",""))</f>
        <v/>
      </c>
    </row>
    <row r="46" ht="14" customHeight="1">
      <c r="B46" s="71">
        <f>IF($B$38="","","NIGHT"&amp;IF(COUNTIFS(FlDate,$B$38,FlShift,"NIGHT",FlCode,"&lt;&gt;")&gt;3,CHAR(10)&amp;"+"&amp;(COUNTIFS(FlDate,$B$38,FlShift,"NIGHT",FlCode,"&lt;&gt;")-3)&amp;" more",""))</f>
        <v/>
      </c>
      <c r="C46" s="62">
        <f>IF($B$38="","",IFERROR(INDEX(FlCode,MATCH($B$38&amp;"|NIGHT|1",FlKey,0)),""))</f>
        <v/>
      </c>
      <c r="D46" s="63">
        <f>IF($B$38="","",IFERROR(INDEX(FlTime,MATCH($B$38&amp;"|NIGHT|1",FlKey,0))&amp;"",""))</f>
        <v/>
      </c>
      <c r="E46" s="71">
        <f>IF($E$38="","","NIGHT"&amp;IF(COUNTIFS(FlDate,$E$38,FlShift,"NIGHT",FlCode,"&lt;&gt;")&gt;3,CHAR(10)&amp;"+"&amp;(COUNTIFS(FlDate,$E$38,FlShift,"NIGHT",FlCode,"&lt;&gt;")-3)&amp;" more",""))</f>
        <v/>
      </c>
      <c r="F46" s="62">
        <f>IF($E$38="","",IFERROR(INDEX(FlCode,MATCH($E$38&amp;"|NIGHT|1",FlKey,0)),""))</f>
        <v/>
      </c>
      <c r="G46" s="63">
        <f>IF($E$38="","",IFERROR(INDEX(FlTime,MATCH($E$38&amp;"|NIGHT|1",FlKey,0))&amp;"",""))</f>
        <v/>
      </c>
      <c r="H46" s="71">
        <f>IF($H$38="","","NIGHT"&amp;IF(COUNTIFS(FlDate,$H$38,FlShift,"NIGHT",FlCode,"&lt;&gt;")&gt;3,CHAR(10)&amp;"+"&amp;(COUNTIFS(FlDate,$H$38,FlShift,"NIGHT",FlCode,"&lt;&gt;")-3)&amp;" more",""))</f>
        <v/>
      </c>
      <c r="I46" s="62">
        <f>IF($H$38="","",IFERROR(INDEX(FlCode,MATCH($H$38&amp;"|NIGHT|1",FlKey,0)),""))</f>
        <v/>
      </c>
      <c r="J46" s="63">
        <f>IF($H$38="","",IFERROR(INDEX(FlTime,MATCH($H$38&amp;"|NIGHT|1",FlKey,0))&amp;"",""))</f>
        <v/>
      </c>
      <c r="K46" s="71">
        <f>IF($K$38="","","NIGHT"&amp;IF(COUNTIFS(FlDate,$K$38,FlShift,"NIGHT",FlCode,"&lt;&gt;")&gt;3,CHAR(10)&amp;"+"&amp;(COUNTIFS(FlDate,$K$38,FlShift,"NIGHT",FlCode,"&lt;&gt;")-3)&amp;" more",""))</f>
        <v/>
      </c>
      <c r="L46" s="62">
        <f>IF($K$38="","",IFERROR(INDEX(FlCode,MATCH($K$38&amp;"|NIGHT|1",FlKey,0)),""))</f>
        <v/>
      </c>
      <c r="M46" s="63">
        <f>IF($K$38="","",IFERROR(INDEX(FlTime,MATCH($K$38&amp;"|NIGHT|1",FlKey,0))&amp;"",""))</f>
        <v/>
      </c>
      <c r="N46" s="71">
        <f>IF($N$38="","","NIGHT"&amp;IF(COUNTIFS(FlDate,$N$38,FlShift,"NIGHT",FlCode,"&lt;&gt;")&gt;3,CHAR(10)&amp;"+"&amp;(COUNTIFS(FlDate,$N$38,FlShift,"NIGHT",FlCode,"&lt;&gt;")-3)&amp;" more",""))</f>
        <v/>
      </c>
      <c r="O46" s="62">
        <f>IF($N$38="","",IFERROR(INDEX(FlCode,MATCH($N$38&amp;"|NIGHT|1",FlKey,0)),""))</f>
        <v/>
      </c>
      <c r="P46" s="63">
        <f>IF($N$38="","",IFERROR(INDEX(FlTime,MATCH($N$38&amp;"|NIGHT|1",FlKey,0))&amp;"",""))</f>
        <v/>
      </c>
      <c r="Q46" s="71">
        <f>IF($Q$38="","","NIGHT"&amp;IF(COUNTIFS(FlDate,$Q$38,FlShift,"NIGHT",FlCode,"&lt;&gt;")&gt;3,CHAR(10)&amp;"+"&amp;(COUNTIFS(FlDate,$Q$38,FlShift,"NIGHT",FlCode,"&lt;&gt;")-3)&amp;" more",""))</f>
        <v/>
      </c>
      <c r="R46" s="62">
        <f>IF($Q$38="","",IFERROR(INDEX(FlCode,MATCH($Q$38&amp;"|NIGHT|1",FlKey,0)),""))</f>
        <v/>
      </c>
      <c r="S46" s="63">
        <f>IF($Q$38="","",IFERROR(INDEX(FlTime,MATCH($Q$38&amp;"|NIGHT|1",FlKey,0))&amp;"",""))</f>
        <v/>
      </c>
      <c r="T46" s="71">
        <f>IF($T$38="","","NIGHT"&amp;IF(COUNTIFS(FlDate,$T$38,FlShift,"NIGHT",FlCode,"&lt;&gt;")&gt;3,CHAR(10)&amp;"+"&amp;(COUNTIFS(FlDate,$T$38,FlShift,"NIGHT",FlCode,"&lt;&gt;")-3)&amp;" more",""))</f>
        <v/>
      </c>
      <c r="U46" s="62">
        <f>IF($T$38="","",IFERROR(INDEX(FlCode,MATCH($T$38&amp;"|NIGHT|1",FlKey,0)),""))</f>
        <v/>
      </c>
      <c r="V46" s="63">
        <f>IF($T$38="","",IFERROR(INDEX(FlTime,MATCH($T$38&amp;"|NIGHT|1",FlKey,0))&amp;"",""))</f>
        <v/>
      </c>
    </row>
    <row r="47" ht="14" customHeight="1">
      <c r="B47" s="72" t="n"/>
      <c r="C47" s="62">
        <f>IF($B$38="","",IFERROR(INDEX(FlCode,MATCH($B$38&amp;"|NIGHT|2",FlKey,0)),""))</f>
        <v/>
      </c>
      <c r="D47" s="63">
        <f>IF($B$38="","",IFERROR(INDEX(FlTime,MATCH($B$38&amp;"|NIGHT|2",FlKey,0))&amp;"",""))</f>
        <v/>
      </c>
      <c r="E47" s="72" t="n"/>
      <c r="F47" s="62">
        <f>IF($E$38="","",IFERROR(INDEX(FlCode,MATCH($E$38&amp;"|NIGHT|2",FlKey,0)),""))</f>
        <v/>
      </c>
      <c r="G47" s="63">
        <f>IF($E$38="","",IFERROR(INDEX(FlTime,MATCH($E$38&amp;"|NIGHT|2",FlKey,0))&amp;"",""))</f>
        <v/>
      </c>
      <c r="H47" s="72" t="n"/>
      <c r="I47" s="62">
        <f>IF($H$38="","",IFERROR(INDEX(FlCode,MATCH($H$38&amp;"|NIGHT|2",FlKey,0)),""))</f>
        <v/>
      </c>
      <c r="J47" s="63">
        <f>IF($H$38="","",IFERROR(INDEX(FlTime,MATCH($H$38&amp;"|NIGHT|2",FlKey,0))&amp;"",""))</f>
        <v/>
      </c>
      <c r="K47" s="72" t="n"/>
      <c r="L47" s="62">
        <f>IF($K$38="","",IFERROR(INDEX(FlCode,MATCH($K$38&amp;"|NIGHT|2",FlKey,0)),""))</f>
        <v/>
      </c>
      <c r="M47" s="63">
        <f>IF($K$38="","",IFERROR(INDEX(FlTime,MATCH($K$38&amp;"|NIGHT|2",FlKey,0))&amp;"",""))</f>
        <v/>
      </c>
      <c r="N47" s="72" t="n"/>
      <c r="O47" s="62">
        <f>IF($N$38="","",IFERROR(INDEX(FlCode,MATCH($N$38&amp;"|NIGHT|2",FlKey,0)),""))</f>
        <v/>
      </c>
      <c r="P47" s="63">
        <f>IF($N$38="","",IFERROR(INDEX(FlTime,MATCH($N$38&amp;"|NIGHT|2",FlKey,0))&amp;"",""))</f>
        <v/>
      </c>
      <c r="Q47" s="72" t="n"/>
      <c r="R47" s="62">
        <f>IF($Q$38="","",IFERROR(INDEX(FlCode,MATCH($Q$38&amp;"|NIGHT|2",FlKey,0)),""))</f>
        <v/>
      </c>
      <c r="S47" s="63">
        <f>IF($Q$38="","",IFERROR(INDEX(FlTime,MATCH($Q$38&amp;"|NIGHT|2",FlKey,0))&amp;"",""))</f>
        <v/>
      </c>
      <c r="T47" s="72" t="n"/>
      <c r="U47" s="62">
        <f>IF($T$38="","",IFERROR(INDEX(FlCode,MATCH($T$38&amp;"|NIGHT|2",FlKey,0)),""))</f>
        <v/>
      </c>
      <c r="V47" s="63">
        <f>IF($T$38="","",IFERROR(INDEX(FlTime,MATCH($T$38&amp;"|NIGHT|2",FlKey,0))&amp;"",""))</f>
        <v/>
      </c>
    </row>
    <row r="48" ht="14" customHeight="1">
      <c r="B48" s="73" t="n"/>
      <c r="C48" s="74">
        <f>IF($B$38="","",IFERROR(INDEX(FlCode,MATCH($B$38&amp;"|NIGHT|3",FlKey,0)),""))</f>
        <v/>
      </c>
      <c r="D48" s="75">
        <f>IF($B$38="","",IFERROR(INDEX(FlTime,MATCH($B$38&amp;"|NIGHT|3",FlKey,0))&amp;"",""))</f>
        <v/>
      </c>
      <c r="E48" s="73" t="n"/>
      <c r="F48" s="74">
        <f>IF($E$38="","",IFERROR(INDEX(FlCode,MATCH($E$38&amp;"|NIGHT|3",FlKey,0)),""))</f>
        <v/>
      </c>
      <c r="G48" s="75">
        <f>IF($E$38="","",IFERROR(INDEX(FlTime,MATCH($E$38&amp;"|NIGHT|3",FlKey,0))&amp;"",""))</f>
        <v/>
      </c>
      <c r="H48" s="73" t="n"/>
      <c r="I48" s="74">
        <f>IF($H$38="","",IFERROR(INDEX(FlCode,MATCH($H$38&amp;"|NIGHT|3",FlKey,0)),""))</f>
        <v/>
      </c>
      <c r="J48" s="75">
        <f>IF($H$38="","",IFERROR(INDEX(FlTime,MATCH($H$38&amp;"|NIGHT|3",FlKey,0))&amp;"",""))</f>
        <v/>
      </c>
      <c r="K48" s="73" t="n"/>
      <c r="L48" s="74">
        <f>IF($K$38="","",IFERROR(INDEX(FlCode,MATCH($K$38&amp;"|NIGHT|3",FlKey,0)),""))</f>
        <v/>
      </c>
      <c r="M48" s="75">
        <f>IF($K$38="","",IFERROR(INDEX(FlTime,MATCH($K$38&amp;"|NIGHT|3",FlKey,0))&amp;"",""))</f>
        <v/>
      </c>
      <c r="N48" s="73" t="n"/>
      <c r="O48" s="74">
        <f>IF($N$38="","",IFERROR(INDEX(FlCode,MATCH($N$38&amp;"|NIGHT|3",FlKey,0)),""))</f>
        <v/>
      </c>
      <c r="P48" s="75">
        <f>IF($N$38="","",IFERROR(INDEX(FlTime,MATCH($N$38&amp;"|NIGHT|3",FlKey,0))&amp;"",""))</f>
        <v/>
      </c>
      <c r="Q48" s="73" t="n"/>
      <c r="R48" s="74">
        <f>IF($Q$38="","",IFERROR(INDEX(FlCode,MATCH($Q$38&amp;"|NIGHT|3",FlKey,0)),""))</f>
        <v/>
      </c>
      <c r="S48" s="75">
        <f>IF($Q$38="","",IFERROR(INDEX(FlTime,MATCH($Q$38&amp;"|NIGHT|3",FlKey,0))&amp;"",""))</f>
        <v/>
      </c>
      <c r="T48" s="73" t="n"/>
      <c r="U48" s="74">
        <f>IF($T$38="","",IFERROR(INDEX(FlCode,MATCH($T$38&amp;"|NIGHT|3",FlKey,0)),""))</f>
        <v/>
      </c>
      <c r="V48" s="75">
        <f>IF($T$38="","",IFERROR(INDEX(FlTime,MATCH($T$38&amp;"|NIGHT|3",FlKey,0))&amp;"",""))</f>
        <v/>
      </c>
    </row>
    <row r="49" ht="19" customHeight="1">
      <c r="B49" s="52">
        <f>IF(MONTH(DATE(PlanYear,13,1)-WEEKDAY(DATE(PlanYear,13,1),3)+28)=1,DATE(PlanYear,13,1)-WEEKDAY(DATE(PlanYear,13,1),3)+28,"")</f>
        <v/>
      </c>
      <c r="C49" s="53" t="n"/>
      <c r="D49" s="54">
        <f>IF($B$49="","",IF(IFERROR(INDEX(DayStat,$B$49-DATE(PlanYear,1,1)+1)&amp;"","")&lt;&gt;"",0,SUMIFS(FlSorties,FlDate,$B$49)))</f>
        <v/>
      </c>
      <c r="E49" s="52">
        <f>IF(MONTH(DATE(PlanYear,13,1)-WEEKDAY(DATE(PlanYear,13,1),3)+29)=1,DATE(PlanYear,13,1)-WEEKDAY(DATE(PlanYear,13,1),3)+29,"")</f>
        <v/>
      </c>
      <c r="F49" s="53" t="n"/>
      <c r="G49" s="54">
        <f>IF($E$49="","",IF(IFERROR(INDEX(DayStat,$E$49-DATE(PlanYear,1,1)+1)&amp;"","")&lt;&gt;"",0,SUMIFS(FlSorties,FlDate,$E$49)))</f>
        <v/>
      </c>
      <c r="H49" s="52">
        <f>IF(MONTH(DATE(PlanYear,13,1)-WEEKDAY(DATE(PlanYear,13,1),3)+30)=1,DATE(PlanYear,13,1)-WEEKDAY(DATE(PlanYear,13,1),3)+30,"")</f>
        <v/>
      </c>
      <c r="I49" s="53" t="n"/>
      <c r="J49" s="54">
        <f>IF($H$49="","",IF(IFERROR(INDEX(DayStat,$H$49-DATE(PlanYear,1,1)+1)&amp;"","")&lt;&gt;"",0,SUMIFS(FlSorties,FlDate,$H$49)))</f>
        <v/>
      </c>
      <c r="K49" s="52">
        <f>IF(MONTH(DATE(PlanYear,13,1)-WEEKDAY(DATE(PlanYear,13,1),3)+31)=1,DATE(PlanYear,13,1)-WEEKDAY(DATE(PlanYear,13,1),3)+31,"")</f>
        <v/>
      </c>
      <c r="L49" s="53" t="n"/>
      <c r="M49" s="54">
        <f>IF($K$49="","",IF(IFERROR(INDEX(DayStat,$K$49-DATE(PlanYear,1,1)+1)&amp;"","")&lt;&gt;"",0,SUMIFS(FlSorties,FlDate,$K$49)))</f>
        <v/>
      </c>
      <c r="N49" s="52">
        <f>IF(MONTH(DATE(PlanYear,13,1)-WEEKDAY(DATE(PlanYear,13,1),3)+32)=1,DATE(PlanYear,13,1)-WEEKDAY(DATE(PlanYear,13,1),3)+32,"")</f>
        <v/>
      </c>
      <c r="O49" s="53" t="n"/>
      <c r="P49" s="54">
        <f>IF($N$49="","",IF(IFERROR(INDEX(DayStat,$N$49-DATE(PlanYear,1,1)+1)&amp;"","")&lt;&gt;"",0,SUMIFS(FlSorties,FlDate,$N$49)))</f>
        <v/>
      </c>
      <c r="Q49" s="55">
        <f>IF(MONTH(DATE(PlanYear,13,1)-WEEKDAY(DATE(PlanYear,13,1),3)+33)=1,DATE(PlanYear,13,1)-WEEKDAY(DATE(PlanYear,13,1),3)+33,"")</f>
        <v/>
      </c>
      <c r="R49" s="56" t="n"/>
      <c r="S49" s="57">
        <f>IF($Q$49="","",IF(IFERROR(INDEX(DayStat,$Q$49-DATE(PlanYear,1,1)+1)&amp;"","")&lt;&gt;"",0,SUMIFS(FlSorties,FlDate,$Q$49)))</f>
        <v/>
      </c>
      <c r="T49" s="55">
        <f>IF(MONTH(DATE(PlanYear,13,1)-WEEKDAY(DATE(PlanYear,13,1),3)+34)=1,DATE(PlanYear,13,1)-WEEKDAY(DATE(PlanYear,13,1),3)+34,"")</f>
        <v/>
      </c>
      <c r="U49" s="56" t="n"/>
      <c r="V49" s="57">
        <f>IF($T$49="","",IF(IFERROR(INDEX(DayStat,$T$49-DATE(PlanYear,1,1)+1)&amp;"","")&lt;&gt;"",0,SUMIFS(FlSorties,FlDate,$T$49)))</f>
        <v/>
      </c>
    </row>
    <row r="50" ht="14" customHeight="1">
      <c r="B50" s="58">
        <f>IF($B$49="","",IF(IFERROR(INDEX(DayStat,$B$49-DATE(PlanYear,1,1)+1)&amp;"","")&lt;&gt;"",IFERROR(INDEX(DayStat,$B$49-DATE(PlanYear,1,1)+1)&amp;"",""),IF(COUNTIF(GrDate,$B$49)=0,"","GND: "&amp;INDEX(GrAct,MATCH($B$49,GrDate,0))&amp;IF(COUNTIF(GrDate,$B$49)&gt;1," +"&amp;(COUNTIF(GrDate,$B$49)-1)&amp;" more",""))))</f>
        <v/>
      </c>
      <c r="C50" s="59" t="n"/>
      <c r="D50" s="60" t="n"/>
      <c r="E50" s="58">
        <f>IF($E$49="","",IF(IFERROR(INDEX(DayStat,$E$49-DATE(PlanYear,1,1)+1)&amp;"","")&lt;&gt;"",IFERROR(INDEX(DayStat,$E$49-DATE(PlanYear,1,1)+1)&amp;"",""),IF(COUNTIF(GrDate,$E$49)=0,"","GND: "&amp;INDEX(GrAct,MATCH($E$49,GrDate,0))&amp;IF(COUNTIF(GrDate,$E$49)&gt;1," +"&amp;(COUNTIF(GrDate,$E$49)-1)&amp;" more",""))))</f>
        <v/>
      </c>
      <c r="F50" s="59" t="n"/>
      <c r="G50" s="60" t="n"/>
      <c r="H50" s="58">
        <f>IF($H$49="","",IF(IFERROR(INDEX(DayStat,$H$49-DATE(PlanYear,1,1)+1)&amp;"","")&lt;&gt;"",IFERROR(INDEX(DayStat,$H$49-DATE(PlanYear,1,1)+1)&amp;"",""),IF(COUNTIF(GrDate,$H$49)=0,"","GND: "&amp;INDEX(GrAct,MATCH($H$49,GrDate,0))&amp;IF(COUNTIF(GrDate,$H$49)&gt;1," +"&amp;(COUNTIF(GrDate,$H$49)-1)&amp;" more",""))))</f>
        <v/>
      </c>
      <c r="I50" s="59" t="n"/>
      <c r="J50" s="60" t="n"/>
      <c r="K50" s="58">
        <f>IF($K$49="","",IF(IFERROR(INDEX(DayStat,$K$49-DATE(PlanYear,1,1)+1)&amp;"","")&lt;&gt;"",IFERROR(INDEX(DayStat,$K$49-DATE(PlanYear,1,1)+1)&amp;"",""),IF(COUNTIF(GrDate,$K$49)=0,"","GND: "&amp;INDEX(GrAct,MATCH($K$49,GrDate,0))&amp;IF(COUNTIF(GrDate,$K$49)&gt;1," +"&amp;(COUNTIF(GrDate,$K$49)-1)&amp;" more",""))))</f>
        <v/>
      </c>
      <c r="L50" s="59" t="n"/>
      <c r="M50" s="60" t="n"/>
      <c r="N50" s="58">
        <f>IF($N$49="","",IF(IFERROR(INDEX(DayStat,$N$49-DATE(PlanYear,1,1)+1)&amp;"","")&lt;&gt;"",IFERROR(INDEX(DayStat,$N$49-DATE(PlanYear,1,1)+1)&amp;"",""),IF(COUNTIF(GrDate,$N$49)=0,"","GND: "&amp;INDEX(GrAct,MATCH($N$49,GrDate,0))&amp;IF(COUNTIF(GrDate,$N$49)&gt;1," +"&amp;(COUNTIF(GrDate,$N$49)-1)&amp;" more",""))))</f>
        <v/>
      </c>
      <c r="O50" s="59" t="n"/>
      <c r="P50" s="60" t="n"/>
      <c r="Q50" s="58">
        <f>IF($Q$49="","",IF(IFERROR(INDEX(DayStat,$Q$49-DATE(PlanYear,1,1)+1)&amp;"","")&lt;&gt;"",IFERROR(INDEX(DayStat,$Q$49-DATE(PlanYear,1,1)+1)&amp;"",""),IF(COUNTIF(GrDate,$Q$49)=0,"","GND: "&amp;INDEX(GrAct,MATCH($Q$49,GrDate,0))&amp;IF(COUNTIF(GrDate,$Q$49)&gt;1," +"&amp;(COUNTIF(GrDate,$Q$49)-1)&amp;" more",""))))</f>
        <v/>
      </c>
      <c r="R50" s="59" t="n"/>
      <c r="S50" s="60" t="n"/>
      <c r="T50" s="58">
        <f>IF($T$49="","",IF(IFERROR(INDEX(DayStat,$T$49-DATE(PlanYear,1,1)+1)&amp;"","")&lt;&gt;"",IFERROR(INDEX(DayStat,$T$49-DATE(PlanYear,1,1)+1)&amp;"",""),IF(COUNTIF(GrDate,$T$49)=0,"","GND: "&amp;INDEX(GrAct,MATCH($T$49,GrDate,0))&amp;IF(COUNTIF(GrDate,$T$49)&gt;1," +"&amp;(COUNTIF(GrDate,$T$49)-1)&amp;" more",""))))</f>
        <v/>
      </c>
      <c r="U50" s="59" t="n"/>
      <c r="V50" s="60" t="n"/>
    </row>
    <row r="51" ht="14" customHeight="1">
      <c r="B51" s="61">
        <f>IF($B$49="","","AM"&amp;IF(COUNTIFS(FlDate,$B$49,FlShift,"AM",FlCode,"&lt;&gt;")&gt;3,CHAR(10)&amp;"+"&amp;(COUNTIFS(FlDate,$B$49,FlShift,"AM",FlCode,"&lt;&gt;")-3)&amp;" more",""))</f>
        <v/>
      </c>
      <c r="C51" s="62">
        <f>IF($B$49="","",IFERROR(INDEX(FlCode,MATCH($B$49&amp;"|AM|1",FlKey,0)),""))</f>
        <v/>
      </c>
      <c r="D51" s="63">
        <f>IF($B$49="","",IFERROR(INDEX(FlTime,MATCH($B$49&amp;"|AM|1",FlKey,0))&amp;"",""))</f>
        <v/>
      </c>
      <c r="E51" s="61">
        <f>IF($E$49="","","AM"&amp;IF(COUNTIFS(FlDate,$E$49,FlShift,"AM",FlCode,"&lt;&gt;")&gt;3,CHAR(10)&amp;"+"&amp;(COUNTIFS(FlDate,$E$49,FlShift,"AM",FlCode,"&lt;&gt;")-3)&amp;" more",""))</f>
        <v/>
      </c>
      <c r="F51" s="62">
        <f>IF($E$49="","",IFERROR(INDEX(FlCode,MATCH($E$49&amp;"|AM|1",FlKey,0)),""))</f>
        <v/>
      </c>
      <c r="G51" s="63">
        <f>IF($E$49="","",IFERROR(INDEX(FlTime,MATCH($E$49&amp;"|AM|1",FlKey,0))&amp;"",""))</f>
        <v/>
      </c>
      <c r="H51" s="61">
        <f>IF($H$49="","","AM"&amp;IF(COUNTIFS(FlDate,$H$49,FlShift,"AM",FlCode,"&lt;&gt;")&gt;3,CHAR(10)&amp;"+"&amp;(COUNTIFS(FlDate,$H$49,FlShift,"AM",FlCode,"&lt;&gt;")-3)&amp;" more",""))</f>
        <v/>
      </c>
      <c r="I51" s="62">
        <f>IF($H$49="","",IFERROR(INDEX(FlCode,MATCH($H$49&amp;"|AM|1",FlKey,0)),""))</f>
        <v/>
      </c>
      <c r="J51" s="63">
        <f>IF($H$49="","",IFERROR(INDEX(FlTime,MATCH($H$49&amp;"|AM|1",FlKey,0))&amp;"",""))</f>
        <v/>
      </c>
      <c r="K51" s="61">
        <f>IF($K$49="","","AM"&amp;IF(COUNTIFS(FlDate,$K$49,FlShift,"AM",FlCode,"&lt;&gt;")&gt;3,CHAR(10)&amp;"+"&amp;(COUNTIFS(FlDate,$K$49,FlShift,"AM",FlCode,"&lt;&gt;")-3)&amp;" more",""))</f>
        <v/>
      </c>
      <c r="L51" s="62">
        <f>IF($K$49="","",IFERROR(INDEX(FlCode,MATCH($K$49&amp;"|AM|1",FlKey,0)),""))</f>
        <v/>
      </c>
      <c r="M51" s="63">
        <f>IF($K$49="","",IFERROR(INDEX(FlTime,MATCH($K$49&amp;"|AM|1",FlKey,0))&amp;"",""))</f>
        <v/>
      </c>
      <c r="N51" s="61">
        <f>IF($N$49="","","AM"&amp;IF(COUNTIFS(FlDate,$N$49,FlShift,"AM",FlCode,"&lt;&gt;")&gt;3,CHAR(10)&amp;"+"&amp;(COUNTIFS(FlDate,$N$49,FlShift,"AM",FlCode,"&lt;&gt;")-3)&amp;" more",""))</f>
        <v/>
      </c>
      <c r="O51" s="62">
        <f>IF($N$49="","",IFERROR(INDEX(FlCode,MATCH($N$49&amp;"|AM|1",FlKey,0)),""))</f>
        <v/>
      </c>
      <c r="P51" s="63">
        <f>IF($N$49="","",IFERROR(INDEX(FlTime,MATCH($N$49&amp;"|AM|1",FlKey,0))&amp;"",""))</f>
        <v/>
      </c>
      <c r="Q51" s="61">
        <f>IF($Q$49="","","AM"&amp;IF(COUNTIFS(FlDate,$Q$49,FlShift,"AM",FlCode,"&lt;&gt;")&gt;3,CHAR(10)&amp;"+"&amp;(COUNTIFS(FlDate,$Q$49,FlShift,"AM",FlCode,"&lt;&gt;")-3)&amp;" more",""))</f>
        <v/>
      </c>
      <c r="R51" s="62">
        <f>IF($Q$49="","",IFERROR(INDEX(FlCode,MATCH($Q$49&amp;"|AM|1",FlKey,0)),""))</f>
        <v/>
      </c>
      <c r="S51" s="63">
        <f>IF($Q$49="","",IFERROR(INDEX(FlTime,MATCH($Q$49&amp;"|AM|1",FlKey,0))&amp;"",""))</f>
        <v/>
      </c>
      <c r="T51" s="61">
        <f>IF($T$49="","","AM"&amp;IF(COUNTIFS(FlDate,$T$49,FlShift,"AM",FlCode,"&lt;&gt;")&gt;3,CHAR(10)&amp;"+"&amp;(COUNTIFS(FlDate,$T$49,FlShift,"AM",FlCode,"&lt;&gt;")-3)&amp;" more",""))</f>
        <v/>
      </c>
      <c r="U51" s="62">
        <f>IF($T$49="","",IFERROR(INDEX(FlCode,MATCH($T$49&amp;"|AM|1",FlKey,0)),""))</f>
        <v/>
      </c>
      <c r="V51" s="63">
        <f>IF($T$49="","",IFERROR(INDEX(FlTime,MATCH($T$49&amp;"|AM|1",FlKey,0))&amp;"",""))</f>
        <v/>
      </c>
    </row>
    <row r="52" ht="14" customHeight="1">
      <c r="B52" s="64" t="n"/>
      <c r="C52" s="62">
        <f>IF($B$49="","",IFERROR(INDEX(FlCode,MATCH($B$49&amp;"|AM|2",FlKey,0)),""))</f>
        <v/>
      </c>
      <c r="D52" s="63">
        <f>IF($B$49="","",IFERROR(INDEX(FlTime,MATCH($B$49&amp;"|AM|2",FlKey,0))&amp;"",""))</f>
        <v/>
      </c>
      <c r="E52" s="64" t="n"/>
      <c r="F52" s="62">
        <f>IF($E$49="","",IFERROR(INDEX(FlCode,MATCH($E$49&amp;"|AM|2",FlKey,0)),""))</f>
        <v/>
      </c>
      <c r="G52" s="63">
        <f>IF($E$49="","",IFERROR(INDEX(FlTime,MATCH($E$49&amp;"|AM|2",FlKey,0))&amp;"",""))</f>
        <v/>
      </c>
      <c r="H52" s="64" t="n"/>
      <c r="I52" s="62">
        <f>IF($H$49="","",IFERROR(INDEX(FlCode,MATCH($H$49&amp;"|AM|2",FlKey,0)),""))</f>
        <v/>
      </c>
      <c r="J52" s="63">
        <f>IF($H$49="","",IFERROR(INDEX(FlTime,MATCH($H$49&amp;"|AM|2",FlKey,0))&amp;"",""))</f>
        <v/>
      </c>
      <c r="K52" s="64" t="n"/>
      <c r="L52" s="62">
        <f>IF($K$49="","",IFERROR(INDEX(FlCode,MATCH($K$49&amp;"|AM|2",FlKey,0)),""))</f>
        <v/>
      </c>
      <c r="M52" s="63">
        <f>IF($K$49="","",IFERROR(INDEX(FlTime,MATCH($K$49&amp;"|AM|2",FlKey,0))&amp;"",""))</f>
        <v/>
      </c>
      <c r="N52" s="64" t="n"/>
      <c r="O52" s="62">
        <f>IF($N$49="","",IFERROR(INDEX(FlCode,MATCH($N$49&amp;"|AM|2",FlKey,0)),""))</f>
        <v/>
      </c>
      <c r="P52" s="63">
        <f>IF($N$49="","",IFERROR(INDEX(FlTime,MATCH($N$49&amp;"|AM|2",FlKey,0))&amp;"",""))</f>
        <v/>
      </c>
      <c r="Q52" s="64" t="n"/>
      <c r="R52" s="62">
        <f>IF($Q$49="","",IFERROR(INDEX(FlCode,MATCH($Q$49&amp;"|AM|2",FlKey,0)),""))</f>
        <v/>
      </c>
      <c r="S52" s="63">
        <f>IF($Q$49="","",IFERROR(INDEX(FlTime,MATCH($Q$49&amp;"|AM|2",FlKey,0))&amp;"",""))</f>
        <v/>
      </c>
      <c r="T52" s="64" t="n"/>
      <c r="U52" s="62">
        <f>IF($T$49="","",IFERROR(INDEX(FlCode,MATCH($T$49&amp;"|AM|2",FlKey,0)),""))</f>
        <v/>
      </c>
      <c r="V52" s="63">
        <f>IF($T$49="","",IFERROR(INDEX(FlTime,MATCH($T$49&amp;"|AM|2",FlKey,0))&amp;"",""))</f>
        <v/>
      </c>
    </row>
    <row r="53" ht="14" customHeight="1">
      <c r="B53" s="65" t="n"/>
      <c r="C53" s="66">
        <f>IF($B$49="","",IFERROR(INDEX(FlCode,MATCH($B$49&amp;"|AM|3",FlKey,0)),""))</f>
        <v/>
      </c>
      <c r="D53" s="67">
        <f>IF($B$49="","",IFERROR(INDEX(FlTime,MATCH($B$49&amp;"|AM|3",FlKey,0))&amp;"",""))</f>
        <v/>
      </c>
      <c r="E53" s="65" t="n"/>
      <c r="F53" s="66">
        <f>IF($E$49="","",IFERROR(INDEX(FlCode,MATCH($E$49&amp;"|AM|3",FlKey,0)),""))</f>
        <v/>
      </c>
      <c r="G53" s="67">
        <f>IF($E$49="","",IFERROR(INDEX(FlTime,MATCH($E$49&amp;"|AM|3",FlKey,0))&amp;"",""))</f>
        <v/>
      </c>
      <c r="H53" s="65" t="n"/>
      <c r="I53" s="66">
        <f>IF($H$49="","",IFERROR(INDEX(FlCode,MATCH($H$49&amp;"|AM|3",FlKey,0)),""))</f>
        <v/>
      </c>
      <c r="J53" s="67">
        <f>IF($H$49="","",IFERROR(INDEX(FlTime,MATCH($H$49&amp;"|AM|3",FlKey,0))&amp;"",""))</f>
        <v/>
      </c>
      <c r="K53" s="65" t="n"/>
      <c r="L53" s="66">
        <f>IF($K$49="","",IFERROR(INDEX(FlCode,MATCH($K$49&amp;"|AM|3",FlKey,0)),""))</f>
        <v/>
      </c>
      <c r="M53" s="67">
        <f>IF($K$49="","",IFERROR(INDEX(FlTime,MATCH($K$49&amp;"|AM|3",FlKey,0))&amp;"",""))</f>
        <v/>
      </c>
      <c r="N53" s="65" t="n"/>
      <c r="O53" s="66">
        <f>IF($N$49="","",IFERROR(INDEX(FlCode,MATCH($N$49&amp;"|AM|3",FlKey,0)),""))</f>
        <v/>
      </c>
      <c r="P53" s="67">
        <f>IF($N$49="","",IFERROR(INDEX(FlTime,MATCH($N$49&amp;"|AM|3",FlKey,0))&amp;"",""))</f>
        <v/>
      </c>
      <c r="Q53" s="65" t="n"/>
      <c r="R53" s="66">
        <f>IF($Q$49="","",IFERROR(INDEX(FlCode,MATCH($Q$49&amp;"|AM|3",FlKey,0)),""))</f>
        <v/>
      </c>
      <c r="S53" s="67">
        <f>IF($Q$49="","",IFERROR(INDEX(FlTime,MATCH($Q$49&amp;"|AM|3",FlKey,0))&amp;"",""))</f>
        <v/>
      </c>
      <c r="T53" s="65" t="n"/>
      <c r="U53" s="66">
        <f>IF($T$49="","",IFERROR(INDEX(FlCode,MATCH($T$49&amp;"|AM|3",FlKey,0)),""))</f>
        <v/>
      </c>
      <c r="V53" s="67">
        <f>IF($T$49="","",IFERROR(INDEX(FlTime,MATCH($T$49&amp;"|AM|3",FlKey,0))&amp;"",""))</f>
        <v/>
      </c>
    </row>
    <row r="54" ht="14" customHeight="1">
      <c r="B54" s="68">
        <f>IF($B$49="","","PM"&amp;IF(COUNTIFS(FlDate,$B$49,FlShift,"PM",FlCode,"&lt;&gt;")&gt;3,CHAR(10)&amp;"+"&amp;(COUNTIFS(FlDate,$B$49,FlShift,"PM",FlCode,"&lt;&gt;")-3)&amp;" more",""))</f>
        <v/>
      </c>
      <c r="C54" s="62">
        <f>IF($B$49="","",IFERROR(INDEX(FlCode,MATCH($B$49&amp;"|PM|1",FlKey,0)),""))</f>
        <v/>
      </c>
      <c r="D54" s="63">
        <f>IF($B$49="","",IFERROR(INDEX(FlTime,MATCH($B$49&amp;"|PM|1",FlKey,0))&amp;"",""))</f>
        <v/>
      </c>
      <c r="E54" s="68">
        <f>IF($E$49="","","PM"&amp;IF(COUNTIFS(FlDate,$E$49,FlShift,"PM",FlCode,"&lt;&gt;")&gt;3,CHAR(10)&amp;"+"&amp;(COUNTIFS(FlDate,$E$49,FlShift,"PM",FlCode,"&lt;&gt;")-3)&amp;" more",""))</f>
        <v/>
      </c>
      <c r="F54" s="62">
        <f>IF($E$49="","",IFERROR(INDEX(FlCode,MATCH($E$49&amp;"|PM|1",FlKey,0)),""))</f>
        <v/>
      </c>
      <c r="G54" s="63">
        <f>IF($E$49="","",IFERROR(INDEX(FlTime,MATCH($E$49&amp;"|PM|1",FlKey,0))&amp;"",""))</f>
        <v/>
      </c>
      <c r="H54" s="68">
        <f>IF($H$49="","","PM"&amp;IF(COUNTIFS(FlDate,$H$49,FlShift,"PM",FlCode,"&lt;&gt;")&gt;3,CHAR(10)&amp;"+"&amp;(COUNTIFS(FlDate,$H$49,FlShift,"PM",FlCode,"&lt;&gt;")-3)&amp;" more",""))</f>
        <v/>
      </c>
      <c r="I54" s="62">
        <f>IF($H$49="","",IFERROR(INDEX(FlCode,MATCH($H$49&amp;"|PM|1",FlKey,0)),""))</f>
        <v/>
      </c>
      <c r="J54" s="63">
        <f>IF($H$49="","",IFERROR(INDEX(FlTime,MATCH($H$49&amp;"|PM|1",FlKey,0))&amp;"",""))</f>
        <v/>
      </c>
      <c r="K54" s="68">
        <f>IF($K$49="","","PM"&amp;IF(COUNTIFS(FlDate,$K$49,FlShift,"PM",FlCode,"&lt;&gt;")&gt;3,CHAR(10)&amp;"+"&amp;(COUNTIFS(FlDate,$K$49,FlShift,"PM",FlCode,"&lt;&gt;")-3)&amp;" more",""))</f>
        <v/>
      </c>
      <c r="L54" s="62">
        <f>IF($K$49="","",IFERROR(INDEX(FlCode,MATCH($K$49&amp;"|PM|1",FlKey,0)),""))</f>
        <v/>
      </c>
      <c r="M54" s="63">
        <f>IF($K$49="","",IFERROR(INDEX(FlTime,MATCH($K$49&amp;"|PM|1",FlKey,0))&amp;"",""))</f>
        <v/>
      </c>
      <c r="N54" s="68">
        <f>IF($N$49="","","PM"&amp;IF(COUNTIFS(FlDate,$N$49,FlShift,"PM",FlCode,"&lt;&gt;")&gt;3,CHAR(10)&amp;"+"&amp;(COUNTIFS(FlDate,$N$49,FlShift,"PM",FlCode,"&lt;&gt;")-3)&amp;" more",""))</f>
        <v/>
      </c>
      <c r="O54" s="62">
        <f>IF($N$49="","",IFERROR(INDEX(FlCode,MATCH($N$49&amp;"|PM|1",FlKey,0)),""))</f>
        <v/>
      </c>
      <c r="P54" s="63">
        <f>IF($N$49="","",IFERROR(INDEX(FlTime,MATCH($N$49&amp;"|PM|1",FlKey,0))&amp;"",""))</f>
        <v/>
      </c>
      <c r="Q54" s="68">
        <f>IF($Q$49="","","PM"&amp;IF(COUNTIFS(FlDate,$Q$49,FlShift,"PM",FlCode,"&lt;&gt;")&gt;3,CHAR(10)&amp;"+"&amp;(COUNTIFS(FlDate,$Q$49,FlShift,"PM",FlCode,"&lt;&gt;")-3)&amp;" more",""))</f>
        <v/>
      </c>
      <c r="R54" s="62">
        <f>IF($Q$49="","",IFERROR(INDEX(FlCode,MATCH($Q$49&amp;"|PM|1",FlKey,0)),""))</f>
        <v/>
      </c>
      <c r="S54" s="63">
        <f>IF($Q$49="","",IFERROR(INDEX(FlTime,MATCH($Q$49&amp;"|PM|1",FlKey,0))&amp;"",""))</f>
        <v/>
      </c>
      <c r="T54" s="68">
        <f>IF($T$49="","","PM"&amp;IF(COUNTIFS(FlDate,$T$49,FlShift,"PM",FlCode,"&lt;&gt;")&gt;3,CHAR(10)&amp;"+"&amp;(COUNTIFS(FlDate,$T$49,FlShift,"PM",FlCode,"&lt;&gt;")-3)&amp;" more",""))</f>
        <v/>
      </c>
      <c r="U54" s="62">
        <f>IF($T$49="","",IFERROR(INDEX(FlCode,MATCH($T$49&amp;"|PM|1",FlKey,0)),""))</f>
        <v/>
      </c>
      <c r="V54" s="63">
        <f>IF($T$49="","",IFERROR(INDEX(FlTime,MATCH($T$49&amp;"|PM|1",FlKey,0))&amp;"",""))</f>
        <v/>
      </c>
    </row>
    <row r="55" ht="14" customHeight="1">
      <c r="B55" s="69" t="n"/>
      <c r="C55" s="62">
        <f>IF($B$49="","",IFERROR(INDEX(FlCode,MATCH($B$49&amp;"|PM|2",FlKey,0)),""))</f>
        <v/>
      </c>
      <c r="D55" s="63">
        <f>IF($B$49="","",IFERROR(INDEX(FlTime,MATCH($B$49&amp;"|PM|2",FlKey,0))&amp;"",""))</f>
        <v/>
      </c>
      <c r="E55" s="69" t="n"/>
      <c r="F55" s="62">
        <f>IF($E$49="","",IFERROR(INDEX(FlCode,MATCH($E$49&amp;"|PM|2",FlKey,0)),""))</f>
        <v/>
      </c>
      <c r="G55" s="63">
        <f>IF($E$49="","",IFERROR(INDEX(FlTime,MATCH($E$49&amp;"|PM|2",FlKey,0))&amp;"",""))</f>
        <v/>
      </c>
      <c r="H55" s="69" t="n"/>
      <c r="I55" s="62">
        <f>IF($H$49="","",IFERROR(INDEX(FlCode,MATCH($H$49&amp;"|PM|2",FlKey,0)),""))</f>
        <v/>
      </c>
      <c r="J55" s="63">
        <f>IF($H$49="","",IFERROR(INDEX(FlTime,MATCH($H$49&amp;"|PM|2",FlKey,0))&amp;"",""))</f>
        <v/>
      </c>
      <c r="K55" s="69" t="n"/>
      <c r="L55" s="62">
        <f>IF($K$49="","",IFERROR(INDEX(FlCode,MATCH($K$49&amp;"|PM|2",FlKey,0)),""))</f>
        <v/>
      </c>
      <c r="M55" s="63">
        <f>IF($K$49="","",IFERROR(INDEX(FlTime,MATCH($K$49&amp;"|PM|2",FlKey,0))&amp;"",""))</f>
        <v/>
      </c>
      <c r="N55" s="69" t="n"/>
      <c r="O55" s="62">
        <f>IF($N$49="","",IFERROR(INDEX(FlCode,MATCH($N$49&amp;"|PM|2",FlKey,0)),""))</f>
        <v/>
      </c>
      <c r="P55" s="63">
        <f>IF($N$49="","",IFERROR(INDEX(FlTime,MATCH($N$49&amp;"|PM|2",FlKey,0))&amp;"",""))</f>
        <v/>
      </c>
      <c r="Q55" s="69" t="n"/>
      <c r="R55" s="62">
        <f>IF($Q$49="","",IFERROR(INDEX(FlCode,MATCH($Q$49&amp;"|PM|2",FlKey,0)),""))</f>
        <v/>
      </c>
      <c r="S55" s="63">
        <f>IF($Q$49="","",IFERROR(INDEX(FlTime,MATCH($Q$49&amp;"|PM|2",FlKey,0))&amp;"",""))</f>
        <v/>
      </c>
      <c r="T55" s="69" t="n"/>
      <c r="U55" s="62">
        <f>IF($T$49="","",IFERROR(INDEX(FlCode,MATCH($T$49&amp;"|PM|2",FlKey,0)),""))</f>
        <v/>
      </c>
      <c r="V55" s="63">
        <f>IF($T$49="","",IFERROR(INDEX(FlTime,MATCH($T$49&amp;"|PM|2",FlKey,0))&amp;"",""))</f>
        <v/>
      </c>
    </row>
    <row r="56" ht="14" customHeight="1">
      <c r="B56" s="70" t="n"/>
      <c r="C56" s="66">
        <f>IF($B$49="","",IFERROR(INDEX(FlCode,MATCH($B$49&amp;"|PM|3",FlKey,0)),""))</f>
        <v/>
      </c>
      <c r="D56" s="67">
        <f>IF($B$49="","",IFERROR(INDEX(FlTime,MATCH($B$49&amp;"|PM|3",FlKey,0))&amp;"",""))</f>
        <v/>
      </c>
      <c r="E56" s="70" t="n"/>
      <c r="F56" s="66">
        <f>IF($E$49="","",IFERROR(INDEX(FlCode,MATCH($E$49&amp;"|PM|3",FlKey,0)),""))</f>
        <v/>
      </c>
      <c r="G56" s="67">
        <f>IF($E$49="","",IFERROR(INDEX(FlTime,MATCH($E$49&amp;"|PM|3",FlKey,0))&amp;"",""))</f>
        <v/>
      </c>
      <c r="H56" s="70" t="n"/>
      <c r="I56" s="66">
        <f>IF($H$49="","",IFERROR(INDEX(FlCode,MATCH($H$49&amp;"|PM|3",FlKey,0)),""))</f>
        <v/>
      </c>
      <c r="J56" s="67">
        <f>IF($H$49="","",IFERROR(INDEX(FlTime,MATCH($H$49&amp;"|PM|3",FlKey,0))&amp;"",""))</f>
        <v/>
      </c>
      <c r="K56" s="70" t="n"/>
      <c r="L56" s="66">
        <f>IF($K$49="","",IFERROR(INDEX(FlCode,MATCH($K$49&amp;"|PM|3",FlKey,0)),""))</f>
        <v/>
      </c>
      <c r="M56" s="67">
        <f>IF($K$49="","",IFERROR(INDEX(FlTime,MATCH($K$49&amp;"|PM|3",FlKey,0))&amp;"",""))</f>
        <v/>
      </c>
      <c r="N56" s="70" t="n"/>
      <c r="O56" s="66">
        <f>IF($N$49="","",IFERROR(INDEX(FlCode,MATCH($N$49&amp;"|PM|3",FlKey,0)),""))</f>
        <v/>
      </c>
      <c r="P56" s="67">
        <f>IF($N$49="","",IFERROR(INDEX(FlTime,MATCH($N$49&amp;"|PM|3",FlKey,0))&amp;"",""))</f>
        <v/>
      </c>
      <c r="Q56" s="70" t="n"/>
      <c r="R56" s="66">
        <f>IF($Q$49="","",IFERROR(INDEX(FlCode,MATCH($Q$49&amp;"|PM|3",FlKey,0)),""))</f>
        <v/>
      </c>
      <c r="S56" s="67">
        <f>IF($Q$49="","",IFERROR(INDEX(FlTime,MATCH($Q$49&amp;"|PM|3",FlKey,0))&amp;"",""))</f>
        <v/>
      </c>
      <c r="T56" s="70" t="n"/>
      <c r="U56" s="66">
        <f>IF($T$49="","",IFERROR(INDEX(FlCode,MATCH($T$49&amp;"|PM|3",FlKey,0)),""))</f>
        <v/>
      </c>
      <c r="V56" s="67">
        <f>IF($T$49="","",IFERROR(INDEX(FlTime,MATCH($T$49&amp;"|PM|3",FlKey,0))&amp;"",""))</f>
        <v/>
      </c>
    </row>
    <row r="57" ht="14" customHeight="1">
      <c r="B57" s="71">
        <f>IF($B$49="","","NIGHT"&amp;IF(COUNTIFS(FlDate,$B$49,FlShift,"NIGHT",FlCode,"&lt;&gt;")&gt;3,CHAR(10)&amp;"+"&amp;(COUNTIFS(FlDate,$B$49,FlShift,"NIGHT",FlCode,"&lt;&gt;")-3)&amp;" more",""))</f>
        <v/>
      </c>
      <c r="C57" s="62">
        <f>IF($B$49="","",IFERROR(INDEX(FlCode,MATCH($B$49&amp;"|NIGHT|1",FlKey,0)),""))</f>
        <v/>
      </c>
      <c r="D57" s="63">
        <f>IF($B$49="","",IFERROR(INDEX(FlTime,MATCH($B$49&amp;"|NIGHT|1",FlKey,0))&amp;"",""))</f>
        <v/>
      </c>
      <c r="E57" s="71">
        <f>IF($E$49="","","NIGHT"&amp;IF(COUNTIFS(FlDate,$E$49,FlShift,"NIGHT",FlCode,"&lt;&gt;")&gt;3,CHAR(10)&amp;"+"&amp;(COUNTIFS(FlDate,$E$49,FlShift,"NIGHT",FlCode,"&lt;&gt;")-3)&amp;" more",""))</f>
        <v/>
      </c>
      <c r="F57" s="62">
        <f>IF($E$49="","",IFERROR(INDEX(FlCode,MATCH($E$49&amp;"|NIGHT|1",FlKey,0)),""))</f>
        <v/>
      </c>
      <c r="G57" s="63">
        <f>IF($E$49="","",IFERROR(INDEX(FlTime,MATCH($E$49&amp;"|NIGHT|1",FlKey,0))&amp;"",""))</f>
        <v/>
      </c>
      <c r="H57" s="71">
        <f>IF($H$49="","","NIGHT"&amp;IF(COUNTIFS(FlDate,$H$49,FlShift,"NIGHT",FlCode,"&lt;&gt;")&gt;3,CHAR(10)&amp;"+"&amp;(COUNTIFS(FlDate,$H$49,FlShift,"NIGHT",FlCode,"&lt;&gt;")-3)&amp;" more",""))</f>
        <v/>
      </c>
      <c r="I57" s="62">
        <f>IF($H$49="","",IFERROR(INDEX(FlCode,MATCH($H$49&amp;"|NIGHT|1",FlKey,0)),""))</f>
        <v/>
      </c>
      <c r="J57" s="63">
        <f>IF($H$49="","",IFERROR(INDEX(FlTime,MATCH($H$49&amp;"|NIGHT|1",FlKey,0))&amp;"",""))</f>
        <v/>
      </c>
      <c r="K57" s="71">
        <f>IF($K$49="","","NIGHT"&amp;IF(COUNTIFS(FlDate,$K$49,FlShift,"NIGHT",FlCode,"&lt;&gt;")&gt;3,CHAR(10)&amp;"+"&amp;(COUNTIFS(FlDate,$K$49,FlShift,"NIGHT",FlCode,"&lt;&gt;")-3)&amp;" more",""))</f>
        <v/>
      </c>
      <c r="L57" s="62">
        <f>IF($K$49="","",IFERROR(INDEX(FlCode,MATCH($K$49&amp;"|NIGHT|1",FlKey,0)),""))</f>
        <v/>
      </c>
      <c r="M57" s="63">
        <f>IF($K$49="","",IFERROR(INDEX(FlTime,MATCH($K$49&amp;"|NIGHT|1",FlKey,0))&amp;"",""))</f>
        <v/>
      </c>
      <c r="N57" s="71">
        <f>IF($N$49="","","NIGHT"&amp;IF(COUNTIFS(FlDate,$N$49,FlShift,"NIGHT",FlCode,"&lt;&gt;")&gt;3,CHAR(10)&amp;"+"&amp;(COUNTIFS(FlDate,$N$49,FlShift,"NIGHT",FlCode,"&lt;&gt;")-3)&amp;" more",""))</f>
        <v/>
      </c>
      <c r="O57" s="62">
        <f>IF($N$49="","",IFERROR(INDEX(FlCode,MATCH($N$49&amp;"|NIGHT|1",FlKey,0)),""))</f>
        <v/>
      </c>
      <c r="P57" s="63">
        <f>IF($N$49="","",IFERROR(INDEX(FlTime,MATCH($N$49&amp;"|NIGHT|1",FlKey,0))&amp;"",""))</f>
        <v/>
      </c>
      <c r="Q57" s="71">
        <f>IF($Q$49="","","NIGHT"&amp;IF(COUNTIFS(FlDate,$Q$49,FlShift,"NIGHT",FlCode,"&lt;&gt;")&gt;3,CHAR(10)&amp;"+"&amp;(COUNTIFS(FlDate,$Q$49,FlShift,"NIGHT",FlCode,"&lt;&gt;")-3)&amp;" more",""))</f>
        <v/>
      </c>
      <c r="R57" s="62">
        <f>IF($Q$49="","",IFERROR(INDEX(FlCode,MATCH($Q$49&amp;"|NIGHT|1",FlKey,0)),""))</f>
        <v/>
      </c>
      <c r="S57" s="63">
        <f>IF($Q$49="","",IFERROR(INDEX(FlTime,MATCH($Q$49&amp;"|NIGHT|1",FlKey,0))&amp;"",""))</f>
        <v/>
      </c>
      <c r="T57" s="71">
        <f>IF($T$49="","","NIGHT"&amp;IF(COUNTIFS(FlDate,$T$49,FlShift,"NIGHT",FlCode,"&lt;&gt;")&gt;3,CHAR(10)&amp;"+"&amp;(COUNTIFS(FlDate,$T$49,FlShift,"NIGHT",FlCode,"&lt;&gt;")-3)&amp;" more",""))</f>
        <v/>
      </c>
      <c r="U57" s="62">
        <f>IF($T$49="","",IFERROR(INDEX(FlCode,MATCH($T$49&amp;"|NIGHT|1",FlKey,0)),""))</f>
        <v/>
      </c>
      <c r="V57" s="63">
        <f>IF($T$49="","",IFERROR(INDEX(FlTime,MATCH($T$49&amp;"|NIGHT|1",FlKey,0))&amp;"",""))</f>
        <v/>
      </c>
    </row>
    <row r="58" ht="14" customHeight="1">
      <c r="B58" s="72" t="n"/>
      <c r="C58" s="62">
        <f>IF($B$49="","",IFERROR(INDEX(FlCode,MATCH($B$49&amp;"|NIGHT|2",FlKey,0)),""))</f>
        <v/>
      </c>
      <c r="D58" s="63">
        <f>IF($B$49="","",IFERROR(INDEX(FlTime,MATCH($B$49&amp;"|NIGHT|2",FlKey,0))&amp;"",""))</f>
        <v/>
      </c>
      <c r="E58" s="72" t="n"/>
      <c r="F58" s="62">
        <f>IF($E$49="","",IFERROR(INDEX(FlCode,MATCH($E$49&amp;"|NIGHT|2",FlKey,0)),""))</f>
        <v/>
      </c>
      <c r="G58" s="63">
        <f>IF($E$49="","",IFERROR(INDEX(FlTime,MATCH($E$49&amp;"|NIGHT|2",FlKey,0))&amp;"",""))</f>
        <v/>
      </c>
      <c r="H58" s="72" t="n"/>
      <c r="I58" s="62">
        <f>IF($H$49="","",IFERROR(INDEX(FlCode,MATCH($H$49&amp;"|NIGHT|2",FlKey,0)),""))</f>
        <v/>
      </c>
      <c r="J58" s="63">
        <f>IF($H$49="","",IFERROR(INDEX(FlTime,MATCH($H$49&amp;"|NIGHT|2",FlKey,0))&amp;"",""))</f>
        <v/>
      </c>
      <c r="K58" s="72" t="n"/>
      <c r="L58" s="62">
        <f>IF($K$49="","",IFERROR(INDEX(FlCode,MATCH($K$49&amp;"|NIGHT|2",FlKey,0)),""))</f>
        <v/>
      </c>
      <c r="M58" s="63">
        <f>IF($K$49="","",IFERROR(INDEX(FlTime,MATCH($K$49&amp;"|NIGHT|2",FlKey,0))&amp;"",""))</f>
        <v/>
      </c>
      <c r="N58" s="72" t="n"/>
      <c r="O58" s="62">
        <f>IF($N$49="","",IFERROR(INDEX(FlCode,MATCH($N$49&amp;"|NIGHT|2",FlKey,0)),""))</f>
        <v/>
      </c>
      <c r="P58" s="63">
        <f>IF($N$49="","",IFERROR(INDEX(FlTime,MATCH($N$49&amp;"|NIGHT|2",FlKey,0))&amp;"",""))</f>
        <v/>
      </c>
      <c r="Q58" s="72" t="n"/>
      <c r="R58" s="62">
        <f>IF($Q$49="","",IFERROR(INDEX(FlCode,MATCH($Q$49&amp;"|NIGHT|2",FlKey,0)),""))</f>
        <v/>
      </c>
      <c r="S58" s="63">
        <f>IF($Q$49="","",IFERROR(INDEX(FlTime,MATCH($Q$49&amp;"|NIGHT|2",FlKey,0))&amp;"",""))</f>
        <v/>
      </c>
      <c r="T58" s="72" t="n"/>
      <c r="U58" s="62">
        <f>IF($T$49="","",IFERROR(INDEX(FlCode,MATCH($T$49&amp;"|NIGHT|2",FlKey,0)),""))</f>
        <v/>
      </c>
      <c r="V58" s="63">
        <f>IF($T$49="","",IFERROR(INDEX(FlTime,MATCH($T$49&amp;"|NIGHT|2",FlKey,0))&amp;"",""))</f>
        <v/>
      </c>
    </row>
    <row r="59" ht="14" customHeight="1">
      <c r="B59" s="73" t="n"/>
      <c r="C59" s="74">
        <f>IF($B$49="","",IFERROR(INDEX(FlCode,MATCH($B$49&amp;"|NIGHT|3",FlKey,0)),""))</f>
        <v/>
      </c>
      <c r="D59" s="75">
        <f>IF($B$49="","",IFERROR(INDEX(FlTime,MATCH($B$49&amp;"|NIGHT|3",FlKey,0))&amp;"",""))</f>
        <v/>
      </c>
      <c r="E59" s="73" t="n"/>
      <c r="F59" s="74">
        <f>IF($E$49="","",IFERROR(INDEX(FlCode,MATCH($E$49&amp;"|NIGHT|3",FlKey,0)),""))</f>
        <v/>
      </c>
      <c r="G59" s="75">
        <f>IF($E$49="","",IFERROR(INDEX(FlTime,MATCH($E$49&amp;"|NIGHT|3",FlKey,0))&amp;"",""))</f>
        <v/>
      </c>
      <c r="H59" s="73" t="n"/>
      <c r="I59" s="74">
        <f>IF($H$49="","",IFERROR(INDEX(FlCode,MATCH($H$49&amp;"|NIGHT|3",FlKey,0)),""))</f>
        <v/>
      </c>
      <c r="J59" s="75">
        <f>IF($H$49="","",IFERROR(INDEX(FlTime,MATCH($H$49&amp;"|NIGHT|3",FlKey,0))&amp;"",""))</f>
        <v/>
      </c>
      <c r="K59" s="73" t="n"/>
      <c r="L59" s="74">
        <f>IF($K$49="","",IFERROR(INDEX(FlCode,MATCH($K$49&amp;"|NIGHT|3",FlKey,0)),""))</f>
        <v/>
      </c>
      <c r="M59" s="75">
        <f>IF($K$49="","",IFERROR(INDEX(FlTime,MATCH($K$49&amp;"|NIGHT|3",FlKey,0))&amp;"",""))</f>
        <v/>
      </c>
      <c r="N59" s="73" t="n"/>
      <c r="O59" s="74">
        <f>IF($N$49="","",IFERROR(INDEX(FlCode,MATCH($N$49&amp;"|NIGHT|3",FlKey,0)),""))</f>
        <v/>
      </c>
      <c r="P59" s="75">
        <f>IF($N$49="","",IFERROR(INDEX(FlTime,MATCH($N$49&amp;"|NIGHT|3",FlKey,0))&amp;"",""))</f>
        <v/>
      </c>
      <c r="Q59" s="73" t="n"/>
      <c r="R59" s="74">
        <f>IF($Q$49="","",IFERROR(INDEX(FlCode,MATCH($Q$49&amp;"|NIGHT|3",FlKey,0)),""))</f>
        <v/>
      </c>
      <c r="S59" s="75">
        <f>IF($Q$49="","",IFERROR(INDEX(FlTime,MATCH($Q$49&amp;"|NIGHT|3",FlKey,0))&amp;"",""))</f>
        <v/>
      </c>
      <c r="T59" s="73" t="n"/>
      <c r="U59" s="74">
        <f>IF($T$49="","",IFERROR(INDEX(FlCode,MATCH($T$49&amp;"|NIGHT|3",FlKey,0)),""))</f>
        <v/>
      </c>
      <c r="V59" s="75">
        <f>IF($T$49="","",IFERROR(INDEX(FlTime,MATCH($T$49&amp;"|NIGHT|3",FlKey,0))&amp;"",""))</f>
        <v/>
      </c>
    </row>
    <row r="60" ht="19" customHeight="1">
      <c r="B60" s="52">
        <f>IF(MONTH(DATE(PlanYear,13,1)-WEEKDAY(DATE(PlanYear,13,1),3)+35)=1,DATE(PlanYear,13,1)-WEEKDAY(DATE(PlanYear,13,1),3)+35,"")</f>
        <v/>
      </c>
      <c r="C60" s="53" t="n"/>
      <c r="D60" s="54">
        <f>IF($B$60="","",IF(IFERROR(INDEX(DayStat,$B$60-DATE(PlanYear,1,1)+1)&amp;"","")&lt;&gt;"",0,SUMIFS(FlSorties,FlDate,$B$60)))</f>
        <v/>
      </c>
      <c r="E60" s="52">
        <f>IF(MONTH(DATE(PlanYear,13,1)-WEEKDAY(DATE(PlanYear,13,1),3)+36)=1,DATE(PlanYear,13,1)-WEEKDAY(DATE(PlanYear,13,1),3)+36,"")</f>
        <v/>
      </c>
      <c r="F60" s="53" t="n"/>
      <c r="G60" s="54">
        <f>IF($E$60="","",IF(IFERROR(INDEX(DayStat,$E$60-DATE(PlanYear,1,1)+1)&amp;"","")&lt;&gt;"",0,SUMIFS(FlSorties,FlDate,$E$60)))</f>
        <v/>
      </c>
      <c r="H60" s="52">
        <f>IF(MONTH(DATE(PlanYear,13,1)-WEEKDAY(DATE(PlanYear,13,1),3)+37)=1,DATE(PlanYear,13,1)-WEEKDAY(DATE(PlanYear,13,1),3)+37,"")</f>
        <v/>
      </c>
      <c r="I60" s="53" t="n"/>
      <c r="J60" s="54">
        <f>IF($H$60="","",IF(IFERROR(INDEX(DayStat,$H$60-DATE(PlanYear,1,1)+1)&amp;"","")&lt;&gt;"",0,SUMIFS(FlSorties,FlDate,$H$60)))</f>
        <v/>
      </c>
      <c r="K60" s="52">
        <f>IF(MONTH(DATE(PlanYear,13,1)-WEEKDAY(DATE(PlanYear,13,1),3)+38)=1,DATE(PlanYear,13,1)-WEEKDAY(DATE(PlanYear,13,1),3)+38,"")</f>
        <v/>
      </c>
      <c r="L60" s="53" t="n"/>
      <c r="M60" s="54">
        <f>IF($K$60="","",IF(IFERROR(INDEX(DayStat,$K$60-DATE(PlanYear,1,1)+1)&amp;"","")&lt;&gt;"",0,SUMIFS(FlSorties,FlDate,$K$60)))</f>
        <v/>
      </c>
      <c r="N60" s="52">
        <f>IF(MONTH(DATE(PlanYear,13,1)-WEEKDAY(DATE(PlanYear,13,1),3)+39)=1,DATE(PlanYear,13,1)-WEEKDAY(DATE(PlanYear,13,1),3)+39,"")</f>
        <v/>
      </c>
      <c r="O60" s="53" t="n"/>
      <c r="P60" s="54">
        <f>IF($N$60="","",IF(IFERROR(INDEX(DayStat,$N$60-DATE(PlanYear,1,1)+1)&amp;"","")&lt;&gt;"",0,SUMIFS(FlSorties,FlDate,$N$60)))</f>
        <v/>
      </c>
      <c r="Q60" s="55">
        <f>IF(MONTH(DATE(PlanYear,13,1)-WEEKDAY(DATE(PlanYear,13,1),3)+40)=1,DATE(PlanYear,13,1)-WEEKDAY(DATE(PlanYear,13,1),3)+40,"")</f>
        <v/>
      </c>
      <c r="R60" s="56" t="n"/>
      <c r="S60" s="57">
        <f>IF($Q$60="","",IF(IFERROR(INDEX(DayStat,$Q$60-DATE(PlanYear,1,1)+1)&amp;"","")&lt;&gt;"",0,SUMIFS(FlSorties,FlDate,$Q$60)))</f>
        <v/>
      </c>
      <c r="T60" s="55">
        <f>IF(MONTH(DATE(PlanYear,13,1)-WEEKDAY(DATE(PlanYear,13,1),3)+41)=1,DATE(PlanYear,13,1)-WEEKDAY(DATE(PlanYear,13,1),3)+41,"")</f>
        <v/>
      </c>
      <c r="U60" s="56" t="n"/>
      <c r="V60" s="57">
        <f>IF($T$60="","",IF(IFERROR(INDEX(DayStat,$T$60-DATE(PlanYear,1,1)+1)&amp;"","")&lt;&gt;"",0,SUMIFS(FlSorties,FlDate,$T$60)))</f>
        <v/>
      </c>
    </row>
    <row r="61" ht="14" customHeight="1">
      <c r="B61" s="58">
        <f>IF($B$60="","",IF(IFERROR(INDEX(DayStat,$B$60-DATE(PlanYear,1,1)+1)&amp;"","")&lt;&gt;"",IFERROR(INDEX(DayStat,$B$60-DATE(PlanYear,1,1)+1)&amp;"",""),IF(COUNTIF(GrDate,$B$60)=0,"","GND: "&amp;INDEX(GrAct,MATCH($B$60,GrDate,0))&amp;IF(COUNTIF(GrDate,$B$60)&gt;1," +"&amp;(COUNTIF(GrDate,$B$60)-1)&amp;" more",""))))</f>
        <v/>
      </c>
      <c r="C61" s="59" t="n"/>
      <c r="D61" s="60" t="n"/>
      <c r="E61" s="58">
        <f>IF($E$60="","",IF(IFERROR(INDEX(DayStat,$E$60-DATE(PlanYear,1,1)+1)&amp;"","")&lt;&gt;"",IFERROR(INDEX(DayStat,$E$60-DATE(PlanYear,1,1)+1)&amp;"",""),IF(COUNTIF(GrDate,$E$60)=0,"","GND: "&amp;INDEX(GrAct,MATCH($E$60,GrDate,0))&amp;IF(COUNTIF(GrDate,$E$60)&gt;1," +"&amp;(COUNTIF(GrDate,$E$60)-1)&amp;" more",""))))</f>
        <v/>
      </c>
      <c r="F61" s="59" t="n"/>
      <c r="G61" s="60" t="n"/>
      <c r="H61" s="58">
        <f>IF($H$60="","",IF(IFERROR(INDEX(DayStat,$H$60-DATE(PlanYear,1,1)+1)&amp;"","")&lt;&gt;"",IFERROR(INDEX(DayStat,$H$60-DATE(PlanYear,1,1)+1)&amp;"",""),IF(COUNTIF(GrDate,$H$60)=0,"","GND: "&amp;INDEX(GrAct,MATCH($H$60,GrDate,0))&amp;IF(COUNTIF(GrDate,$H$60)&gt;1," +"&amp;(COUNTIF(GrDate,$H$60)-1)&amp;" more",""))))</f>
        <v/>
      </c>
      <c r="I61" s="59" t="n"/>
      <c r="J61" s="60" t="n"/>
      <c r="K61" s="58">
        <f>IF($K$60="","",IF(IFERROR(INDEX(DayStat,$K$60-DATE(PlanYear,1,1)+1)&amp;"","")&lt;&gt;"",IFERROR(INDEX(DayStat,$K$60-DATE(PlanYear,1,1)+1)&amp;"",""),IF(COUNTIF(GrDate,$K$60)=0,"","GND: "&amp;INDEX(GrAct,MATCH($K$60,GrDate,0))&amp;IF(COUNTIF(GrDate,$K$60)&gt;1," +"&amp;(COUNTIF(GrDate,$K$60)-1)&amp;" more",""))))</f>
        <v/>
      </c>
      <c r="L61" s="59" t="n"/>
      <c r="M61" s="60" t="n"/>
      <c r="N61" s="58">
        <f>IF($N$60="","",IF(IFERROR(INDEX(DayStat,$N$60-DATE(PlanYear,1,1)+1)&amp;"","")&lt;&gt;"",IFERROR(INDEX(DayStat,$N$60-DATE(PlanYear,1,1)+1)&amp;"",""),IF(COUNTIF(GrDate,$N$60)=0,"","GND: "&amp;INDEX(GrAct,MATCH($N$60,GrDate,0))&amp;IF(COUNTIF(GrDate,$N$60)&gt;1," +"&amp;(COUNTIF(GrDate,$N$60)-1)&amp;" more",""))))</f>
        <v/>
      </c>
      <c r="O61" s="59" t="n"/>
      <c r="P61" s="60" t="n"/>
      <c r="Q61" s="58">
        <f>IF($Q$60="","",IF(IFERROR(INDEX(DayStat,$Q$60-DATE(PlanYear,1,1)+1)&amp;"","")&lt;&gt;"",IFERROR(INDEX(DayStat,$Q$60-DATE(PlanYear,1,1)+1)&amp;"",""),IF(COUNTIF(GrDate,$Q$60)=0,"","GND: "&amp;INDEX(GrAct,MATCH($Q$60,GrDate,0))&amp;IF(COUNTIF(GrDate,$Q$60)&gt;1," +"&amp;(COUNTIF(GrDate,$Q$60)-1)&amp;" more",""))))</f>
        <v/>
      </c>
      <c r="R61" s="59" t="n"/>
      <c r="S61" s="60" t="n"/>
      <c r="T61" s="58">
        <f>IF($T$60="","",IF(IFERROR(INDEX(DayStat,$T$60-DATE(PlanYear,1,1)+1)&amp;"","")&lt;&gt;"",IFERROR(INDEX(DayStat,$T$60-DATE(PlanYear,1,1)+1)&amp;"",""),IF(COUNTIF(GrDate,$T$60)=0,"","GND: "&amp;INDEX(GrAct,MATCH($T$60,GrDate,0))&amp;IF(COUNTIF(GrDate,$T$60)&gt;1," +"&amp;(COUNTIF(GrDate,$T$60)-1)&amp;" more",""))))</f>
        <v/>
      </c>
      <c r="U61" s="59" t="n"/>
      <c r="V61" s="60" t="n"/>
    </row>
    <row r="62" ht="14" customHeight="1">
      <c r="B62" s="61">
        <f>IF($B$60="","","AM"&amp;IF(COUNTIFS(FlDate,$B$60,FlShift,"AM",FlCode,"&lt;&gt;")&gt;3,CHAR(10)&amp;"+"&amp;(COUNTIFS(FlDate,$B$60,FlShift,"AM",FlCode,"&lt;&gt;")-3)&amp;" more",""))</f>
        <v/>
      </c>
      <c r="C62" s="62">
        <f>IF($B$60="","",IFERROR(INDEX(FlCode,MATCH($B$60&amp;"|AM|1",FlKey,0)),""))</f>
        <v/>
      </c>
      <c r="D62" s="63">
        <f>IF($B$60="","",IFERROR(INDEX(FlTime,MATCH($B$60&amp;"|AM|1",FlKey,0))&amp;"",""))</f>
        <v/>
      </c>
      <c r="E62" s="61">
        <f>IF($E$60="","","AM"&amp;IF(COUNTIFS(FlDate,$E$60,FlShift,"AM",FlCode,"&lt;&gt;")&gt;3,CHAR(10)&amp;"+"&amp;(COUNTIFS(FlDate,$E$60,FlShift,"AM",FlCode,"&lt;&gt;")-3)&amp;" more",""))</f>
        <v/>
      </c>
      <c r="F62" s="62">
        <f>IF($E$60="","",IFERROR(INDEX(FlCode,MATCH($E$60&amp;"|AM|1",FlKey,0)),""))</f>
        <v/>
      </c>
      <c r="G62" s="63">
        <f>IF($E$60="","",IFERROR(INDEX(FlTime,MATCH($E$60&amp;"|AM|1",FlKey,0))&amp;"",""))</f>
        <v/>
      </c>
      <c r="H62" s="61">
        <f>IF($H$60="","","AM"&amp;IF(COUNTIFS(FlDate,$H$60,FlShift,"AM",FlCode,"&lt;&gt;")&gt;3,CHAR(10)&amp;"+"&amp;(COUNTIFS(FlDate,$H$60,FlShift,"AM",FlCode,"&lt;&gt;")-3)&amp;" more",""))</f>
        <v/>
      </c>
      <c r="I62" s="62">
        <f>IF($H$60="","",IFERROR(INDEX(FlCode,MATCH($H$60&amp;"|AM|1",FlKey,0)),""))</f>
        <v/>
      </c>
      <c r="J62" s="63">
        <f>IF($H$60="","",IFERROR(INDEX(FlTime,MATCH($H$60&amp;"|AM|1",FlKey,0))&amp;"",""))</f>
        <v/>
      </c>
      <c r="K62" s="61">
        <f>IF($K$60="","","AM"&amp;IF(COUNTIFS(FlDate,$K$60,FlShift,"AM",FlCode,"&lt;&gt;")&gt;3,CHAR(10)&amp;"+"&amp;(COUNTIFS(FlDate,$K$60,FlShift,"AM",FlCode,"&lt;&gt;")-3)&amp;" more",""))</f>
        <v/>
      </c>
      <c r="L62" s="62">
        <f>IF($K$60="","",IFERROR(INDEX(FlCode,MATCH($K$60&amp;"|AM|1",FlKey,0)),""))</f>
        <v/>
      </c>
      <c r="M62" s="63">
        <f>IF($K$60="","",IFERROR(INDEX(FlTime,MATCH($K$60&amp;"|AM|1",FlKey,0))&amp;"",""))</f>
        <v/>
      </c>
      <c r="N62" s="61">
        <f>IF($N$60="","","AM"&amp;IF(COUNTIFS(FlDate,$N$60,FlShift,"AM",FlCode,"&lt;&gt;")&gt;3,CHAR(10)&amp;"+"&amp;(COUNTIFS(FlDate,$N$60,FlShift,"AM",FlCode,"&lt;&gt;")-3)&amp;" more",""))</f>
        <v/>
      </c>
      <c r="O62" s="62">
        <f>IF($N$60="","",IFERROR(INDEX(FlCode,MATCH($N$60&amp;"|AM|1",FlKey,0)),""))</f>
        <v/>
      </c>
      <c r="P62" s="63">
        <f>IF($N$60="","",IFERROR(INDEX(FlTime,MATCH($N$60&amp;"|AM|1",FlKey,0))&amp;"",""))</f>
        <v/>
      </c>
      <c r="Q62" s="61">
        <f>IF($Q$60="","","AM"&amp;IF(COUNTIFS(FlDate,$Q$60,FlShift,"AM",FlCode,"&lt;&gt;")&gt;3,CHAR(10)&amp;"+"&amp;(COUNTIFS(FlDate,$Q$60,FlShift,"AM",FlCode,"&lt;&gt;")-3)&amp;" more",""))</f>
        <v/>
      </c>
      <c r="R62" s="62">
        <f>IF($Q$60="","",IFERROR(INDEX(FlCode,MATCH($Q$60&amp;"|AM|1",FlKey,0)),""))</f>
        <v/>
      </c>
      <c r="S62" s="63">
        <f>IF($Q$60="","",IFERROR(INDEX(FlTime,MATCH($Q$60&amp;"|AM|1",FlKey,0))&amp;"",""))</f>
        <v/>
      </c>
      <c r="T62" s="61">
        <f>IF($T$60="","","AM"&amp;IF(COUNTIFS(FlDate,$T$60,FlShift,"AM",FlCode,"&lt;&gt;")&gt;3,CHAR(10)&amp;"+"&amp;(COUNTIFS(FlDate,$T$60,FlShift,"AM",FlCode,"&lt;&gt;")-3)&amp;" more",""))</f>
        <v/>
      </c>
      <c r="U62" s="62">
        <f>IF($T$60="","",IFERROR(INDEX(FlCode,MATCH($T$60&amp;"|AM|1",FlKey,0)),""))</f>
        <v/>
      </c>
      <c r="V62" s="63">
        <f>IF($T$60="","",IFERROR(INDEX(FlTime,MATCH($T$60&amp;"|AM|1",FlKey,0))&amp;"",""))</f>
        <v/>
      </c>
    </row>
    <row r="63" ht="14" customHeight="1">
      <c r="B63" s="64" t="n"/>
      <c r="C63" s="62">
        <f>IF($B$60="","",IFERROR(INDEX(FlCode,MATCH($B$60&amp;"|AM|2",FlKey,0)),""))</f>
        <v/>
      </c>
      <c r="D63" s="63">
        <f>IF($B$60="","",IFERROR(INDEX(FlTime,MATCH($B$60&amp;"|AM|2",FlKey,0))&amp;"",""))</f>
        <v/>
      </c>
      <c r="E63" s="64" t="n"/>
      <c r="F63" s="62">
        <f>IF($E$60="","",IFERROR(INDEX(FlCode,MATCH($E$60&amp;"|AM|2",FlKey,0)),""))</f>
        <v/>
      </c>
      <c r="G63" s="63">
        <f>IF($E$60="","",IFERROR(INDEX(FlTime,MATCH($E$60&amp;"|AM|2",FlKey,0))&amp;"",""))</f>
        <v/>
      </c>
      <c r="H63" s="64" t="n"/>
      <c r="I63" s="62">
        <f>IF($H$60="","",IFERROR(INDEX(FlCode,MATCH($H$60&amp;"|AM|2",FlKey,0)),""))</f>
        <v/>
      </c>
      <c r="J63" s="63">
        <f>IF($H$60="","",IFERROR(INDEX(FlTime,MATCH($H$60&amp;"|AM|2",FlKey,0))&amp;"",""))</f>
        <v/>
      </c>
      <c r="K63" s="64" t="n"/>
      <c r="L63" s="62">
        <f>IF($K$60="","",IFERROR(INDEX(FlCode,MATCH($K$60&amp;"|AM|2",FlKey,0)),""))</f>
        <v/>
      </c>
      <c r="M63" s="63">
        <f>IF($K$60="","",IFERROR(INDEX(FlTime,MATCH($K$60&amp;"|AM|2",FlKey,0))&amp;"",""))</f>
        <v/>
      </c>
      <c r="N63" s="64" t="n"/>
      <c r="O63" s="62">
        <f>IF($N$60="","",IFERROR(INDEX(FlCode,MATCH($N$60&amp;"|AM|2",FlKey,0)),""))</f>
        <v/>
      </c>
      <c r="P63" s="63">
        <f>IF($N$60="","",IFERROR(INDEX(FlTime,MATCH($N$60&amp;"|AM|2",FlKey,0))&amp;"",""))</f>
        <v/>
      </c>
      <c r="Q63" s="64" t="n"/>
      <c r="R63" s="62">
        <f>IF($Q$60="","",IFERROR(INDEX(FlCode,MATCH($Q$60&amp;"|AM|2",FlKey,0)),""))</f>
        <v/>
      </c>
      <c r="S63" s="63">
        <f>IF($Q$60="","",IFERROR(INDEX(FlTime,MATCH($Q$60&amp;"|AM|2",FlKey,0))&amp;"",""))</f>
        <v/>
      </c>
      <c r="T63" s="64" t="n"/>
      <c r="U63" s="62">
        <f>IF($T$60="","",IFERROR(INDEX(FlCode,MATCH($T$60&amp;"|AM|2",FlKey,0)),""))</f>
        <v/>
      </c>
      <c r="V63" s="63">
        <f>IF($T$60="","",IFERROR(INDEX(FlTime,MATCH($T$60&amp;"|AM|2",FlKey,0))&amp;"",""))</f>
        <v/>
      </c>
    </row>
    <row r="64" ht="14" customHeight="1">
      <c r="B64" s="65" t="n"/>
      <c r="C64" s="66">
        <f>IF($B$60="","",IFERROR(INDEX(FlCode,MATCH($B$60&amp;"|AM|3",FlKey,0)),""))</f>
        <v/>
      </c>
      <c r="D64" s="67">
        <f>IF($B$60="","",IFERROR(INDEX(FlTime,MATCH($B$60&amp;"|AM|3",FlKey,0))&amp;"",""))</f>
        <v/>
      </c>
      <c r="E64" s="65" t="n"/>
      <c r="F64" s="66">
        <f>IF($E$60="","",IFERROR(INDEX(FlCode,MATCH($E$60&amp;"|AM|3",FlKey,0)),""))</f>
        <v/>
      </c>
      <c r="G64" s="67">
        <f>IF($E$60="","",IFERROR(INDEX(FlTime,MATCH($E$60&amp;"|AM|3",FlKey,0))&amp;"",""))</f>
        <v/>
      </c>
      <c r="H64" s="65" t="n"/>
      <c r="I64" s="66">
        <f>IF($H$60="","",IFERROR(INDEX(FlCode,MATCH($H$60&amp;"|AM|3",FlKey,0)),""))</f>
        <v/>
      </c>
      <c r="J64" s="67">
        <f>IF($H$60="","",IFERROR(INDEX(FlTime,MATCH($H$60&amp;"|AM|3",FlKey,0))&amp;"",""))</f>
        <v/>
      </c>
      <c r="K64" s="65" t="n"/>
      <c r="L64" s="66">
        <f>IF($K$60="","",IFERROR(INDEX(FlCode,MATCH($K$60&amp;"|AM|3",FlKey,0)),""))</f>
        <v/>
      </c>
      <c r="M64" s="67">
        <f>IF($K$60="","",IFERROR(INDEX(FlTime,MATCH($K$60&amp;"|AM|3",FlKey,0))&amp;"",""))</f>
        <v/>
      </c>
      <c r="N64" s="65" t="n"/>
      <c r="O64" s="66">
        <f>IF($N$60="","",IFERROR(INDEX(FlCode,MATCH($N$60&amp;"|AM|3",FlKey,0)),""))</f>
        <v/>
      </c>
      <c r="P64" s="67">
        <f>IF($N$60="","",IFERROR(INDEX(FlTime,MATCH($N$60&amp;"|AM|3",FlKey,0))&amp;"",""))</f>
        <v/>
      </c>
      <c r="Q64" s="65" t="n"/>
      <c r="R64" s="66">
        <f>IF($Q$60="","",IFERROR(INDEX(FlCode,MATCH($Q$60&amp;"|AM|3",FlKey,0)),""))</f>
        <v/>
      </c>
      <c r="S64" s="67">
        <f>IF($Q$60="","",IFERROR(INDEX(FlTime,MATCH($Q$60&amp;"|AM|3",FlKey,0))&amp;"",""))</f>
        <v/>
      </c>
      <c r="T64" s="65" t="n"/>
      <c r="U64" s="66">
        <f>IF($T$60="","",IFERROR(INDEX(FlCode,MATCH($T$60&amp;"|AM|3",FlKey,0)),""))</f>
        <v/>
      </c>
      <c r="V64" s="67">
        <f>IF($T$60="","",IFERROR(INDEX(FlTime,MATCH($T$60&amp;"|AM|3",FlKey,0))&amp;"",""))</f>
        <v/>
      </c>
    </row>
    <row r="65" ht="14" customHeight="1">
      <c r="B65" s="68">
        <f>IF($B$60="","","PM"&amp;IF(COUNTIFS(FlDate,$B$60,FlShift,"PM",FlCode,"&lt;&gt;")&gt;3,CHAR(10)&amp;"+"&amp;(COUNTIFS(FlDate,$B$60,FlShift,"PM",FlCode,"&lt;&gt;")-3)&amp;" more",""))</f>
        <v/>
      </c>
      <c r="C65" s="62">
        <f>IF($B$60="","",IFERROR(INDEX(FlCode,MATCH($B$60&amp;"|PM|1",FlKey,0)),""))</f>
        <v/>
      </c>
      <c r="D65" s="63">
        <f>IF($B$60="","",IFERROR(INDEX(FlTime,MATCH($B$60&amp;"|PM|1",FlKey,0))&amp;"",""))</f>
        <v/>
      </c>
      <c r="E65" s="68">
        <f>IF($E$60="","","PM"&amp;IF(COUNTIFS(FlDate,$E$60,FlShift,"PM",FlCode,"&lt;&gt;")&gt;3,CHAR(10)&amp;"+"&amp;(COUNTIFS(FlDate,$E$60,FlShift,"PM",FlCode,"&lt;&gt;")-3)&amp;" more",""))</f>
        <v/>
      </c>
      <c r="F65" s="62">
        <f>IF($E$60="","",IFERROR(INDEX(FlCode,MATCH($E$60&amp;"|PM|1",FlKey,0)),""))</f>
        <v/>
      </c>
      <c r="G65" s="63">
        <f>IF($E$60="","",IFERROR(INDEX(FlTime,MATCH($E$60&amp;"|PM|1",FlKey,0))&amp;"",""))</f>
        <v/>
      </c>
      <c r="H65" s="68">
        <f>IF($H$60="","","PM"&amp;IF(COUNTIFS(FlDate,$H$60,FlShift,"PM",FlCode,"&lt;&gt;")&gt;3,CHAR(10)&amp;"+"&amp;(COUNTIFS(FlDate,$H$60,FlShift,"PM",FlCode,"&lt;&gt;")-3)&amp;" more",""))</f>
        <v/>
      </c>
      <c r="I65" s="62">
        <f>IF($H$60="","",IFERROR(INDEX(FlCode,MATCH($H$60&amp;"|PM|1",FlKey,0)),""))</f>
        <v/>
      </c>
      <c r="J65" s="63">
        <f>IF($H$60="","",IFERROR(INDEX(FlTime,MATCH($H$60&amp;"|PM|1",FlKey,0))&amp;"",""))</f>
        <v/>
      </c>
      <c r="K65" s="68">
        <f>IF($K$60="","","PM"&amp;IF(COUNTIFS(FlDate,$K$60,FlShift,"PM",FlCode,"&lt;&gt;")&gt;3,CHAR(10)&amp;"+"&amp;(COUNTIFS(FlDate,$K$60,FlShift,"PM",FlCode,"&lt;&gt;")-3)&amp;" more",""))</f>
        <v/>
      </c>
      <c r="L65" s="62">
        <f>IF($K$60="","",IFERROR(INDEX(FlCode,MATCH($K$60&amp;"|PM|1",FlKey,0)),""))</f>
        <v/>
      </c>
      <c r="M65" s="63">
        <f>IF($K$60="","",IFERROR(INDEX(FlTime,MATCH($K$60&amp;"|PM|1",FlKey,0))&amp;"",""))</f>
        <v/>
      </c>
      <c r="N65" s="68">
        <f>IF($N$60="","","PM"&amp;IF(COUNTIFS(FlDate,$N$60,FlShift,"PM",FlCode,"&lt;&gt;")&gt;3,CHAR(10)&amp;"+"&amp;(COUNTIFS(FlDate,$N$60,FlShift,"PM",FlCode,"&lt;&gt;")-3)&amp;" more",""))</f>
        <v/>
      </c>
      <c r="O65" s="62">
        <f>IF($N$60="","",IFERROR(INDEX(FlCode,MATCH($N$60&amp;"|PM|1",FlKey,0)),""))</f>
        <v/>
      </c>
      <c r="P65" s="63">
        <f>IF($N$60="","",IFERROR(INDEX(FlTime,MATCH($N$60&amp;"|PM|1",FlKey,0))&amp;"",""))</f>
        <v/>
      </c>
      <c r="Q65" s="68">
        <f>IF($Q$60="","","PM"&amp;IF(COUNTIFS(FlDate,$Q$60,FlShift,"PM",FlCode,"&lt;&gt;")&gt;3,CHAR(10)&amp;"+"&amp;(COUNTIFS(FlDate,$Q$60,FlShift,"PM",FlCode,"&lt;&gt;")-3)&amp;" more",""))</f>
        <v/>
      </c>
      <c r="R65" s="62">
        <f>IF($Q$60="","",IFERROR(INDEX(FlCode,MATCH($Q$60&amp;"|PM|1",FlKey,0)),""))</f>
        <v/>
      </c>
      <c r="S65" s="63">
        <f>IF($Q$60="","",IFERROR(INDEX(FlTime,MATCH($Q$60&amp;"|PM|1",FlKey,0))&amp;"",""))</f>
        <v/>
      </c>
      <c r="T65" s="68">
        <f>IF($T$60="","","PM"&amp;IF(COUNTIFS(FlDate,$T$60,FlShift,"PM",FlCode,"&lt;&gt;")&gt;3,CHAR(10)&amp;"+"&amp;(COUNTIFS(FlDate,$T$60,FlShift,"PM",FlCode,"&lt;&gt;")-3)&amp;" more",""))</f>
        <v/>
      </c>
      <c r="U65" s="62">
        <f>IF($T$60="","",IFERROR(INDEX(FlCode,MATCH($T$60&amp;"|PM|1",FlKey,0)),""))</f>
        <v/>
      </c>
      <c r="V65" s="63">
        <f>IF($T$60="","",IFERROR(INDEX(FlTime,MATCH($T$60&amp;"|PM|1",FlKey,0))&amp;"",""))</f>
        <v/>
      </c>
    </row>
    <row r="66" ht="14" customHeight="1">
      <c r="B66" s="69" t="n"/>
      <c r="C66" s="62">
        <f>IF($B$60="","",IFERROR(INDEX(FlCode,MATCH($B$60&amp;"|PM|2",FlKey,0)),""))</f>
        <v/>
      </c>
      <c r="D66" s="63">
        <f>IF($B$60="","",IFERROR(INDEX(FlTime,MATCH($B$60&amp;"|PM|2",FlKey,0))&amp;"",""))</f>
        <v/>
      </c>
      <c r="E66" s="69" t="n"/>
      <c r="F66" s="62">
        <f>IF($E$60="","",IFERROR(INDEX(FlCode,MATCH($E$60&amp;"|PM|2",FlKey,0)),""))</f>
        <v/>
      </c>
      <c r="G66" s="63">
        <f>IF($E$60="","",IFERROR(INDEX(FlTime,MATCH($E$60&amp;"|PM|2",FlKey,0))&amp;"",""))</f>
        <v/>
      </c>
      <c r="H66" s="69" t="n"/>
      <c r="I66" s="62">
        <f>IF($H$60="","",IFERROR(INDEX(FlCode,MATCH($H$60&amp;"|PM|2",FlKey,0)),""))</f>
        <v/>
      </c>
      <c r="J66" s="63">
        <f>IF($H$60="","",IFERROR(INDEX(FlTime,MATCH($H$60&amp;"|PM|2",FlKey,0))&amp;"",""))</f>
        <v/>
      </c>
      <c r="K66" s="69" t="n"/>
      <c r="L66" s="62">
        <f>IF($K$60="","",IFERROR(INDEX(FlCode,MATCH($K$60&amp;"|PM|2",FlKey,0)),""))</f>
        <v/>
      </c>
      <c r="M66" s="63">
        <f>IF($K$60="","",IFERROR(INDEX(FlTime,MATCH($K$60&amp;"|PM|2",FlKey,0))&amp;"",""))</f>
        <v/>
      </c>
      <c r="N66" s="69" t="n"/>
      <c r="O66" s="62">
        <f>IF($N$60="","",IFERROR(INDEX(FlCode,MATCH($N$60&amp;"|PM|2",FlKey,0)),""))</f>
        <v/>
      </c>
      <c r="P66" s="63">
        <f>IF($N$60="","",IFERROR(INDEX(FlTime,MATCH($N$60&amp;"|PM|2",FlKey,0))&amp;"",""))</f>
        <v/>
      </c>
      <c r="Q66" s="69" t="n"/>
      <c r="R66" s="62">
        <f>IF($Q$60="","",IFERROR(INDEX(FlCode,MATCH($Q$60&amp;"|PM|2",FlKey,0)),""))</f>
        <v/>
      </c>
      <c r="S66" s="63">
        <f>IF($Q$60="","",IFERROR(INDEX(FlTime,MATCH($Q$60&amp;"|PM|2",FlKey,0))&amp;"",""))</f>
        <v/>
      </c>
      <c r="T66" s="69" t="n"/>
      <c r="U66" s="62">
        <f>IF($T$60="","",IFERROR(INDEX(FlCode,MATCH($T$60&amp;"|PM|2",FlKey,0)),""))</f>
        <v/>
      </c>
      <c r="V66" s="63">
        <f>IF($T$60="","",IFERROR(INDEX(FlTime,MATCH($T$60&amp;"|PM|2",FlKey,0))&amp;"",""))</f>
        <v/>
      </c>
    </row>
    <row r="67" ht="14" customHeight="1">
      <c r="B67" s="70" t="n"/>
      <c r="C67" s="66">
        <f>IF($B$60="","",IFERROR(INDEX(FlCode,MATCH($B$60&amp;"|PM|3",FlKey,0)),""))</f>
        <v/>
      </c>
      <c r="D67" s="67">
        <f>IF($B$60="","",IFERROR(INDEX(FlTime,MATCH($B$60&amp;"|PM|3",FlKey,0))&amp;"",""))</f>
        <v/>
      </c>
      <c r="E67" s="70" t="n"/>
      <c r="F67" s="66">
        <f>IF($E$60="","",IFERROR(INDEX(FlCode,MATCH($E$60&amp;"|PM|3",FlKey,0)),""))</f>
        <v/>
      </c>
      <c r="G67" s="67">
        <f>IF($E$60="","",IFERROR(INDEX(FlTime,MATCH($E$60&amp;"|PM|3",FlKey,0))&amp;"",""))</f>
        <v/>
      </c>
      <c r="H67" s="70" t="n"/>
      <c r="I67" s="66">
        <f>IF($H$60="","",IFERROR(INDEX(FlCode,MATCH($H$60&amp;"|PM|3",FlKey,0)),""))</f>
        <v/>
      </c>
      <c r="J67" s="67">
        <f>IF($H$60="","",IFERROR(INDEX(FlTime,MATCH($H$60&amp;"|PM|3",FlKey,0))&amp;"",""))</f>
        <v/>
      </c>
      <c r="K67" s="70" t="n"/>
      <c r="L67" s="66">
        <f>IF($K$60="","",IFERROR(INDEX(FlCode,MATCH($K$60&amp;"|PM|3",FlKey,0)),""))</f>
        <v/>
      </c>
      <c r="M67" s="67">
        <f>IF($K$60="","",IFERROR(INDEX(FlTime,MATCH($K$60&amp;"|PM|3",FlKey,0))&amp;"",""))</f>
        <v/>
      </c>
      <c r="N67" s="70" t="n"/>
      <c r="O67" s="66">
        <f>IF($N$60="","",IFERROR(INDEX(FlCode,MATCH($N$60&amp;"|PM|3",FlKey,0)),""))</f>
        <v/>
      </c>
      <c r="P67" s="67">
        <f>IF($N$60="","",IFERROR(INDEX(FlTime,MATCH($N$60&amp;"|PM|3",FlKey,0))&amp;"",""))</f>
        <v/>
      </c>
      <c r="Q67" s="70" t="n"/>
      <c r="R67" s="66">
        <f>IF($Q$60="","",IFERROR(INDEX(FlCode,MATCH($Q$60&amp;"|PM|3",FlKey,0)),""))</f>
        <v/>
      </c>
      <c r="S67" s="67">
        <f>IF($Q$60="","",IFERROR(INDEX(FlTime,MATCH($Q$60&amp;"|PM|3",FlKey,0))&amp;"",""))</f>
        <v/>
      </c>
      <c r="T67" s="70" t="n"/>
      <c r="U67" s="66">
        <f>IF($T$60="","",IFERROR(INDEX(FlCode,MATCH($T$60&amp;"|PM|3",FlKey,0)),""))</f>
        <v/>
      </c>
      <c r="V67" s="67">
        <f>IF($T$60="","",IFERROR(INDEX(FlTime,MATCH($T$60&amp;"|PM|3",FlKey,0))&amp;"",""))</f>
        <v/>
      </c>
    </row>
    <row r="68" ht="14" customHeight="1">
      <c r="B68" s="71">
        <f>IF($B$60="","","NIGHT"&amp;IF(COUNTIFS(FlDate,$B$60,FlShift,"NIGHT",FlCode,"&lt;&gt;")&gt;3,CHAR(10)&amp;"+"&amp;(COUNTIFS(FlDate,$B$60,FlShift,"NIGHT",FlCode,"&lt;&gt;")-3)&amp;" more",""))</f>
        <v/>
      </c>
      <c r="C68" s="62">
        <f>IF($B$60="","",IFERROR(INDEX(FlCode,MATCH($B$60&amp;"|NIGHT|1",FlKey,0)),""))</f>
        <v/>
      </c>
      <c r="D68" s="63">
        <f>IF($B$60="","",IFERROR(INDEX(FlTime,MATCH($B$60&amp;"|NIGHT|1",FlKey,0))&amp;"",""))</f>
        <v/>
      </c>
      <c r="E68" s="71">
        <f>IF($E$60="","","NIGHT"&amp;IF(COUNTIFS(FlDate,$E$60,FlShift,"NIGHT",FlCode,"&lt;&gt;")&gt;3,CHAR(10)&amp;"+"&amp;(COUNTIFS(FlDate,$E$60,FlShift,"NIGHT",FlCode,"&lt;&gt;")-3)&amp;" more",""))</f>
        <v/>
      </c>
      <c r="F68" s="62">
        <f>IF($E$60="","",IFERROR(INDEX(FlCode,MATCH($E$60&amp;"|NIGHT|1",FlKey,0)),""))</f>
        <v/>
      </c>
      <c r="G68" s="63">
        <f>IF($E$60="","",IFERROR(INDEX(FlTime,MATCH($E$60&amp;"|NIGHT|1",FlKey,0))&amp;"",""))</f>
        <v/>
      </c>
      <c r="H68" s="71">
        <f>IF($H$60="","","NIGHT"&amp;IF(COUNTIFS(FlDate,$H$60,FlShift,"NIGHT",FlCode,"&lt;&gt;")&gt;3,CHAR(10)&amp;"+"&amp;(COUNTIFS(FlDate,$H$60,FlShift,"NIGHT",FlCode,"&lt;&gt;")-3)&amp;" more",""))</f>
        <v/>
      </c>
      <c r="I68" s="62">
        <f>IF($H$60="","",IFERROR(INDEX(FlCode,MATCH($H$60&amp;"|NIGHT|1",FlKey,0)),""))</f>
        <v/>
      </c>
      <c r="J68" s="63">
        <f>IF($H$60="","",IFERROR(INDEX(FlTime,MATCH($H$60&amp;"|NIGHT|1",FlKey,0))&amp;"",""))</f>
        <v/>
      </c>
      <c r="K68" s="71">
        <f>IF($K$60="","","NIGHT"&amp;IF(COUNTIFS(FlDate,$K$60,FlShift,"NIGHT",FlCode,"&lt;&gt;")&gt;3,CHAR(10)&amp;"+"&amp;(COUNTIFS(FlDate,$K$60,FlShift,"NIGHT",FlCode,"&lt;&gt;")-3)&amp;" more",""))</f>
        <v/>
      </c>
      <c r="L68" s="62">
        <f>IF($K$60="","",IFERROR(INDEX(FlCode,MATCH($K$60&amp;"|NIGHT|1",FlKey,0)),""))</f>
        <v/>
      </c>
      <c r="M68" s="63">
        <f>IF($K$60="","",IFERROR(INDEX(FlTime,MATCH($K$60&amp;"|NIGHT|1",FlKey,0))&amp;"",""))</f>
        <v/>
      </c>
      <c r="N68" s="71">
        <f>IF($N$60="","","NIGHT"&amp;IF(COUNTIFS(FlDate,$N$60,FlShift,"NIGHT",FlCode,"&lt;&gt;")&gt;3,CHAR(10)&amp;"+"&amp;(COUNTIFS(FlDate,$N$60,FlShift,"NIGHT",FlCode,"&lt;&gt;")-3)&amp;" more",""))</f>
        <v/>
      </c>
      <c r="O68" s="62">
        <f>IF($N$60="","",IFERROR(INDEX(FlCode,MATCH($N$60&amp;"|NIGHT|1",FlKey,0)),""))</f>
        <v/>
      </c>
      <c r="P68" s="63">
        <f>IF($N$60="","",IFERROR(INDEX(FlTime,MATCH($N$60&amp;"|NIGHT|1",FlKey,0))&amp;"",""))</f>
        <v/>
      </c>
      <c r="Q68" s="71">
        <f>IF($Q$60="","","NIGHT"&amp;IF(COUNTIFS(FlDate,$Q$60,FlShift,"NIGHT",FlCode,"&lt;&gt;")&gt;3,CHAR(10)&amp;"+"&amp;(COUNTIFS(FlDate,$Q$60,FlShift,"NIGHT",FlCode,"&lt;&gt;")-3)&amp;" more",""))</f>
        <v/>
      </c>
      <c r="R68" s="62">
        <f>IF($Q$60="","",IFERROR(INDEX(FlCode,MATCH($Q$60&amp;"|NIGHT|1",FlKey,0)),""))</f>
        <v/>
      </c>
      <c r="S68" s="63">
        <f>IF($Q$60="","",IFERROR(INDEX(FlTime,MATCH($Q$60&amp;"|NIGHT|1",FlKey,0))&amp;"",""))</f>
        <v/>
      </c>
      <c r="T68" s="71">
        <f>IF($T$60="","","NIGHT"&amp;IF(COUNTIFS(FlDate,$T$60,FlShift,"NIGHT",FlCode,"&lt;&gt;")&gt;3,CHAR(10)&amp;"+"&amp;(COUNTIFS(FlDate,$T$60,FlShift,"NIGHT",FlCode,"&lt;&gt;")-3)&amp;" more",""))</f>
        <v/>
      </c>
      <c r="U68" s="62">
        <f>IF($T$60="","",IFERROR(INDEX(FlCode,MATCH($T$60&amp;"|NIGHT|1",FlKey,0)),""))</f>
        <v/>
      </c>
      <c r="V68" s="63">
        <f>IF($T$60="","",IFERROR(INDEX(FlTime,MATCH($T$60&amp;"|NIGHT|1",FlKey,0))&amp;"",""))</f>
        <v/>
      </c>
    </row>
    <row r="69" ht="14" customHeight="1">
      <c r="B69" s="72" t="n"/>
      <c r="C69" s="62">
        <f>IF($B$60="","",IFERROR(INDEX(FlCode,MATCH($B$60&amp;"|NIGHT|2",FlKey,0)),""))</f>
        <v/>
      </c>
      <c r="D69" s="63">
        <f>IF($B$60="","",IFERROR(INDEX(FlTime,MATCH($B$60&amp;"|NIGHT|2",FlKey,0))&amp;"",""))</f>
        <v/>
      </c>
      <c r="E69" s="72" t="n"/>
      <c r="F69" s="62">
        <f>IF($E$60="","",IFERROR(INDEX(FlCode,MATCH($E$60&amp;"|NIGHT|2",FlKey,0)),""))</f>
        <v/>
      </c>
      <c r="G69" s="63">
        <f>IF($E$60="","",IFERROR(INDEX(FlTime,MATCH($E$60&amp;"|NIGHT|2",FlKey,0))&amp;"",""))</f>
        <v/>
      </c>
      <c r="H69" s="72" t="n"/>
      <c r="I69" s="62">
        <f>IF($H$60="","",IFERROR(INDEX(FlCode,MATCH($H$60&amp;"|NIGHT|2",FlKey,0)),""))</f>
        <v/>
      </c>
      <c r="J69" s="63">
        <f>IF($H$60="","",IFERROR(INDEX(FlTime,MATCH($H$60&amp;"|NIGHT|2",FlKey,0))&amp;"",""))</f>
        <v/>
      </c>
      <c r="K69" s="72" t="n"/>
      <c r="L69" s="62">
        <f>IF($K$60="","",IFERROR(INDEX(FlCode,MATCH($K$60&amp;"|NIGHT|2",FlKey,0)),""))</f>
        <v/>
      </c>
      <c r="M69" s="63">
        <f>IF($K$60="","",IFERROR(INDEX(FlTime,MATCH($K$60&amp;"|NIGHT|2",FlKey,0))&amp;"",""))</f>
        <v/>
      </c>
      <c r="N69" s="72" t="n"/>
      <c r="O69" s="62">
        <f>IF($N$60="","",IFERROR(INDEX(FlCode,MATCH($N$60&amp;"|NIGHT|2",FlKey,0)),""))</f>
        <v/>
      </c>
      <c r="P69" s="63">
        <f>IF($N$60="","",IFERROR(INDEX(FlTime,MATCH($N$60&amp;"|NIGHT|2",FlKey,0))&amp;"",""))</f>
        <v/>
      </c>
      <c r="Q69" s="72" t="n"/>
      <c r="R69" s="62">
        <f>IF($Q$60="","",IFERROR(INDEX(FlCode,MATCH($Q$60&amp;"|NIGHT|2",FlKey,0)),""))</f>
        <v/>
      </c>
      <c r="S69" s="63">
        <f>IF($Q$60="","",IFERROR(INDEX(FlTime,MATCH($Q$60&amp;"|NIGHT|2",FlKey,0))&amp;"",""))</f>
        <v/>
      </c>
      <c r="T69" s="72" t="n"/>
      <c r="U69" s="62">
        <f>IF($T$60="","",IFERROR(INDEX(FlCode,MATCH($T$60&amp;"|NIGHT|2",FlKey,0)),""))</f>
        <v/>
      </c>
      <c r="V69" s="63">
        <f>IF($T$60="","",IFERROR(INDEX(FlTime,MATCH($T$60&amp;"|NIGHT|2",FlKey,0))&amp;"",""))</f>
        <v/>
      </c>
    </row>
    <row r="70" ht="14" customHeight="1">
      <c r="B70" s="73" t="n"/>
      <c r="C70" s="74">
        <f>IF($B$60="","",IFERROR(INDEX(FlCode,MATCH($B$60&amp;"|NIGHT|3",FlKey,0)),""))</f>
        <v/>
      </c>
      <c r="D70" s="75">
        <f>IF($B$60="","",IFERROR(INDEX(FlTime,MATCH($B$60&amp;"|NIGHT|3",FlKey,0))&amp;"",""))</f>
        <v/>
      </c>
      <c r="E70" s="73" t="n"/>
      <c r="F70" s="74">
        <f>IF($E$60="","",IFERROR(INDEX(FlCode,MATCH($E$60&amp;"|NIGHT|3",FlKey,0)),""))</f>
        <v/>
      </c>
      <c r="G70" s="75">
        <f>IF($E$60="","",IFERROR(INDEX(FlTime,MATCH($E$60&amp;"|NIGHT|3",FlKey,0))&amp;"",""))</f>
        <v/>
      </c>
      <c r="H70" s="73" t="n"/>
      <c r="I70" s="74">
        <f>IF($H$60="","",IFERROR(INDEX(FlCode,MATCH($H$60&amp;"|NIGHT|3",FlKey,0)),""))</f>
        <v/>
      </c>
      <c r="J70" s="75">
        <f>IF($H$60="","",IFERROR(INDEX(FlTime,MATCH($H$60&amp;"|NIGHT|3",FlKey,0))&amp;"",""))</f>
        <v/>
      </c>
      <c r="K70" s="73" t="n"/>
      <c r="L70" s="74">
        <f>IF($K$60="","",IFERROR(INDEX(FlCode,MATCH($K$60&amp;"|NIGHT|3",FlKey,0)),""))</f>
        <v/>
      </c>
      <c r="M70" s="75">
        <f>IF($K$60="","",IFERROR(INDEX(FlTime,MATCH($K$60&amp;"|NIGHT|3",FlKey,0))&amp;"",""))</f>
        <v/>
      </c>
      <c r="N70" s="73" t="n"/>
      <c r="O70" s="74">
        <f>IF($N$60="","",IFERROR(INDEX(FlCode,MATCH($N$60&amp;"|NIGHT|3",FlKey,0)),""))</f>
        <v/>
      </c>
      <c r="P70" s="75">
        <f>IF($N$60="","",IFERROR(INDEX(FlTime,MATCH($N$60&amp;"|NIGHT|3",FlKey,0))&amp;"",""))</f>
        <v/>
      </c>
      <c r="Q70" s="73" t="n"/>
      <c r="R70" s="74">
        <f>IF($Q$60="","",IFERROR(INDEX(FlCode,MATCH($Q$60&amp;"|NIGHT|3",FlKey,0)),""))</f>
        <v/>
      </c>
      <c r="S70" s="75">
        <f>IF($Q$60="","",IFERROR(INDEX(FlTime,MATCH($Q$60&amp;"|NIGHT|3",FlKey,0))&amp;"",""))</f>
        <v/>
      </c>
      <c r="T70" s="73" t="n"/>
      <c r="U70" s="74">
        <f>IF($T$60="","",IFERROR(INDEX(FlCode,MATCH($T$60&amp;"|NIGHT|3",FlKey,0)),""))</f>
        <v/>
      </c>
      <c r="V70" s="75">
        <f>IF($T$60="","",IFERROR(INDEX(FlTime,MATCH($T$60&amp;"|NIGHT|3",FlKey,0))&amp;"",""))</f>
        <v/>
      </c>
    </row>
  </sheetData>
  <mergeCells count="222">
    <mergeCell ref="N57:N59"/>
    <mergeCell ref="K49:L49"/>
    <mergeCell ref="K57:K59"/>
    <mergeCell ref="Q4:S4"/>
    <mergeCell ref="T49:U49"/>
    <mergeCell ref="B68:B70"/>
    <mergeCell ref="N17:P17"/>
    <mergeCell ref="H17:J17"/>
    <mergeCell ref="E32:E34"/>
    <mergeCell ref="Q6:S6"/>
    <mergeCell ref="B28:D28"/>
    <mergeCell ref="E7:E9"/>
    <mergeCell ref="Q57:Q59"/>
    <mergeCell ref="N28:P28"/>
    <mergeCell ref="Q7:Q9"/>
    <mergeCell ref="B7:B9"/>
    <mergeCell ref="K24:K26"/>
    <mergeCell ref="K17:M17"/>
    <mergeCell ref="N5:O5"/>
    <mergeCell ref="B6:D6"/>
    <mergeCell ref="N7:N9"/>
    <mergeCell ref="T6:V6"/>
    <mergeCell ref="E18:E20"/>
    <mergeCell ref="H54:H56"/>
    <mergeCell ref="B62:B64"/>
    <mergeCell ref="B38:C38"/>
    <mergeCell ref="T28:V28"/>
    <mergeCell ref="Q43:Q45"/>
    <mergeCell ref="H29:H31"/>
    <mergeCell ref="N62:N64"/>
    <mergeCell ref="N38:O38"/>
    <mergeCell ref="B4:D4"/>
    <mergeCell ref="B21:B23"/>
    <mergeCell ref="E27:F27"/>
    <mergeCell ref="T29:T31"/>
    <mergeCell ref="E49:F49"/>
    <mergeCell ref="E51:E53"/>
    <mergeCell ref="N4:P4"/>
    <mergeCell ref="N46:N48"/>
    <mergeCell ref="Q27:R27"/>
    <mergeCell ref="Q49:R49"/>
    <mergeCell ref="B49:C49"/>
    <mergeCell ref="T65:T67"/>
    <mergeCell ref="H46:H48"/>
    <mergeCell ref="E35:E37"/>
    <mergeCell ref="H40:H42"/>
    <mergeCell ref="B57:B59"/>
    <mergeCell ref="Q35:Q37"/>
    <mergeCell ref="B10:B12"/>
    <mergeCell ref="H21:H23"/>
    <mergeCell ref="H51:H53"/>
    <mergeCell ref="T4:V4"/>
    <mergeCell ref="T21:T23"/>
    <mergeCell ref="T51:T53"/>
    <mergeCell ref="T27:U27"/>
    <mergeCell ref="H32:H34"/>
    <mergeCell ref="A2:V2"/>
    <mergeCell ref="H57:H59"/>
    <mergeCell ref="E28:G28"/>
    <mergeCell ref="B16:C16"/>
    <mergeCell ref="H7:H9"/>
    <mergeCell ref="N16:O16"/>
    <mergeCell ref="B17:D17"/>
    <mergeCell ref="E5:F5"/>
    <mergeCell ref="T7:T9"/>
    <mergeCell ref="N10:N12"/>
    <mergeCell ref="Q46:Q48"/>
    <mergeCell ref="B27:C27"/>
    <mergeCell ref="E6:G6"/>
    <mergeCell ref="H18:H20"/>
    <mergeCell ref="K10:K12"/>
    <mergeCell ref="E62:E64"/>
    <mergeCell ref="E38:F38"/>
    <mergeCell ref="B35:B37"/>
    <mergeCell ref="K7:K9"/>
    <mergeCell ref="Q38:R38"/>
    <mergeCell ref="E61:G61"/>
    <mergeCell ref="H49:I49"/>
    <mergeCell ref="E21:E23"/>
    <mergeCell ref="K65:K67"/>
    <mergeCell ref="T17:V17"/>
    <mergeCell ref="Q32:Q34"/>
    <mergeCell ref="Q61:S61"/>
    <mergeCell ref="K18:K20"/>
    <mergeCell ref="H35:H37"/>
    <mergeCell ref="K4:M4"/>
    <mergeCell ref="K21:K23"/>
    <mergeCell ref="T35:T37"/>
    <mergeCell ref="T62:T64"/>
    <mergeCell ref="E24:E26"/>
    <mergeCell ref="K51:K53"/>
    <mergeCell ref="K27:L27"/>
    <mergeCell ref="B46:B48"/>
    <mergeCell ref="Q24:Q26"/>
    <mergeCell ref="T39:V39"/>
    <mergeCell ref="K35:K37"/>
    <mergeCell ref="J3:K3"/>
    <mergeCell ref="E16:F16"/>
    <mergeCell ref="N21:N23"/>
    <mergeCell ref="Q51:Q53"/>
    <mergeCell ref="E10:E12"/>
    <mergeCell ref="H4:J4"/>
    <mergeCell ref="K43:K45"/>
    <mergeCell ref="E17:G17"/>
    <mergeCell ref="H5:I5"/>
    <mergeCell ref="B29:B31"/>
    <mergeCell ref="Q10:Q12"/>
    <mergeCell ref="B39:D39"/>
    <mergeCell ref="E65:E67"/>
    <mergeCell ref="H6:J6"/>
    <mergeCell ref="K16:L16"/>
    <mergeCell ref="T50:V50"/>
    <mergeCell ref="Q65:Q67"/>
    <mergeCell ref="N13:N15"/>
    <mergeCell ref="H38:I38"/>
    <mergeCell ref="B65:B67"/>
    <mergeCell ref="B40:B42"/>
    <mergeCell ref="Q50:S50"/>
    <mergeCell ref="T38:U38"/>
    <mergeCell ref="H61:J61"/>
    <mergeCell ref="K5:L5"/>
    <mergeCell ref="N65:N67"/>
    <mergeCell ref="K13:K15"/>
    <mergeCell ref="B24:B26"/>
    <mergeCell ref="H13:H15"/>
    <mergeCell ref="N40:N42"/>
    <mergeCell ref="H62:H64"/>
    <mergeCell ref="K60:L60"/>
    <mergeCell ref="T13:T15"/>
    <mergeCell ref="K62:K64"/>
    <mergeCell ref="B51:B53"/>
    <mergeCell ref="T43:T45"/>
    <mergeCell ref="Q5:R5"/>
    <mergeCell ref="H60:I60"/>
    <mergeCell ref="Q13:Q15"/>
    <mergeCell ref="H24:H26"/>
    <mergeCell ref="K61:M61"/>
    <mergeCell ref="K39:M39"/>
    <mergeCell ref="N51:N53"/>
    <mergeCell ref="B60:C60"/>
    <mergeCell ref="Q17:S17"/>
    <mergeCell ref="T24:T26"/>
    <mergeCell ref="T18:T20"/>
    <mergeCell ref="N35:N37"/>
    <mergeCell ref="K54:K56"/>
    <mergeCell ref="H16:I16"/>
    <mergeCell ref="B43:B45"/>
    <mergeCell ref="A1:V1"/>
    <mergeCell ref="Q21:Q23"/>
    <mergeCell ref="B50:D50"/>
    <mergeCell ref="H10:H12"/>
    <mergeCell ref="E29:E31"/>
    <mergeCell ref="H68:H70"/>
    <mergeCell ref="Q62:Q64"/>
    <mergeCell ref="T10:T12"/>
    <mergeCell ref="T60:U60"/>
    <mergeCell ref="N60:O60"/>
    <mergeCell ref="E13:E15"/>
    <mergeCell ref="K32:K34"/>
    <mergeCell ref="Q54:Q56"/>
    <mergeCell ref="K40:K42"/>
    <mergeCell ref="H50:J50"/>
    <mergeCell ref="B5:C5"/>
    <mergeCell ref="B13:B15"/>
    <mergeCell ref="N68:N70"/>
    <mergeCell ref="E4:G4"/>
    <mergeCell ref="H39:J39"/>
    <mergeCell ref="Q40:Q42"/>
    <mergeCell ref="Q16:R16"/>
    <mergeCell ref="K50:M50"/>
    <mergeCell ref="B61:D61"/>
    <mergeCell ref="H65:H67"/>
    <mergeCell ref="E57:E59"/>
    <mergeCell ref="N29:N31"/>
    <mergeCell ref="T5:U5"/>
    <mergeCell ref="E54:E56"/>
    <mergeCell ref="N61:P61"/>
    <mergeCell ref="N39:P39"/>
    <mergeCell ref="T46:T48"/>
    <mergeCell ref="B54:B56"/>
    <mergeCell ref="N54:N56"/>
    <mergeCell ref="H28:J28"/>
    <mergeCell ref="E43:E45"/>
    <mergeCell ref="T61:V61"/>
    <mergeCell ref="N24:N26"/>
    <mergeCell ref="T57:T59"/>
    <mergeCell ref="K68:K70"/>
    <mergeCell ref="E60:F60"/>
    <mergeCell ref="B32:B34"/>
    <mergeCell ref="G3:H3"/>
    <mergeCell ref="N6:P6"/>
    <mergeCell ref="T32:T34"/>
    <mergeCell ref="Q18:Q20"/>
    <mergeCell ref="N32:N34"/>
    <mergeCell ref="T54:T56"/>
    <mergeCell ref="Q60:R60"/>
    <mergeCell ref="E68:E70"/>
    <mergeCell ref="K28:M28"/>
    <mergeCell ref="K6:M6"/>
    <mergeCell ref="H43:H45"/>
    <mergeCell ref="Q68:Q70"/>
    <mergeCell ref="E50:G50"/>
    <mergeCell ref="K29:K31"/>
    <mergeCell ref="B18:B20"/>
    <mergeCell ref="H27:I27"/>
    <mergeCell ref="Q28:S28"/>
    <mergeCell ref="B3:D3"/>
    <mergeCell ref="T16:U16"/>
    <mergeCell ref="N43:N45"/>
    <mergeCell ref="N18:N20"/>
    <mergeCell ref="T40:T42"/>
    <mergeCell ref="N50:P50"/>
    <mergeCell ref="K38:L38"/>
    <mergeCell ref="E39:G39"/>
    <mergeCell ref="Q29:Q31"/>
    <mergeCell ref="T68:T70"/>
    <mergeCell ref="K46:K48"/>
    <mergeCell ref="Q39:S39"/>
    <mergeCell ref="N27:O27"/>
    <mergeCell ref="N49:O49"/>
    <mergeCell ref="E46:E48"/>
    <mergeCell ref="E40:E42"/>
  </mergeCells>
  <conditionalFormatting sqref="B5:D15">
    <cfRule type="expression" priority="1" dxfId="2" stopIfTrue="1">
      <formula>$B$5=""</formula>
    </cfRule>
  </conditionalFormatting>
  <conditionalFormatting sqref="B6">
    <cfRule type="expression" priority="2" dxfId="3" stopIfTrue="1">
      <formula>IFERROR(INDEX(DayStat,$B$5-DATE(PlanYear,1,1)+1)&amp;"","")&lt;&gt;""</formula>
    </cfRule>
    <cfRule type="expression" priority="3" dxfId="4">
      <formula>$B$6&lt;&gt;""</formula>
    </cfRule>
  </conditionalFormatting>
  <conditionalFormatting sqref="C7:C9">
    <cfRule type="expression" priority="4" dxfId="5" stopIfTrue="1">
      <formula>AND(C7&lt;&gt;"",IFERROR(INDEX(DayStat,$B$5-DATE(PlanYear,1,1)+1)&amp;"","")&lt;&gt;"")</formula>
    </cfRule>
    <cfRule type="expression" priority="5" dxfId="6">
      <formula>C7&lt;&gt;""</formula>
    </cfRule>
  </conditionalFormatting>
  <conditionalFormatting sqref="C10:C12">
    <cfRule type="expression" priority="6" dxfId="5" stopIfTrue="1">
      <formula>AND(C10&lt;&gt;"",IFERROR(INDEX(DayStat,$B$5-DATE(PlanYear,1,1)+1)&amp;"","")&lt;&gt;"")</formula>
    </cfRule>
    <cfRule type="expression" priority="7" dxfId="6">
      <formula>C10&lt;&gt;""</formula>
    </cfRule>
  </conditionalFormatting>
  <conditionalFormatting sqref="C13:C15">
    <cfRule type="expression" priority="8" dxfId="5" stopIfTrue="1">
      <formula>AND(C13&lt;&gt;"",IFERROR(INDEX(DayStat,$B$5-DATE(PlanYear,1,1)+1)&amp;"","")&lt;&gt;"")</formula>
    </cfRule>
    <cfRule type="expression" priority="9" dxfId="6">
      <formula>C13&lt;&gt;""</formula>
    </cfRule>
  </conditionalFormatting>
  <conditionalFormatting sqref="B7:D15">
    <cfRule type="expression" priority="10" dxfId="7">
      <formula>IFERROR(INDEX(DayStat,$B$5-DATE(PlanYear,1,1)+1)&amp;"","")&lt;&gt;""</formula>
    </cfRule>
  </conditionalFormatting>
  <conditionalFormatting sqref="E5:G15">
    <cfRule type="expression" priority="11" dxfId="2" stopIfTrue="1">
      <formula>$E$5=""</formula>
    </cfRule>
  </conditionalFormatting>
  <conditionalFormatting sqref="E6">
    <cfRule type="expression" priority="12" dxfId="3" stopIfTrue="1">
      <formula>IFERROR(INDEX(DayStat,$E$5-DATE(PlanYear,1,1)+1)&amp;"","")&lt;&gt;""</formula>
    </cfRule>
    <cfRule type="expression" priority="13" dxfId="4">
      <formula>$E$6&lt;&gt;""</formula>
    </cfRule>
  </conditionalFormatting>
  <conditionalFormatting sqref="F7:F9">
    <cfRule type="expression" priority="14" dxfId="5" stopIfTrue="1">
      <formula>AND(F7&lt;&gt;"",IFERROR(INDEX(DayStat,$E$5-DATE(PlanYear,1,1)+1)&amp;"","")&lt;&gt;"")</formula>
    </cfRule>
    <cfRule type="expression" priority="15" dxfId="6">
      <formula>F7&lt;&gt;""</formula>
    </cfRule>
  </conditionalFormatting>
  <conditionalFormatting sqref="F10:F12">
    <cfRule type="expression" priority="16" dxfId="5" stopIfTrue="1">
      <formula>AND(F10&lt;&gt;"",IFERROR(INDEX(DayStat,$E$5-DATE(PlanYear,1,1)+1)&amp;"","")&lt;&gt;"")</formula>
    </cfRule>
    <cfRule type="expression" priority="17" dxfId="6">
      <formula>F10&lt;&gt;""</formula>
    </cfRule>
  </conditionalFormatting>
  <conditionalFormatting sqref="F13:F15">
    <cfRule type="expression" priority="18" dxfId="5" stopIfTrue="1">
      <formula>AND(F13&lt;&gt;"",IFERROR(INDEX(DayStat,$E$5-DATE(PlanYear,1,1)+1)&amp;"","")&lt;&gt;"")</formula>
    </cfRule>
    <cfRule type="expression" priority="19" dxfId="6">
      <formula>F13&lt;&gt;""</formula>
    </cfRule>
  </conditionalFormatting>
  <conditionalFormatting sqref="E7:G15">
    <cfRule type="expression" priority="20" dxfId="7">
      <formula>IFERROR(INDEX(DayStat,$E$5-DATE(PlanYear,1,1)+1)&amp;"","")&lt;&gt;""</formula>
    </cfRule>
  </conditionalFormatting>
  <conditionalFormatting sqref="H5:J15">
    <cfRule type="expression" priority="21" dxfId="2" stopIfTrue="1">
      <formula>$H$5=""</formula>
    </cfRule>
  </conditionalFormatting>
  <conditionalFormatting sqref="H6">
    <cfRule type="expression" priority="22" dxfId="3" stopIfTrue="1">
      <formula>IFERROR(INDEX(DayStat,$H$5-DATE(PlanYear,1,1)+1)&amp;"","")&lt;&gt;""</formula>
    </cfRule>
    <cfRule type="expression" priority="23" dxfId="4">
      <formula>$H$6&lt;&gt;""</formula>
    </cfRule>
  </conditionalFormatting>
  <conditionalFormatting sqref="I7:I9">
    <cfRule type="expression" priority="24" dxfId="5" stopIfTrue="1">
      <formula>AND(I7&lt;&gt;"",IFERROR(INDEX(DayStat,$H$5-DATE(PlanYear,1,1)+1)&amp;"","")&lt;&gt;"")</formula>
    </cfRule>
    <cfRule type="expression" priority="25" dxfId="6">
      <formula>I7&lt;&gt;""</formula>
    </cfRule>
  </conditionalFormatting>
  <conditionalFormatting sqref="I10:I12">
    <cfRule type="expression" priority="26" dxfId="5" stopIfTrue="1">
      <formula>AND(I10&lt;&gt;"",IFERROR(INDEX(DayStat,$H$5-DATE(PlanYear,1,1)+1)&amp;"","")&lt;&gt;"")</formula>
    </cfRule>
    <cfRule type="expression" priority="27" dxfId="6">
      <formula>I10&lt;&gt;""</formula>
    </cfRule>
  </conditionalFormatting>
  <conditionalFormatting sqref="I13:I15">
    <cfRule type="expression" priority="28" dxfId="5" stopIfTrue="1">
      <formula>AND(I13&lt;&gt;"",IFERROR(INDEX(DayStat,$H$5-DATE(PlanYear,1,1)+1)&amp;"","")&lt;&gt;"")</formula>
    </cfRule>
    <cfRule type="expression" priority="29" dxfId="6">
      <formula>I13&lt;&gt;""</formula>
    </cfRule>
  </conditionalFormatting>
  <conditionalFormatting sqref="H7:J15">
    <cfRule type="expression" priority="30" dxfId="7">
      <formula>IFERROR(INDEX(DayStat,$H$5-DATE(PlanYear,1,1)+1)&amp;"","")&lt;&gt;""</formula>
    </cfRule>
  </conditionalFormatting>
  <conditionalFormatting sqref="K5:M15">
    <cfRule type="expression" priority="31" dxfId="2" stopIfTrue="1">
      <formula>$K$5=""</formula>
    </cfRule>
  </conditionalFormatting>
  <conditionalFormatting sqref="K6">
    <cfRule type="expression" priority="32" dxfId="3" stopIfTrue="1">
      <formula>IFERROR(INDEX(DayStat,$K$5-DATE(PlanYear,1,1)+1)&amp;"","")&lt;&gt;""</formula>
    </cfRule>
    <cfRule type="expression" priority="33" dxfId="4">
      <formula>$K$6&lt;&gt;""</formula>
    </cfRule>
  </conditionalFormatting>
  <conditionalFormatting sqref="L7:L9">
    <cfRule type="expression" priority="34" dxfId="5" stopIfTrue="1">
      <formula>AND(L7&lt;&gt;"",IFERROR(INDEX(DayStat,$K$5-DATE(PlanYear,1,1)+1)&amp;"","")&lt;&gt;"")</formula>
    </cfRule>
    <cfRule type="expression" priority="35" dxfId="6">
      <formula>L7&lt;&gt;""</formula>
    </cfRule>
  </conditionalFormatting>
  <conditionalFormatting sqref="L10:L12">
    <cfRule type="expression" priority="36" dxfId="5" stopIfTrue="1">
      <formula>AND(L10&lt;&gt;"",IFERROR(INDEX(DayStat,$K$5-DATE(PlanYear,1,1)+1)&amp;"","")&lt;&gt;"")</formula>
    </cfRule>
    <cfRule type="expression" priority="37" dxfId="6">
      <formula>L10&lt;&gt;""</formula>
    </cfRule>
  </conditionalFormatting>
  <conditionalFormatting sqref="L13:L15">
    <cfRule type="expression" priority="38" dxfId="5" stopIfTrue="1">
      <formula>AND(L13&lt;&gt;"",IFERROR(INDEX(DayStat,$K$5-DATE(PlanYear,1,1)+1)&amp;"","")&lt;&gt;"")</formula>
    </cfRule>
    <cfRule type="expression" priority="39" dxfId="6">
      <formula>L13&lt;&gt;""</formula>
    </cfRule>
  </conditionalFormatting>
  <conditionalFormatting sqref="K7:M15">
    <cfRule type="expression" priority="40" dxfId="7">
      <formula>IFERROR(INDEX(DayStat,$K$5-DATE(PlanYear,1,1)+1)&amp;"","")&lt;&gt;""</formula>
    </cfRule>
  </conditionalFormatting>
  <conditionalFormatting sqref="N5:P15">
    <cfRule type="expression" priority="41" dxfId="2" stopIfTrue="1">
      <formula>$N$5=""</formula>
    </cfRule>
  </conditionalFormatting>
  <conditionalFormatting sqref="N6">
    <cfRule type="expression" priority="42" dxfId="3" stopIfTrue="1">
      <formula>IFERROR(INDEX(DayStat,$N$5-DATE(PlanYear,1,1)+1)&amp;"","")&lt;&gt;""</formula>
    </cfRule>
    <cfRule type="expression" priority="43" dxfId="4">
      <formula>$N$6&lt;&gt;""</formula>
    </cfRule>
  </conditionalFormatting>
  <conditionalFormatting sqref="O7:O9">
    <cfRule type="expression" priority="44" dxfId="5" stopIfTrue="1">
      <formula>AND(O7&lt;&gt;"",IFERROR(INDEX(DayStat,$N$5-DATE(PlanYear,1,1)+1)&amp;"","")&lt;&gt;"")</formula>
    </cfRule>
    <cfRule type="expression" priority="45" dxfId="6">
      <formula>O7&lt;&gt;""</formula>
    </cfRule>
  </conditionalFormatting>
  <conditionalFormatting sqref="O10:O12">
    <cfRule type="expression" priority="46" dxfId="5" stopIfTrue="1">
      <formula>AND(O10&lt;&gt;"",IFERROR(INDEX(DayStat,$N$5-DATE(PlanYear,1,1)+1)&amp;"","")&lt;&gt;"")</formula>
    </cfRule>
    <cfRule type="expression" priority="47" dxfId="6">
      <formula>O10&lt;&gt;""</formula>
    </cfRule>
  </conditionalFormatting>
  <conditionalFormatting sqref="O13:O15">
    <cfRule type="expression" priority="48" dxfId="5" stopIfTrue="1">
      <formula>AND(O13&lt;&gt;"",IFERROR(INDEX(DayStat,$N$5-DATE(PlanYear,1,1)+1)&amp;"","")&lt;&gt;"")</formula>
    </cfRule>
    <cfRule type="expression" priority="49" dxfId="6">
      <formula>O13&lt;&gt;""</formula>
    </cfRule>
  </conditionalFormatting>
  <conditionalFormatting sqref="N7:P15">
    <cfRule type="expression" priority="50" dxfId="7">
      <formula>IFERROR(INDEX(DayStat,$N$5-DATE(PlanYear,1,1)+1)&amp;"","")&lt;&gt;""</formula>
    </cfRule>
  </conditionalFormatting>
  <conditionalFormatting sqref="Q5:S15">
    <cfRule type="expression" priority="51" dxfId="2" stopIfTrue="1">
      <formula>$Q$5=""</formula>
    </cfRule>
  </conditionalFormatting>
  <conditionalFormatting sqref="Q6">
    <cfRule type="expression" priority="52" dxfId="3" stopIfTrue="1">
      <formula>IFERROR(INDEX(DayStat,$Q$5-DATE(PlanYear,1,1)+1)&amp;"","")&lt;&gt;""</formula>
    </cfRule>
    <cfRule type="expression" priority="53" dxfId="4">
      <formula>$Q$6&lt;&gt;""</formula>
    </cfRule>
  </conditionalFormatting>
  <conditionalFormatting sqref="R7:R9">
    <cfRule type="expression" priority="54" dxfId="5" stopIfTrue="1">
      <formula>AND(R7&lt;&gt;"",IFERROR(INDEX(DayStat,$Q$5-DATE(PlanYear,1,1)+1)&amp;"","")&lt;&gt;"")</formula>
    </cfRule>
    <cfRule type="expression" priority="55" dxfId="6">
      <formula>R7&lt;&gt;""</formula>
    </cfRule>
  </conditionalFormatting>
  <conditionalFormatting sqref="R10:R12">
    <cfRule type="expression" priority="56" dxfId="5" stopIfTrue="1">
      <formula>AND(R10&lt;&gt;"",IFERROR(INDEX(DayStat,$Q$5-DATE(PlanYear,1,1)+1)&amp;"","")&lt;&gt;"")</formula>
    </cfRule>
    <cfRule type="expression" priority="57" dxfId="6">
      <formula>R10&lt;&gt;""</formula>
    </cfRule>
  </conditionalFormatting>
  <conditionalFormatting sqref="R13:R15">
    <cfRule type="expression" priority="58" dxfId="5" stopIfTrue="1">
      <formula>AND(R13&lt;&gt;"",IFERROR(INDEX(DayStat,$Q$5-DATE(PlanYear,1,1)+1)&amp;"","")&lt;&gt;"")</formula>
    </cfRule>
    <cfRule type="expression" priority="59" dxfId="6">
      <formula>R13&lt;&gt;""</formula>
    </cfRule>
  </conditionalFormatting>
  <conditionalFormatting sqref="Q7:S15">
    <cfRule type="expression" priority="60" dxfId="7">
      <formula>IFERROR(INDEX(DayStat,$Q$5-DATE(PlanYear,1,1)+1)&amp;"","")&lt;&gt;""</formula>
    </cfRule>
  </conditionalFormatting>
  <conditionalFormatting sqref="T5:V15">
    <cfRule type="expression" priority="61" dxfId="2" stopIfTrue="1">
      <formula>$T$5=""</formula>
    </cfRule>
  </conditionalFormatting>
  <conditionalFormatting sqref="T6">
    <cfRule type="expression" priority="62" dxfId="3" stopIfTrue="1">
      <formula>IFERROR(INDEX(DayStat,$T$5-DATE(PlanYear,1,1)+1)&amp;"","")&lt;&gt;""</formula>
    </cfRule>
    <cfRule type="expression" priority="63" dxfId="4">
      <formula>$T$6&lt;&gt;""</formula>
    </cfRule>
  </conditionalFormatting>
  <conditionalFormatting sqref="U7:U9">
    <cfRule type="expression" priority="64" dxfId="5" stopIfTrue="1">
      <formula>AND(U7&lt;&gt;"",IFERROR(INDEX(DayStat,$T$5-DATE(PlanYear,1,1)+1)&amp;"","")&lt;&gt;"")</formula>
    </cfRule>
    <cfRule type="expression" priority="65" dxfId="6">
      <formula>U7&lt;&gt;""</formula>
    </cfRule>
  </conditionalFormatting>
  <conditionalFormatting sqref="U10:U12">
    <cfRule type="expression" priority="66" dxfId="5" stopIfTrue="1">
      <formula>AND(U10&lt;&gt;"",IFERROR(INDEX(DayStat,$T$5-DATE(PlanYear,1,1)+1)&amp;"","")&lt;&gt;"")</formula>
    </cfRule>
    <cfRule type="expression" priority="67" dxfId="6">
      <formula>U10&lt;&gt;""</formula>
    </cfRule>
  </conditionalFormatting>
  <conditionalFormatting sqref="U13:U15">
    <cfRule type="expression" priority="68" dxfId="5" stopIfTrue="1">
      <formula>AND(U13&lt;&gt;"",IFERROR(INDEX(DayStat,$T$5-DATE(PlanYear,1,1)+1)&amp;"","")&lt;&gt;"")</formula>
    </cfRule>
    <cfRule type="expression" priority="69" dxfId="6">
      <formula>U13&lt;&gt;""</formula>
    </cfRule>
  </conditionalFormatting>
  <conditionalFormatting sqref="T7:V15">
    <cfRule type="expression" priority="70" dxfId="7">
      <formula>IFERROR(INDEX(DayStat,$T$5-DATE(PlanYear,1,1)+1)&amp;"","")&lt;&gt;""</formula>
    </cfRule>
  </conditionalFormatting>
  <conditionalFormatting sqref="B16:D26">
    <cfRule type="expression" priority="71" dxfId="2" stopIfTrue="1">
      <formula>$B$16=""</formula>
    </cfRule>
  </conditionalFormatting>
  <conditionalFormatting sqref="B17">
    <cfRule type="expression" priority="72" dxfId="3" stopIfTrue="1">
      <formula>IFERROR(INDEX(DayStat,$B$16-DATE(PlanYear,1,1)+1)&amp;"","")&lt;&gt;""</formula>
    </cfRule>
    <cfRule type="expression" priority="73" dxfId="4">
      <formula>$B$17&lt;&gt;""</formula>
    </cfRule>
  </conditionalFormatting>
  <conditionalFormatting sqref="C18:C20">
    <cfRule type="expression" priority="74" dxfId="5" stopIfTrue="1">
      <formula>AND(C18&lt;&gt;"",IFERROR(INDEX(DayStat,$B$16-DATE(PlanYear,1,1)+1)&amp;"","")&lt;&gt;"")</formula>
    </cfRule>
    <cfRule type="expression" priority="75" dxfId="6">
      <formula>C18&lt;&gt;""</formula>
    </cfRule>
  </conditionalFormatting>
  <conditionalFormatting sqref="C21:C23">
    <cfRule type="expression" priority="76" dxfId="5" stopIfTrue="1">
      <formula>AND(C21&lt;&gt;"",IFERROR(INDEX(DayStat,$B$16-DATE(PlanYear,1,1)+1)&amp;"","")&lt;&gt;"")</formula>
    </cfRule>
    <cfRule type="expression" priority="77" dxfId="6">
      <formula>C21&lt;&gt;""</formula>
    </cfRule>
  </conditionalFormatting>
  <conditionalFormatting sqref="C24:C26">
    <cfRule type="expression" priority="78" dxfId="5" stopIfTrue="1">
      <formula>AND(C24&lt;&gt;"",IFERROR(INDEX(DayStat,$B$16-DATE(PlanYear,1,1)+1)&amp;"","")&lt;&gt;"")</formula>
    </cfRule>
    <cfRule type="expression" priority="79" dxfId="6">
      <formula>C24&lt;&gt;""</formula>
    </cfRule>
  </conditionalFormatting>
  <conditionalFormatting sqref="B18:D26">
    <cfRule type="expression" priority="80" dxfId="7">
      <formula>IFERROR(INDEX(DayStat,$B$16-DATE(PlanYear,1,1)+1)&amp;"","")&lt;&gt;""</formula>
    </cfRule>
  </conditionalFormatting>
  <conditionalFormatting sqref="E16:G26">
    <cfRule type="expression" priority="81" dxfId="2" stopIfTrue="1">
      <formula>$E$16=""</formula>
    </cfRule>
  </conditionalFormatting>
  <conditionalFormatting sqref="E17">
    <cfRule type="expression" priority="82" dxfId="3" stopIfTrue="1">
      <formula>IFERROR(INDEX(DayStat,$E$16-DATE(PlanYear,1,1)+1)&amp;"","")&lt;&gt;""</formula>
    </cfRule>
    <cfRule type="expression" priority="83" dxfId="4">
      <formula>$E$17&lt;&gt;""</formula>
    </cfRule>
  </conditionalFormatting>
  <conditionalFormatting sqref="F18:F20">
    <cfRule type="expression" priority="84" dxfId="5" stopIfTrue="1">
      <formula>AND(F18&lt;&gt;"",IFERROR(INDEX(DayStat,$E$16-DATE(PlanYear,1,1)+1)&amp;"","")&lt;&gt;"")</formula>
    </cfRule>
    <cfRule type="expression" priority="85" dxfId="6">
      <formula>F18&lt;&gt;""</formula>
    </cfRule>
  </conditionalFormatting>
  <conditionalFormatting sqref="F21:F23">
    <cfRule type="expression" priority="86" dxfId="5" stopIfTrue="1">
      <formula>AND(F21&lt;&gt;"",IFERROR(INDEX(DayStat,$E$16-DATE(PlanYear,1,1)+1)&amp;"","")&lt;&gt;"")</formula>
    </cfRule>
    <cfRule type="expression" priority="87" dxfId="6">
      <formula>F21&lt;&gt;""</formula>
    </cfRule>
  </conditionalFormatting>
  <conditionalFormatting sqref="F24:F26">
    <cfRule type="expression" priority="88" dxfId="5" stopIfTrue="1">
      <formula>AND(F24&lt;&gt;"",IFERROR(INDEX(DayStat,$E$16-DATE(PlanYear,1,1)+1)&amp;"","")&lt;&gt;"")</formula>
    </cfRule>
    <cfRule type="expression" priority="89" dxfId="6">
      <formula>F24&lt;&gt;""</formula>
    </cfRule>
  </conditionalFormatting>
  <conditionalFormatting sqref="E18:G26">
    <cfRule type="expression" priority="90" dxfId="7">
      <formula>IFERROR(INDEX(DayStat,$E$16-DATE(PlanYear,1,1)+1)&amp;"","")&lt;&gt;""</formula>
    </cfRule>
  </conditionalFormatting>
  <conditionalFormatting sqref="H16:J26">
    <cfRule type="expression" priority="91" dxfId="2" stopIfTrue="1">
      <formula>$H$16=""</formula>
    </cfRule>
  </conditionalFormatting>
  <conditionalFormatting sqref="H17">
    <cfRule type="expression" priority="92" dxfId="3" stopIfTrue="1">
      <formula>IFERROR(INDEX(DayStat,$H$16-DATE(PlanYear,1,1)+1)&amp;"","")&lt;&gt;""</formula>
    </cfRule>
    <cfRule type="expression" priority="93" dxfId="4">
      <formula>$H$17&lt;&gt;""</formula>
    </cfRule>
  </conditionalFormatting>
  <conditionalFormatting sqref="I18:I20">
    <cfRule type="expression" priority="94" dxfId="5" stopIfTrue="1">
      <formula>AND(I18&lt;&gt;"",IFERROR(INDEX(DayStat,$H$16-DATE(PlanYear,1,1)+1)&amp;"","")&lt;&gt;"")</formula>
    </cfRule>
    <cfRule type="expression" priority="95" dxfId="6">
      <formula>I18&lt;&gt;""</formula>
    </cfRule>
  </conditionalFormatting>
  <conditionalFormatting sqref="I21:I23">
    <cfRule type="expression" priority="96" dxfId="5" stopIfTrue="1">
      <formula>AND(I21&lt;&gt;"",IFERROR(INDEX(DayStat,$H$16-DATE(PlanYear,1,1)+1)&amp;"","")&lt;&gt;"")</formula>
    </cfRule>
    <cfRule type="expression" priority="97" dxfId="6">
      <formula>I21&lt;&gt;""</formula>
    </cfRule>
  </conditionalFormatting>
  <conditionalFormatting sqref="I24:I26">
    <cfRule type="expression" priority="98" dxfId="5" stopIfTrue="1">
      <formula>AND(I24&lt;&gt;"",IFERROR(INDEX(DayStat,$H$16-DATE(PlanYear,1,1)+1)&amp;"","")&lt;&gt;"")</formula>
    </cfRule>
    <cfRule type="expression" priority="99" dxfId="6">
      <formula>I24&lt;&gt;""</formula>
    </cfRule>
  </conditionalFormatting>
  <conditionalFormatting sqref="H18:J26">
    <cfRule type="expression" priority="100" dxfId="7">
      <formula>IFERROR(INDEX(DayStat,$H$16-DATE(PlanYear,1,1)+1)&amp;"","")&lt;&gt;""</formula>
    </cfRule>
  </conditionalFormatting>
  <conditionalFormatting sqref="K16:M26">
    <cfRule type="expression" priority="101" dxfId="2" stopIfTrue="1">
      <formula>$K$16=""</formula>
    </cfRule>
  </conditionalFormatting>
  <conditionalFormatting sqref="K17">
    <cfRule type="expression" priority="102" dxfId="3" stopIfTrue="1">
      <formula>IFERROR(INDEX(DayStat,$K$16-DATE(PlanYear,1,1)+1)&amp;"","")&lt;&gt;""</formula>
    </cfRule>
    <cfRule type="expression" priority="103" dxfId="4">
      <formula>$K$17&lt;&gt;""</formula>
    </cfRule>
  </conditionalFormatting>
  <conditionalFormatting sqref="L18:L20">
    <cfRule type="expression" priority="104" dxfId="5" stopIfTrue="1">
      <formula>AND(L18&lt;&gt;"",IFERROR(INDEX(DayStat,$K$16-DATE(PlanYear,1,1)+1)&amp;"","")&lt;&gt;"")</formula>
    </cfRule>
    <cfRule type="expression" priority="105" dxfId="6">
      <formula>L18&lt;&gt;""</formula>
    </cfRule>
  </conditionalFormatting>
  <conditionalFormatting sqref="L21:L23">
    <cfRule type="expression" priority="106" dxfId="5" stopIfTrue="1">
      <formula>AND(L21&lt;&gt;"",IFERROR(INDEX(DayStat,$K$16-DATE(PlanYear,1,1)+1)&amp;"","")&lt;&gt;"")</formula>
    </cfRule>
    <cfRule type="expression" priority="107" dxfId="6">
      <formula>L21&lt;&gt;""</formula>
    </cfRule>
  </conditionalFormatting>
  <conditionalFormatting sqref="L24:L26">
    <cfRule type="expression" priority="108" dxfId="5" stopIfTrue="1">
      <formula>AND(L24&lt;&gt;"",IFERROR(INDEX(DayStat,$K$16-DATE(PlanYear,1,1)+1)&amp;"","")&lt;&gt;"")</formula>
    </cfRule>
    <cfRule type="expression" priority="109" dxfId="6">
      <formula>L24&lt;&gt;""</formula>
    </cfRule>
  </conditionalFormatting>
  <conditionalFormatting sqref="K18:M26">
    <cfRule type="expression" priority="110" dxfId="7">
      <formula>IFERROR(INDEX(DayStat,$K$16-DATE(PlanYear,1,1)+1)&amp;"","")&lt;&gt;""</formula>
    </cfRule>
  </conditionalFormatting>
  <conditionalFormatting sqref="N16:P26">
    <cfRule type="expression" priority="111" dxfId="2" stopIfTrue="1">
      <formula>$N$16=""</formula>
    </cfRule>
  </conditionalFormatting>
  <conditionalFormatting sqref="N17">
    <cfRule type="expression" priority="112" dxfId="3" stopIfTrue="1">
      <formula>IFERROR(INDEX(DayStat,$N$16-DATE(PlanYear,1,1)+1)&amp;"","")&lt;&gt;""</formula>
    </cfRule>
    <cfRule type="expression" priority="113" dxfId="4">
      <formula>$N$17&lt;&gt;""</formula>
    </cfRule>
  </conditionalFormatting>
  <conditionalFormatting sqref="O18:O20">
    <cfRule type="expression" priority="114" dxfId="5" stopIfTrue="1">
      <formula>AND(O18&lt;&gt;"",IFERROR(INDEX(DayStat,$N$16-DATE(PlanYear,1,1)+1)&amp;"","")&lt;&gt;"")</formula>
    </cfRule>
    <cfRule type="expression" priority="115" dxfId="6">
      <formula>O18&lt;&gt;""</formula>
    </cfRule>
  </conditionalFormatting>
  <conditionalFormatting sqref="O21:O23">
    <cfRule type="expression" priority="116" dxfId="5" stopIfTrue="1">
      <formula>AND(O21&lt;&gt;"",IFERROR(INDEX(DayStat,$N$16-DATE(PlanYear,1,1)+1)&amp;"","")&lt;&gt;"")</formula>
    </cfRule>
    <cfRule type="expression" priority="117" dxfId="6">
      <formula>O21&lt;&gt;""</formula>
    </cfRule>
  </conditionalFormatting>
  <conditionalFormatting sqref="O24:O26">
    <cfRule type="expression" priority="118" dxfId="5" stopIfTrue="1">
      <formula>AND(O24&lt;&gt;"",IFERROR(INDEX(DayStat,$N$16-DATE(PlanYear,1,1)+1)&amp;"","")&lt;&gt;"")</formula>
    </cfRule>
    <cfRule type="expression" priority="119" dxfId="6">
      <formula>O24&lt;&gt;""</formula>
    </cfRule>
  </conditionalFormatting>
  <conditionalFormatting sqref="N18:P26">
    <cfRule type="expression" priority="120" dxfId="7">
      <formula>IFERROR(INDEX(DayStat,$N$16-DATE(PlanYear,1,1)+1)&amp;"","")&lt;&gt;""</formula>
    </cfRule>
  </conditionalFormatting>
  <conditionalFormatting sqref="Q16:S26">
    <cfRule type="expression" priority="121" dxfId="2" stopIfTrue="1">
      <formula>$Q$16=""</formula>
    </cfRule>
  </conditionalFormatting>
  <conditionalFormatting sqref="Q17">
    <cfRule type="expression" priority="122" dxfId="3" stopIfTrue="1">
      <formula>IFERROR(INDEX(DayStat,$Q$16-DATE(PlanYear,1,1)+1)&amp;"","")&lt;&gt;""</formula>
    </cfRule>
    <cfRule type="expression" priority="123" dxfId="4">
      <formula>$Q$17&lt;&gt;""</formula>
    </cfRule>
  </conditionalFormatting>
  <conditionalFormatting sqref="R18:R20">
    <cfRule type="expression" priority="124" dxfId="5" stopIfTrue="1">
      <formula>AND(R18&lt;&gt;"",IFERROR(INDEX(DayStat,$Q$16-DATE(PlanYear,1,1)+1)&amp;"","")&lt;&gt;"")</formula>
    </cfRule>
    <cfRule type="expression" priority="125" dxfId="6">
      <formula>R18&lt;&gt;""</formula>
    </cfRule>
  </conditionalFormatting>
  <conditionalFormatting sqref="R21:R23">
    <cfRule type="expression" priority="126" dxfId="5" stopIfTrue="1">
      <formula>AND(R21&lt;&gt;"",IFERROR(INDEX(DayStat,$Q$16-DATE(PlanYear,1,1)+1)&amp;"","")&lt;&gt;"")</formula>
    </cfRule>
    <cfRule type="expression" priority="127" dxfId="6">
      <formula>R21&lt;&gt;""</formula>
    </cfRule>
  </conditionalFormatting>
  <conditionalFormatting sqref="R24:R26">
    <cfRule type="expression" priority="128" dxfId="5" stopIfTrue="1">
      <formula>AND(R24&lt;&gt;"",IFERROR(INDEX(DayStat,$Q$16-DATE(PlanYear,1,1)+1)&amp;"","")&lt;&gt;"")</formula>
    </cfRule>
    <cfRule type="expression" priority="129" dxfId="6">
      <formula>R24&lt;&gt;""</formula>
    </cfRule>
  </conditionalFormatting>
  <conditionalFormatting sqref="Q18:S26">
    <cfRule type="expression" priority="130" dxfId="7">
      <formula>IFERROR(INDEX(DayStat,$Q$16-DATE(PlanYear,1,1)+1)&amp;"","")&lt;&gt;""</formula>
    </cfRule>
  </conditionalFormatting>
  <conditionalFormatting sqref="T16:V26">
    <cfRule type="expression" priority="131" dxfId="2" stopIfTrue="1">
      <formula>$T$16=""</formula>
    </cfRule>
  </conditionalFormatting>
  <conditionalFormatting sqref="T17">
    <cfRule type="expression" priority="132" dxfId="3" stopIfTrue="1">
      <formula>IFERROR(INDEX(DayStat,$T$16-DATE(PlanYear,1,1)+1)&amp;"","")&lt;&gt;""</formula>
    </cfRule>
    <cfRule type="expression" priority="133" dxfId="4">
      <formula>$T$17&lt;&gt;""</formula>
    </cfRule>
  </conditionalFormatting>
  <conditionalFormatting sqref="U18:U20">
    <cfRule type="expression" priority="134" dxfId="5" stopIfTrue="1">
      <formula>AND(U18&lt;&gt;"",IFERROR(INDEX(DayStat,$T$16-DATE(PlanYear,1,1)+1)&amp;"","")&lt;&gt;"")</formula>
    </cfRule>
    <cfRule type="expression" priority="135" dxfId="6">
      <formula>U18&lt;&gt;""</formula>
    </cfRule>
  </conditionalFormatting>
  <conditionalFormatting sqref="U21:U23">
    <cfRule type="expression" priority="136" dxfId="5" stopIfTrue="1">
      <formula>AND(U21&lt;&gt;"",IFERROR(INDEX(DayStat,$T$16-DATE(PlanYear,1,1)+1)&amp;"","")&lt;&gt;"")</formula>
    </cfRule>
    <cfRule type="expression" priority="137" dxfId="6">
      <formula>U21&lt;&gt;""</formula>
    </cfRule>
  </conditionalFormatting>
  <conditionalFormatting sqref="U24:U26">
    <cfRule type="expression" priority="138" dxfId="5" stopIfTrue="1">
      <formula>AND(U24&lt;&gt;"",IFERROR(INDEX(DayStat,$T$16-DATE(PlanYear,1,1)+1)&amp;"","")&lt;&gt;"")</formula>
    </cfRule>
    <cfRule type="expression" priority="139" dxfId="6">
      <formula>U24&lt;&gt;""</formula>
    </cfRule>
  </conditionalFormatting>
  <conditionalFormatting sqref="T18:V26">
    <cfRule type="expression" priority="140" dxfId="7">
      <formula>IFERROR(INDEX(DayStat,$T$16-DATE(PlanYear,1,1)+1)&amp;"","")&lt;&gt;""</formula>
    </cfRule>
  </conditionalFormatting>
  <conditionalFormatting sqref="B27:D37">
    <cfRule type="expression" priority="141" dxfId="2" stopIfTrue="1">
      <formula>$B$27=""</formula>
    </cfRule>
  </conditionalFormatting>
  <conditionalFormatting sqref="B28">
    <cfRule type="expression" priority="142" dxfId="3" stopIfTrue="1">
      <formula>IFERROR(INDEX(DayStat,$B$27-DATE(PlanYear,1,1)+1)&amp;"","")&lt;&gt;""</formula>
    </cfRule>
    <cfRule type="expression" priority="143" dxfId="4">
      <formula>$B$28&lt;&gt;""</formula>
    </cfRule>
  </conditionalFormatting>
  <conditionalFormatting sqref="C29:C31">
    <cfRule type="expression" priority="144" dxfId="5" stopIfTrue="1">
      <formula>AND(C29&lt;&gt;"",IFERROR(INDEX(DayStat,$B$27-DATE(PlanYear,1,1)+1)&amp;"","")&lt;&gt;"")</formula>
    </cfRule>
    <cfRule type="expression" priority="145" dxfId="6">
      <formula>C29&lt;&gt;""</formula>
    </cfRule>
  </conditionalFormatting>
  <conditionalFormatting sqref="C32:C34">
    <cfRule type="expression" priority="146" dxfId="5" stopIfTrue="1">
      <formula>AND(C32&lt;&gt;"",IFERROR(INDEX(DayStat,$B$27-DATE(PlanYear,1,1)+1)&amp;"","")&lt;&gt;"")</formula>
    </cfRule>
    <cfRule type="expression" priority="147" dxfId="6">
      <formula>C32&lt;&gt;""</formula>
    </cfRule>
  </conditionalFormatting>
  <conditionalFormatting sqref="C35:C37">
    <cfRule type="expression" priority="148" dxfId="5" stopIfTrue="1">
      <formula>AND(C35&lt;&gt;"",IFERROR(INDEX(DayStat,$B$27-DATE(PlanYear,1,1)+1)&amp;"","")&lt;&gt;"")</formula>
    </cfRule>
    <cfRule type="expression" priority="149" dxfId="6">
      <formula>C35&lt;&gt;""</formula>
    </cfRule>
  </conditionalFormatting>
  <conditionalFormatting sqref="B29:D37">
    <cfRule type="expression" priority="150" dxfId="7">
      <formula>IFERROR(INDEX(DayStat,$B$27-DATE(PlanYear,1,1)+1)&amp;"","")&lt;&gt;""</formula>
    </cfRule>
  </conditionalFormatting>
  <conditionalFormatting sqref="E27:G37">
    <cfRule type="expression" priority="151" dxfId="2" stopIfTrue="1">
      <formula>$E$27=""</formula>
    </cfRule>
  </conditionalFormatting>
  <conditionalFormatting sqref="E28">
    <cfRule type="expression" priority="152" dxfId="3" stopIfTrue="1">
      <formula>IFERROR(INDEX(DayStat,$E$27-DATE(PlanYear,1,1)+1)&amp;"","")&lt;&gt;""</formula>
    </cfRule>
    <cfRule type="expression" priority="153" dxfId="4">
      <formula>$E$28&lt;&gt;""</formula>
    </cfRule>
  </conditionalFormatting>
  <conditionalFormatting sqref="F29:F31">
    <cfRule type="expression" priority="154" dxfId="5" stopIfTrue="1">
      <formula>AND(F29&lt;&gt;"",IFERROR(INDEX(DayStat,$E$27-DATE(PlanYear,1,1)+1)&amp;"","")&lt;&gt;"")</formula>
    </cfRule>
    <cfRule type="expression" priority="155" dxfId="6">
      <formula>F29&lt;&gt;""</formula>
    </cfRule>
  </conditionalFormatting>
  <conditionalFormatting sqref="F32:F34">
    <cfRule type="expression" priority="156" dxfId="5" stopIfTrue="1">
      <formula>AND(F32&lt;&gt;"",IFERROR(INDEX(DayStat,$E$27-DATE(PlanYear,1,1)+1)&amp;"","")&lt;&gt;"")</formula>
    </cfRule>
    <cfRule type="expression" priority="157" dxfId="6">
      <formula>F32&lt;&gt;""</formula>
    </cfRule>
  </conditionalFormatting>
  <conditionalFormatting sqref="F35:F37">
    <cfRule type="expression" priority="158" dxfId="5" stopIfTrue="1">
      <formula>AND(F35&lt;&gt;"",IFERROR(INDEX(DayStat,$E$27-DATE(PlanYear,1,1)+1)&amp;"","")&lt;&gt;"")</formula>
    </cfRule>
    <cfRule type="expression" priority="159" dxfId="6">
      <formula>F35&lt;&gt;""</formula>
    </cfRule>
  </conditionalFormatting>
  <conditionalFormatting sqref="E29:G37">
    <cfRule type="expression" priority="160" dxfId="7">
      <formula>IFERROR(INDEX(DayStat,$E$27-DATE(PlanYear,1,1)+1)&amp;"","")&lt;&gt;""</formula>
    </cfRule>
  </conditionalFormatting>
  <conditionalFormatting sqref="H27:J37">
    <cfRule type="expression" priority="161" dxfId="2" stopIfTrue="1">
      <formula>$H$27=""</formula>
    </cfRule>
  </conditionalFormatting>
  <conditionalFormatting sqref="H28">
    <cfRule type="expression" priority="162" dxfId="3" stopIfTrue="1">
      <formula>IFERROR(INDEX(DayStat,$H$27-DATE(PlanYear,1,1)+1)&amp;"","")&lt;&gt;""</formula>
    </cfRule>
    <cfRule type="expression" priority="163" dxfId="4">
      <formula>$H$28&lt;&gt;""</formula>
    </cfRule>
  </conditionalFormatting>
  <conditionalFormatting sqref="I29:I31">
    <cfRule type="expression" priority="164" dxfId="5" stopIfTrue="1">
      <formula>AND(I29&lt;&gt;"",IFERROR(INDEX(DayStat,$H$27-DATE(PlanYear,1,1)+1)&amp;"","")&lt;&gt;"")</formula>
    </cfRule>
    <cfRule type="expression" priority="165" dxfId="6">
      <formula>I29&lt;&gt;""</formula>
    </cfRule>
  </conditionalFormatting>
  <conditionalFormatting sqref="I32:I34">
    <cfRule type="expression" priority="166" dxfId="5" stopIfTrue="1">
      <formula>AND(I32&lt;&gt;"",IFERROR(INDEX(DayStat,$H$27-DATE(PlanYear,1,1)+1)&amp;"","")&lt;&gt;"")</formula>
    </cfRule>
    <cfRule type="expression" priority="167" dxfId="6">
      <formula>I32&lt;&gt;""</formula>
    </cfRule>
  </conditionalFormatting>
  <conditionalFormatting sqref="I35:I37">
    <cfRule type="expression" priority="168" dxfId="5" stopIfTrue="1">
      <formula>AND(I35&lt;&gt;"",IFERROR(INDEX(DayStat,$H$27-DATE(PlanYear,1,1)+1)&amp;"","")&lt;&gt;"")</formula>
    </cfRule>
    <cfRule type="expression" priority="169" dxfId="6">
      <formula>I35&lt;&gt;""</formula>
    </cfRule>
  </conditionalFormatting>
  <conditionalFormatting sqref="H29:J37">
    <cfRule type="expression" priority="170" dxfId="7">
      <formula>IFERROR(INDEX(DayStat,$H$27-DATE(PlanYear,1,1)+1)&amp;"","")&lt;&gt;""</formula>
    </cfRule>
  </conditionalFormatting>
  <conditionalFormatting sqref="K27:M37">
    <cfRule type="expression" priority="171" dxfId="2" stopIfTrue="1">
      <formula>$K$27=""</formula>
    </cfRule>
  </conditionalFormatting>
  <conditionalFormatting sqref="K28">
    <cfRule type="expression" priority="172" dxfId="3" stopIfTrue="1">
      <formula>IFERROR(INDEX(DayStat,$K$27-DATE(PlanYear,1,1)+1)&amp;"","")&lt;&gt;""</formula>
    </cfRule>
    <cfRule type="expression" priority="173" dxfId="4">
      <formula>$K$28&lt;&gt;""</formula>
    </cfRule>
  </conditionalFormatting>
  <conditionalFormatting sqref="L29:L31">
    <cfRule type="expression" priority="174" dxfId="5" stopIfTrue="1">
      <formula>AND(L29&lt;&gt;"",IFERROR(INDEX(DayStat,$K$27-DATE(PlanYear,1,1)+1)&amp;"","")&lt;&gt;"")</formula>
    </cfRule>
    <cfRule type="expression" priority="175" dxfId="6">
      <formula>L29&lt;&gt;""</formula>
    </cfRule>
  </conditionalFormatting>
  <conditionalFormatting sqref="L32:L34">
    <cfRule type="expression" priority="176" dxfId="5" stopIfTrue="1">
      <formula>AND(L32&lt;&gt;"",IFERROR(INDEX(DayStat,$K$27-DATE(PlanYear,1,1)+1)&amp;"","")&lt;&gt;"")</formula>
    </cfRule>
    <cfRule type="expression" priority="177" dxfId="6">
      <formula>L32&lt;&gt;""</formula>
    </cfRule>
  </conditionalFormatting>
  <conditionalFormatting sqref="L35:L37">
    <cfRule type="expression" priority="178" dxfId="5" stopIfTrue="1">
      <formula>AND(L35&lt;&gt;"",IFERROR(INDEX(DayStat,$K$27-DATE(PlanYear,1,1)+1)&amp;"","")&lt;&gt;"")</formula>
    </cfRule>
    <cfRule type="expression" priority="179" dxfId="6">
      <formula>L35&lt;&gt;""</formula>
    </cfRule>
  </conditionalFormatting>
  <conditionalFormatting sqref="K29:M37">
    <cfRule type="expression" priority="180" dxfId="7">
      <formula>IFERROR(INDEX(DayStat,$K$27-DATE(PlanYear,1,1)+1)&amp;"","")&lt;&gt;""</formula>
    </cfRule>
  </conditionalFormatting>
  <conditionalFormatting sqref="N27:P37">
    <cfRule type="expression" priority="181" dxfId="2" stopIfTrue="1">
      <formula>$N$27=""</formula>
    </cfRule>
  </conditionalFormatting>
  <conditionalFormatting sqref="N28">
    <cfRule type="expression" priority="182" dxfId="3" stopIfTrue="1">
      <formula>IFERROR(INDEX(DayStat,$N$27-DATE(PlanYear,1,1)+1)&amp;"","")&lt;&gt;""</formula>
    </cfRule>
    <cfRule type="expression" priority="183" dxfId="4">
      <formula>$N$28&lt;&gt;""</formula>
    </cfRule>
  </conditionalFormatting>
  <conditionalFormatting sqref="O29:O31">
    <cfRule type="expression" priority="184" dxfId="5" stopIfTrue="1">
      <formula>AND(O29&lt;&gt;"",IFERROR(INDEX(DayStat,$N$27-DATE(PlanYear,1,1)+1)&amp;"","")&lt;&gt;"")</formula>
    </cfRule>
    <cfRule type="expression" priority="185" dxfId="6">
      <formula>O29&lt;&gt;""</formula>
    </cfRule>
  </conditionalFormatting>
  <conditionalFormatting sqref="O32:O34">
    <cfRule type="expression" priority="186" dxfId="5" stopIfTrue="1">
      <formula>AND(O32&lt;&gt;"",IFERROR(INDEX(DayStat,$N$27-DATE(PlanYear,1,1)+1)&amp;"","")&lt;&gt;"")</formula>
    </cfRule>
    <cfRule type="expression" priority="187" dxfId="6">
      <formula>O32&lt;&gt;""</formula>
    </cfRule>
  </conditionalFormatting>
  <conditionalFormatting sqref="O35:O37">
    <cfRule type="expression" priority="188" dxfId="5" stopIfTrue="1">
      <formula>AND(O35&lt;&gt;"",IFERROR(INDEX(DayStat,$N$27-DATE(PlanYear,1,1)+1)&amp;"","")&lt;&gt;"")</formula>
    </cfRule>
    <cfRule type="expression" priority="189" dxfId="6">
      <formula>O35&lt;&gt;""</formula>
    </cfRule>
  </conditionalFormatting>
  <conditionalFormatting sqref="N29:P37">
    <cfRule type="expression" priority="190" dxfId="7">
      <formula>IFERROR(INDEX(DayStat,$N$27-DATE(PlanYear,1,1)+1)&amp;"","")&lt;&gt;""</formula>
    </cfRule>
  </conditionalFormatting>
  <conditionalFormatting sqref="Q27:S37">
    <cfRule type="expression" priority="191" dxfId="2" stopIfTrue="1">
      <formula>$Q$27=""</formula>
    </cfRule>
  </conditionalFormatting>
  <conditionalFormatting sqref="Q28">
    <cfRule type="expression" priority="192" dxfId="3" stopIfTrue="1">
      <formula>IFERROR(INDEX(DayStat,$Q$27-DATE(PlanYear,1,1)+1)&amp;"","")&lt;&gt;""</formula>
    </cfRule>
    <cfRule type="expression" priority="193" dxfId="4">
      <formula>$Q$28&lt;&gt;""</formula>
    </cfRule>
  </conditionalFormatting>
  <conditionalFormatting sqref="R29:R31">
    <cfRule type="expression" priority="194" dxfId="5" stopIfTrue="1">
      <formula>AND(R29&lt;&gt;"",IFERROR(INDEX(DayStat,$Q$27-DATE(PlanYear,1,1)+1)&amp;"","")&lt;&gt;"")</formula>
    </cfRule>
    <cfRule type="expression" priority="195" dxfId="6">
      <formula>R29&lt;&gt;""</formula>
    </cfRule>
  </conditionalFormatting>
  <conditionalFormatting sqref="R32:R34">
    <cfRule type="expression" priority="196" dxfId="5" stopIfTrue="1">
      <formula>AND(R32&lt;&gt;"",IFERROR(INDEX(DayStat,$Q$27-DATE(PlanYear,1,1)+1)&amp;"","")&lt;&gt;"")</formula>
    </cfRule>
    <cfRule type="expression" priority="197" dxfId="6">
      <formula>R32&lt;&gt;""</formula>
    </cfRule>
  </conditionalFormatting>
  <conditionalFormatting sqref="R35:R37">
    <cfRule type="expression" priority="198" dxfId="5" stopIfTrue="1">
      <formula>AND(R35&lt;&gt;"",IFERROR(INDEX(DayStat,$Q$27-DATE(PlanYear,1,1)+1)&amp;"","")&lt;&gt;"")</formula>
    </cfRule>
    <cfRule type="expression" priority="199" dxfId="6">
      <formula>R35&lt;&gt;""</formula>
    </cfRule>
  </conditionalFormatting>
  <conditionalFormatting sqref="Q29:S37">
    <cfRule type="expression" priority="200" dxfId="7">
      <formula>IFERROR(INDEX(DayStat,$Q$27-DATE(PlanYear,1,1)+1)&amp;"","")&lt;&gt;""</formula>
    </cfRule>
  </conditionalFormatting>
  <conditionalFormatting sqref="T27:V37">
    <cfRule type="expression" priority="201" dxfId="2" stopIfTrue="1">
      <formula>$T$27=""</formula>
    </cfRule>
  </conditionalFormatting>
  <conditionalFormatting sqref="T28">
    <cfRule type="expression" priority="202" dxfId="3" stopIfTrue="1">
      <formula>IFERROR(INDEX(DayStat,$T$27-DATE(PlanYear,1,1)+1)&amp;"","")&lt;&gt;""</formula>
    </cfRule>
    <cfRule type="expression" priority="203" dxfId="4">
      <formula>$T$28&lt;&gt;""</formula>
    </cfRule>
  </conditionalFormatting>
  <conditionalFormatting sqref="U29:U31">
    <cfRule type="expression" priority="204" dxfId="5" stopIfTrue="1">
      <formula>AND(U29&lt;&gt;"",IFERROR(INDEX(DayStat,$T$27-DATE(PlanYear,1,1)+1)&amp;"","")&lt;&gt;"")</formula>
    </cfRule>
    <cfRule type="expression" priority="205" dxfId="6">
      <formula>U29&lt;&gt;""</formula>
    </cfRule>
  </conditionalFormatting>
  <conditionalFormatting sqref="U32:U34">
    <cfRule type="expression" priority="206" dxfId="5" stopIfTrue="1">
      <formula>AND(U32&lt;&gt;"",IFERROR(INDEX(DayStat,$T$27-DATE(PlanYear,1,1)+1)&amp;"","")&lt;&gt;"")</formula>
    </cfRule>
    <cfRule type="expression" priority="207" dxfId="6">
      <formula>U32&lt;&gt;""</formula>
    </cfRule>
  </conditionalFormatting>
  <conditionalFormatting sqref="U35:U37">
    <cfRule type="expression" priority="208" dxfId="5" stopIfTrue="1">
      <formula>AND(U35&lt;&gt;"",IFERROR(INDEX(DayStat,$T$27-DATE(PlanYear,1,1)+1)&amp;"","")&lt;&gt;"")</formula>
    </cfRule>
    <cfRule type="expression" priority="209" dxfId="6">
      <formula>U35&lt;&gt;""</formula>
    </cfRule>
  </conditionalFormatting>
  <conditionalFormatting sqref="T29:V37">
    <cfRule type="expression" priority="210" dxfId="7">
      <formula>IFERROR(INDEX(DayStat,$T$27-DATE(PlanYear,1,1)+1)&amp;"","")&lt;&gt;""</formula>
    </cfRule>
  </conditionalFormatting>
  <conditionalFormatting sqref="B38:D48">
    <cfRule type="expression" priority="211" dxfId="2" stopIfTrue="1">
      <formula>$B$38=""</formula>
    </cfRule>
  </conditionalFormatting>
  <conditionalFormatting sqref="B39">
    <cfRule type="expression" priority="212" dxfId="3" stopIfTrue="1">
      <formula>IFERROR(INDEX(DayStat,$B$38-DATE(PlanYear,1,1)+1)&amp;"","")&lt;&gt;""</formula>
    </cfRule>
    <cfRule type="expression" priority="213" dxfId="4">
      <formula>$B$39&lt;&gt;""</formula>
    </cfRule>
  </conditionalFormatting>
  <conditionalFormatting sqref="C40:C42">
    <cfRule type="expression" priority="214" dxfId="5" stopIfTrue="1">
      <formula>AND(C40&lt;&gt;"",IFERROR(INDEX(DayStat,$B$38-DATE(PlanYear,1,1)+1)&amp;"","")&lt;&gt;"")</formula>
    </cfRule>
    <cfRule type="expression" priority="215" dxfId="6">
      <formula>C40&lt;&gt;""</formula>
    </cfRule>
  </conditionalFormatting>
  <conditionalFormatting sqref="C43:C45">
    <cfRule type="expression" priority="216" dxfId="5" stopIfTrue="1">
      <formula>AND(C43&lt;&gt;"",IFERROR(INDEX(DayStat,$B$38-DATE(PlanYear,1,1)+1)&amp;"","")&lt;&gt;"")</formula>
    </cfRule>
    <cfRule type="expression" priority="217" dxfId="6">
      <formula>C43&lt;&gt;""</formula>
    </cfRule>
  </conditionalFormatting>
  <conditionalFormatting sqref="C46:C48">
    <cfRule type="expression" priority="218" dxfId="5" stopIfTrue="1">
      <formula>AND(C46&lt;&gt;"",IFERROR(INDEX(DayStat,$B$38-DATE(PlanYear,1,1)+1)&amp;"","")&lt;&gt;"")</formula>
    </cfRule>
    <cfRule type="expression" priority="219" dxfId="6">
      <formula>C46&lt;&gt;""</formula>
    </cfRule>
  </conditionalFormatting>
  <conditionalFormatting sqref="B40:D48">
    <cfRule type="expression" priority="220" dxfId="7">
      <formula>IFERROR(INDEX(DayStat,$B$38-DATE(PlanYear,1,1)+1)&amp;"","")&lt;&gt;""</formula>
    </cfRule>
  </conditionalFormatting>
  <conditionalFormatting sqref="E38:G48">
    <cfRule type="expression" priority="221" dxfId="2" stopIfTrue="1">
      <formula>$E$38=""</formula>
    </cfRule>
  </conditionalFormatting>
  <conditionalFormatting sqref="E39">
    <cfRule type="expression" priority="222" dxfId="3" stopIfTrue="1">
      <formula>IFERROR(INDEX(DayStat,$E$38-DATE(PlanYear,1,1)+1)&amp;"","")&lt;&gt;""</formula>
    </cfRule>
    <cfRule type="expression" priority="223" dxfId="4">
      <formula>$E$39&lt;&gt;""</formula>
    </cfRule>
  </conditionalFormatting>
  <conditionalFormatting sqref="F40:F42">
    <cfRule type="expression" priority="224" dxfId="5" stopIfTrue="1">
      <formula>AND(F40&lt;&gt;"",IFERROR(INDEX(DayStat,$E$38-DATE(PlanYear,1,1)+1)&amp;"","")&lt;&gt;"")</formula>
    </cfRule>
    <cfRule type="expression" priority="225" dxfId="6">
      <formula>F40&lt;&gt;""</formula>
    </cfRule>
  </conditionalFormatting>
  <conditionalFormatting sqref="F43:F45">
    <cfRule type="expression" priority="226" dxfId="5" stopIfTrue="1">
      <formula>AND(F43&lt;&gt;"",IFERROR(INDEX(DayStat,$E$38-DATE(PlanYear,1,1)+1)&amp;"","")&lt;&gt;"")</formula>
    </cfRule>
    <cfRule type="expression" priority="227" dxfId="6">
      <formula>F43&lt;&gt;""</formula>
    </cfRule>
  </conditionalFormatting>
  <conditionalFormatting sqref="F46:F48">
    <cfRule type="expression" priority="228" dxfId="5" stopIfTrue="1">
      <formula>AND(F46&lt;&gt;"",IFERROR(INDEX(DayStat,$E$38-DATE(PlanYear,1,1)+1)&amp;"","")&lt;&gt;"")</formula>
    </cfRule>
    <cfRule type="expression" priority="229" dxfId="6">
      <formula>F46&lt;&gt;""</formula>
    </cfRule>
  </conditionalFormatting>
  <conditionalFormatting sqref="E40:G48">
    <cfRule type="expression" priority="230" dxfId="7">
      <formula>IFERROR(INDEX(DayStat,$E$38-DATE(PlanYear,1,1)+1)&amp;"","")&lt;&gt;""</formula>
    </cfRule>
  </conditionalFormatting>
  <conditionalFormatting sqref="H38:J48">
    <cfRule type="expression" priority="231" dxfId="2" stopIfTrue="1">
      <formula>$H$38=""</formula>
    </cfRule>
  </conditionalFormatting>
  <conditionalFormatting sqref="H39">
    <cfRule type="expression" priority="232" dxfId="3" stopIfTrue="1">
      <formula>IFERROR(INDEX(DayStat,$H$38-DATE(PlanYear,1,1)+1)&amp;"","")&lt;&gt;""</formula>
    </cfRule>
    <cfRule type="expression" priority="233" dxfId="4">
      <formula>$H$39&lt;&gt;""</formula>
    </cfRule>
  </conditionalFormatting>
  <conditionalFormatting sqref="I40:I42">
    <cfRule type="expression" priority="234" dxfId="5" stopIfTrue="1">
      <formula>AND(I40&lt;&gt;"",IFERROR(INDEX(DayStat,$H$38-DATE(PlanYear,1,1)+1)&amp;"","")&lt;&gt;"")</formula>
    </cfRule>
    <cfRule type="expression" priority="235" dxfId="6">
      <formula>I40&lt;&gt;""</formula>
    </cfRule>
  </conditionalFormatting>
  <conditionalFormatting sqref="I43:I45">
    <cfRule type="expression" priority="236" dxfId="5" stopIfTrue="1">
      <formula>AND(I43&lt;&gt;"",IFERROR(INDEX(DayStat,$H$38-DATE(PlanYear,1,1)+1)&amp;"","")&lt;&gt;"")</formula>
    </cfRule>
    <cfRule type="expression" priority="237" dxfId="6">
      <formula>I43&lt;&gt;""</formula>
    </cfRule>
  </conditionalFormatting>
  <conditionalFormatting sqref="I46:I48">
    <cfRule type="expression" priority="238" dxfId="5" stopIfTrue="1">
      <formula>AND(I46&lt;&gt;"",IFERROR(INDEX(DayStat,$H$38-DATE(PlanYear,1,1)+1)&amp;"","")&lt;&gt;"")</formula>
    </cfRule>
    <cfRule type="expression" priority="239" dxfId="6">
      <formula>I46&lt;&gt;""</formula>
    </cfRule>
  </conditionalFormatting>
  <conditionalFormatting sqref="H40:J48">
    <cfRule type="expression" priority="240" dxfId="7">
      <formula>IFERROR(INDEX(DayStat,$H$38-DATE(PlanYear,1,1)+1)&amp;"","")&lt;&gt;""</formula>
    </cfRule>
  </conditionalFormatting>
  <conditionalFormatting sqref="K38:M48">
    <cfRule type="expression" priority="241" dxfId="2" stopIfTrue="1">
      <formula>$K$38=""</formula>
    </cfRule>
  </conditionalFormatting>
  <conditionalFormatting sqref="K39">
    <cfRule type="expression" priority="242" dxfId="3" stopIfTrue="1">
      <formula>IFERROR(INDEX(DayStat,$K$38-DATE(PlanYear,1,1)+1)&amp;"","")&lt;&gt;""</formula>
    </cfRule>
    <cfRule type="expression" priority="243" dxfId="4">
      <formula>$K$39&lt;&gt;""</formula>
    </cfRule>
  </conditionalFormatting>
  <conditionalFormatting sqref="L40:L42">
    <cfRule type="expression" priority="244" dxfId="5" stopIfTrue="1">
      <formula>AND(L40&lt;&gt;"",IFERROR(INDEX(DayStat,$K$38-DATE(PlanYear,1,1)+1)&amp;"","")&lt;&gt;"")</formula>
    </cfRule>
    <cfRule type="expression" priority="245" dxfId="6">
      <formula>L40&lt;&gt;""</formula>
    </cfRule>
  </conditionalFormatting>
  <conditionalFormatting sqref="L43:L45">
    <cfRule type="expression" priority="246" dxfId="5" stopIfTrue="1">
      <formula>AND(L43&lt;&gt;"",IFERROR(INDEX(DayStat,$K$38-DATE(PlanYear,1,1)+1)&amp;"","")&lt;&gt;"")</formula>
    </cfRule>
    <cfRule type="expression" priority="247" dxfId="6">
      <formula>L43&lt;&gt;""</formula>
    </cfRule>
  </conditionalFormatting>
  <conditionalFormatting sqref="L46:L48">
    <cfRule type="expression" priority="248" dxfId="5" stopIfTrue="1">
      <formula>AND(L46&lt;&gt;"",IFERROR(INDEX(DayStat,$K$38-DATE(PlanYear,1,1)+1)&amp;"","")&lt;&gt;"")</formula>
    </cfRule>
    <cfRule type="expression" priority="249" dxfId="6">
      <formula>L46&lt;&gt;""</formula>
    </cfRule>
  </conditionalFormatting>
  <conditionalFormatting sqref="K40:M48">
    <cfRule type="expression" priority="250" dxfId="7">
      <formula>IFERROR(INDEX(DayStat,$K$38-DATE(PlanYear,1,1)+1)&amp;"","")&lt;&gt;""</formula>
    </cfRule>
  </conditionalFormatting>
  <conditionalFormatting sqref="N38:P48">
    <cfRule type="expression" priority="251" dxfId="2" stopIfTrue="1">
      <formula>$N$38=""</formula>
    </cfRule>
  </conditionalFormatting>
  <conditionalFormatting sqref="N39">
    <cfRule type="expression" priority="252" dxfId="3" stopIfTrue="1">
      <formula>IFERROR(INDEX(DayStat,$N$38-DATE(PlanYear,1,1)+1)&amp;"","")&lt;&gt;""</formula>
    </cfRule>
    <cfRule type="expression" priority="253" dxfId="4">
      <formula>$N$39&lt;&gt;""</formula>
    </cfRule>
  </conditionalFormatting>
  <conditionalFormatting sqref="O40:O42">
    <cfRule type="expression" priority="254" dxfId="5" stopIfTrue="1">
      <formula>AND(O40&lt;&gt;"",IFERROR(INDEX(DayStat,$N$38-DATE(PlanYear,1,1)+1)&amp;"","")&lt;&gt;"")</formula>
    </cfRule>
    <cfRule type="expression" priority="255" dxfId="6">
      <formula>O40&lt;&gt;""</formula>
    </cfRule>
  </conditionalFormatting>
  <conditionalFormatting sqref="O43:O45">
    <cfRule type="expression" priority="256" dxfId="5" stopIfTrue="1">
      <formula>AND(O43&lt;&gt;"",IFERROR(INDEX(DayStat,$N$38-DATE(PlanYear,1,1)+1)&amp;"","")&lt;&gt;"")</formula>
    </cfRule>
    <cfRule type="expression" priority="257" dxfId="6">
      <formula>O43&lt;&gt;""</formula>
    </cfRule>
  </conditionalFormatting>
  <conditionalFormatting sqref="O46:O48">
    <cfRule type="expression" priority="258" dxfId="5" stopIfTrue="1">
      <formula>AND(O46&lt;&gt;"",IFERROR(INDEX(DayStat,$N$38-DATE(PlanYear,1,1)+1)&amp;"","")&lt;&gt;"")</formula>
    </cfRule>
    <cfRule type="expression" priority="259" dxfId="6">
      <formula>O46&lt;&gt;""</formula>
    </cfRule>
  </conditionalFormatting>
  <conditionalFormatting sqref="N40:P48">
    <cfRule type="expression" priority="260" dxfId="7">
      <formula>IFERROR(INDEX(DayStat,$N$38-DATE(PlanYear,1,1)+1)&amp;"","")&lt;&gt;""</formula>
    </cfRule>
  </conditionalFormatting>
  <conditionalFormatting sqref="Q38:S48">
    <cfRule type="expression" priority="261" dxfId="2" stopIfTrue="1">
      <formula>$Q$38=""</formula>
    </cfRule>
  </conditionalFormatting>
  <conditionalFormatting sqref="Q39">
    <cfRule type="expression" priority="262" dxfId="3" stopIfTrue="1">
      <formula>IFERROR(INDEX(DayStat,$Q$38-DATE(PlanYear,1,1)+1)&amp;"","")&lt;&gt;""</formula>
    </cfRule>
    <cfRule type="expression" priority="263" dxfId="4">
      <formula>$Q$39&lt;&gt;""</formula>
    </cfRule>
  </conditionalFormatting>
  <conditionalFormatting sqref="R40:R42">
    <cfRule type="expression" priority="264" dxfId="5" stopIfTrue="1">
      <formula>AND(R40&lt;&gt;"",IFERROR(INDEX(DayStat,$Q$38-DATE(PlanYear,1,1)+1)&amp;"","")&lt;&gt;"")</formula>
    </cfRule>
    <cfRule type="expression" priority="265" dxfId="6">
      <formula>R40&lt;&gt;""</formula>
    </cfRule>
  </conditionalFormatting>
  <conditionalFormatting sqref="R43:R45">
    <cfRule type="expression" priority="266" dxfId="5" stopIfTrue="1">
      <formula>AND(R43&lt;&gt;"",IFERROR(INDEX(DayStat,$Q$38-DATE(PlanYear,1,1)+1)&amp;"","")&lt;&gt;"")</formula>
    </cfRule>
    <cfRule type="expression" priority="267" dxfId="6">
      <formula>R43&lt;&gt;""</formula>
    </cfRule>
  </conditionalFormatting>
  <conditionalFormatting sqref="R46:R48">
    <cfRule type="expression" priority="268" dxfId="5" stopIfTrue="1">
      <formula>AND(R46&lt;&gt;"",IFERROR(INDEX(DayStat,$Q$38-DATE(PlanYear,1,1)+1)&amp;"","")&lt;&gt;"")</formula>
    </cfRule>
    <cfRule type="expression" priority="269" dxfId="6">
      <formula>R46&lt;&gt;""</formula>
    </cfRule>
  </conditionalFormatting>
  <conditionalFormatting sqref="Q40:S48">
    <cfRule type="expression" priority="270" dxfId="7">
      <formula>IFERROR(INDEX(DayStat,$Q$38-DATE(PlanYear,1,1)+1)&amp;"","")&lt;&gt;""</formula>
    </cfRule>
  </conditionalFormatting>
  <conditionalFormatting sqref="T38:V48">
    <cfRule type="expression" priority="271" dxfId="2" stopIfTrue="1">
      <formula>$T$38=""</formula>
    </cfRule>
  </conditionalFormatting>
  <conditionalFormatting sqref="T39">
    <cfRule type="expression" priority="272" dxfId="3" stopIfTrue="1">
      <formula>IFERROR(INDEX(DayStat,$T$38-DATE(PlanYear,1,1)+1)&amp;"","")&lt;&gt;""</formula>
    </cfRule>
    <cfRule type="expression" priority="273" dxfId="4">
      <formula>$T$39&lt;&gt;""</formula>
    </cfRule>
  </conditionalFormatting>
  <conditionalFormatting sqref="U40:U42">
    <cfRule type="expression" priority="274" dxfId="5" stopIfTrue="1">
      <formula>AND(U40&lt;&gt;"",IFERROR(INDEX(DayStat,$T$38-DATE(PlanYear,1,1)+1)&amp;"","")&lt;&gt;"")</formula>
    </cfRule>
    <cfRule type="expression" priority="275" dxfId="6">
      <formula>U40&lt;&gt;""</formula>
    </cfRule>
  </conditionalFormatting>
  <conditionalFormatting sqref="U43:U45">
    <cfRule type="expression" priority="276" dxfId="5" stopIfTrue="1">
      <formula>AND(U43&lt;&gt;"",IFERROR(INDEX(DayStat,$T$38-DATE(PlanYear,1,1)+1)&amp;"","")&lt;&gt;"")</formula>
    </cfRule>
    <cfRule type="expression" priority="277" dxfId="6">
      <formula>U43&lt;&gt;""</formula>
    </cfRule>
  </conditionalFormatting>
  <conditionalFormatting sqref="U46:U48">
    <cfRule type="expression" priority="278" dxfId="5" stopIfTrue="1">
      <formula>AND(U46&lt;&gt;"",IFERROR(INDEX(DayStat,$T$38-DATE(PlanYear,1,1)+1)&amp;"","")&lt;&gt;"")</formula>
    </cfRule>
    <cfRule type="expression" priority="279" dxfId="6">
      <formula>U46&lt;&gt;""</formula>
    </cfRule>
  </conditionalFormatting>
  <conditionalFormatting sqref="T40:V48">
    <cfRule type="expression" priority="280" dxfId="7">
      <formula>IFERROR(INDEX(DayStat,$T$38-DATE(PlanYear,1,1)+1)&amp;"","")&lt;&gt;""</formula>
    </cfRule>
  </conditionalFormatting>
  <conditionalFormatting sqref="B49:D59">
    <cfRule type="expression" priority="281" dxfId="2" stopIfTrue="1">
      <formula>$B$49=""</formula>
    </cfRule>
  </conditionalFormatting>
  <conditionalFormatting sqref="B50">
    <cfRule type="expression" priority="282" dxfId="3" stopIfTrue="1">
      <formula>IFERROR(INDEX(DayStat,$B$49-DATE(PlanYear,1,1)+1)&amp;"","")&lt;&gt;""</formula>
    </cfRule>
    <cfRule type="expression" priority="283" dxfId="4">
      <formula>$B$50&lt;&gt;""</formula>
    </cfRule>
  </conditionalFormatting>
  <conditionalFormatting sqref="C51:C53">
    <cfRule type="expression" priority="284" dxfId="5" stopIfTrue="1">
      <formula>AND(C51&lt;&gt;"",IFERROR(INDEX(DayStat,$B$49-DATE(PlanYear,1,1)+1)&amp;"","")&lt;&gt;"")</formula>
    </cfRule>
    <cfRule type="expression" priority="285" dxfId="6">
      <formula>C51&lt;&gt;""</formula>
    </cfRule>
  </conditionalFormatting>
  <conditionalFormatting sqref="C54:C56">
    <cfRule type="expression" priority="286" dxfId="5" stopIfTrue="1">
      <formula>AND(C54&lt;&gt;"",IFERROR(INDEX(DayStat,$B$49-DATE(PlanYear,1,1)+1)&amp;"","")&lt;&gt;"")</formula>
    </cfRule>
    <cfRule type="expression" priority="287" dxfId="6">
      <formula>C54&lt;&gt;""</formula>
    </cfRule>
  </conditionalFormatting>
  <conditionalFormatting sqref="C57:C59">
    <cfRule type="expression" priority="288" dxfId="5" stopIfTrue="1">
      <formula>AND(C57&lt;&gt;"",IFERROR(INDEX(DayStat,$B$49-DATE(PlanYear,1,1)+1)&amp;"","")&lt;&gt;"")</formula>
    </cfRule>
    <cfRule type="expression" priority="289" dxfId="6">
      <formula>C57&lt;&gt;""</formula>
    </cfRule>
  </conditionalFormatting>
  <conditionalFormatting sqref="B51:D59">
    <cfRule type="expression" priority="290" dxfId="7">
      <formula>IFERROR(INDEX(DayStat,$B$49-DATE(PlanYear,1,1)+1)&amp;"","")&lt;&gt;""</formula>
    </cfRule>
  </conditionalFormatting>
  <conditionalFormatting sqref="E49:G59">
    <cfRule type="expression" priority="291" dxfId="2" stopIfTrue="1">
      <formula>$E$49=""</formula>
    </cfRule>
  </conditionalFormatting>
  <conditionalFormatting sqref="E50">
    <cfRule type="expression" priority="292" dxfId="3" stopIfTrue="1">
      <formula>IFERROR(INDEX(DayStat,$E$49-DATE(PlanYear,1,1)+1)&amp;"","")&lt;&gt;""</formula>
    </cfRule>
    <cfRule type="expression" priority="293" dxfId="4">
      <formula>$E$50&lt;&gt;""</formula>
    </cfRule>
  </conditionalFormatting>
  <conditionalFormatting sqref="F51:F53">
    <cfRule type="expression" priority="294" dxfId="5" stopIfTrue="1">
      <formula>AND(F51&lt;&gt;"",IFERROR(INDEX(DayStat,$E$49-DATE(PlanYear,1,1)+1)&amp;"","")&lt;&gt;"")</formula>
    </cfRule>
    <cfRule type="expression" priority="295" dxfId="6">
      <formula>F51&lt;&gt;""</formula>
    </cfRule>
  </conditionalFormatting>
  <conditionalFormatting sqref="F54:F56">
    <cfRule type="expression" priority="296" dxfId="5" stopIfTrue="1">
      <formula>AND(F54&lt;&gt;"",IFERROR(INDEX(DayStat,$E$49-DATE(PlanYear,1,1)+1)&amp;"","")&lt;&gt;"")</formula>
    </cfRule>
    <cfRule type="expression" priority="297" dxfId="6">
      <formula>F54&lt;&gt;""</formula>
    </cfRule>
  </conditionalFormatting>
  <conditionalFormatting sqref="F57:F59">
    <cfRule type="expression" priority="298" dxfId="5" stopIfTrue="1">
      <formula>AND(F57&lt;&gt;"",IFERROR(INDEX(DayStat,$E$49-DATE(PlanYear,1,1)+1)&amp;"","")&lt;&gt;"")</formula>
    </cfRule>
    <cfRule type="expression" priority="299" dxfId="6">
      <formula>F57&lt;&gt;""</formula>
    </cfRule>
  </conditionalFormatting>
  <conditionalFormatting sqref="E51:G59">
    <cfRule type="expression" priority="300" dxfId="7">
      <formula>IFERROR(INDEX(DayStat,$E$49-DATE(PlanYear,1,1)+1)&amp;"","")&lt;&gt;""</formula>
    </cfRule>
  </conditionalFormatting>
  <conditionalFormatting sqref="H49:J59">
    <cfRule type="expression" priority="301" dxfId="2" stopIfTrue="1">
      <formula>$H$49=""</formula>
    </cfRule>
  </conditionalFormatting>
  <conditionalFormatting sqref="H50">
    <cfRule type="expression" priority="302" dxfId="3" stopIfTrue="1">
      <formula>IFERROR(INDEX(DayStat,$H$49-DATE(PlanYear,1,1)+1)&amp;"","")&lt;&gt;""</formula>
    </cfRule>
    <cfRule type="expression" priority="303" dxfId="4">
      <formula>$H$50&lt;&gt;""</formula>
    </cfRule>
  </conditionalFormatting>
  <conditionalFormatting sqref="I51:I53">
    <cfRule type="expression" priority="304" dxfId="5" stopIfTrue="1">
      <formula>AND(I51&lt;&gt;"",IFERROR(INDEX(DayStat,$H$49-DATE(PlanYear,1,1)+1)&amp;"","")&lt;&gt;"")</formula>
    </cfRule>
    <cfRule type="expression" priority="305" dxfId="6">
      <formula>I51&lt;&gt;""</formula>
    </cfRule>
  </conditionalFormatting>
  <conditionalFormatting sqref="I54:I56">
    <cfRule type="expression" priority="306" dxfId="5" stopIfTrue="1">
      <formula>AND(I54&lt;&gt;"",IFERROR(INDEX(DayStat,$H$49-DATE(PlanYear,1,1)+1)&amp;"","")&lt;&gt;"")</formula>
    </cfRule>
    <cfRule type="expression" priority="307" dxfId="6">
      <formula>I54&lt;&gt;""</formula>
    </cfRule>
  </conditionalFormatting>
  <conditionalFormatting sqref="I57:I59">
    <cfRule type="expression" priority="308" dxfId="5" stopIfTrue="1">
      <formula>AND(I57&lt;&gt;"",IFERROR(INDEX(DayStat,$H$49-DATE(PlanYear,1,1)+1)&amp;"","")&lt;&gt;"")</formula>
    </cfRule>
    <cfRule type="expression" priority="309" dxfId="6">
      <formula>I57&lt;&gt;""</formula>
    </cfRule>
  </conditionalFormatting>
  <conditionalFormatting sqref="H51:J59">
    <cfRule type="expression" priority="310" dxfId="7">
      <formula>IFERROR(INDEX(DayStat,$H$49-DATE(PlanYear,1,1)+1)&amp;"","")&lt;&gt;""</formula>
    </cfRule>
  </conditionalFormatting>
  <conditionalFormatting sqref="K49:M59">
    <cfRule type="expression" priority="311" dxfId="2" stopIfTrue="1">
      <formula>$K$49=""</formula>
    </cfRule>
  </conditionalFormatting>
  <conditionalFormatting sqref="K50">
    <cfRule type="expression" priority="312" dxfId="3" stopIfTrue="1">
      <formula>IFERROR(INDEX(DayStat,$K$49-DATE(PlanYear,1,1)+1)&amp;"","")&lt;&gt;""</formula>
    </cfRule>
    <cfRule type="expression" priority="313" dxfId="4">
      <formula>$K$50&lt;&gt;""</formula>
    </cfRule>
  </conditionalFormatting>
  <conditionalFormatting sqref="L51:L53">
    <cfRule type="expression" priority="314" dxfId="5" stopIfTrue="1">
      <formula>AND(L51&lt;&gt;"",IFERROR(INDEX(DayStat,$K$49-DATE(PlanYear,1,1)+1)&amp;"","")&lt;&gt;"")</formula>
    </cfRule>
    <cfRule type="expression" priority="315" dxfId="6">
      <formula>L51&lt;&gt;""</formula>
    </cfRule>
  </conditionalFormatting>
  <conditionalFormatting sqref="L54:L56">
    <cfRule type="expression" priority="316" dxfId="5" stopIfTrue="1">
      <formula>AND(L54&lt;&gt;"",IFERROR(INDEX(DayStat,$K$49-DATE(PlanYear,1,1)+1)&amp;"","")&lt;&gt;"")</formula>
    </cfRule>
    <cfRule type="expression" priority="317" dxfId="6">
      <formula>L54&lt;&gt;""</formula>
    </cfRule>
  </conditionalFormatting>
  <conditionalFormatting sqref="L57:L59">
    <cfRule type="expression" priority="318" dxfId="5" stopIfTrue="1">
      <formula>AND(L57&lt;&gt;"",IFERROR(INDEX(DayStat,$K$49-DATE(PlanYear,1,1)+1)&amp;"","")&lt;&gt;"")</formula>
    </cfRule>
    <cfRule type="expression" priority="319" dxfId="6">
      <formula>L57&lt;&gt;""</formula>
    </cfRule>
  </conditionalFormatting>
  <conditionalFormatting sqref="K51:M59">
    <cfRule type="expression" priority="320" dxfId="7">
      <formula>IFERROR(INDEX(DayStat,$K$49-DATE(PlanYear,1,1)+1)&amp;"","")&lt;&gt;""</formula>
    </cfRule>
  </conditionalFormatting>
  <conditionalFormatting sqref="N49:P59">
    <cfRule type="expression" priority="321" dxfId="2" stopIfTrue="1">
      <formula>$N$49=""</formula>
    </cfRule>
  </conditionalFormatting>
  <conditionalFormatting sqref="N50">
    <cfRule type="expression" priority="322" dxfId="3" stopIfTrue="1">
      <formula>IFERROR(INDEX(DayStat,$N$49-DATE(PlanYear,1,1)+1)&amp;"","")&lt;&gt;""</formula>
    </cfRule>
    <cfRule type="expression" priority="323" dxfId="4">
      <formula>$N$50&lt;&gt;""</formula>
    </cfRule>
  </conditionalFormatting>
  <conditionalFormatting sqref="O51:O53">
    <cfRule type="expression" priority="324" dxfId="5" stopIfTrue="1">
      <formula>AND(O51&lt;&gt;"",IFERROR(INDEX(DayStat,$N$49-DATE(PlanYear,1,1)+1)&amp;"","")&lt;&gt;"")</formula>
    </cfRule>
    <cfRule type="expression" priority="325" dxfId="6">
      <formula>O51&lt;&gt;""</formula>
    </cfRule>
  </conditionalFormatting>
  <conditionalFormatting sqref="O54:O56">
    <cfRule type="expression" priority="326" dxfId="5" stopIfTrue="1">
      <formula>AND(O54&lt;&gt;"",IFERROR(INDEX(DayStat,$N$49-DATE(PlanYear,1,1)+1)&amp;"","")&lt;&gt;"")</formula>
    </cfRule>
    <cfRule type="expression" priority="327" dxfId="6">
      <formula>O54&lt;&gt;""</formula>
    </cfRule>
  </conditionalFormatting>
  <conditionalFormatting sqref="O57:O59">
    <cfRule type="expression" priority="328" dxfId="5" stopIfTrue="1">
      <formula>AND(O57&lt;&gt;"",IFERROR(INDEX(DayStat,$N$49-DATE(PlanYear,1,1)+1)&amp;"","")&lt;&gt;"")</formula>
    </cfRule>
    <cfRule type="expression" priority="329" dxfId="6">
      <formula>O57&lt;&gt;""</formula>
    </cfRule>
  </conditionalFormatting>
  <conditionalFormatting sqref="N51:P59">
    <cfRule type="expression" priority="330" dxfId="7">
      <formula>IFERROR(INDEX(DayStat,$N$49-DATE(PlanYear,1,1)+1)&amp;"","")&lt;&gt;""</formula>
    </cfRule>
  </conditionalFormatting>
  <conditionalFormatting sqref="Q49:S59">
    <cfRule type="expression" priority="331" dxfId="2" stopIfTrue="1">
      <formula>$Q$49=""</formula>
    </cfRule>
  </conditionalFormatting>
  <conditionalFormatting sqref="Q50">
    <cfRule type="expression" priority="332" dxfId="3" stopIfTrue="1">
      <formula>IFERROR(INDEX(DayStat,$Q$49-DATE(PlanYear,1,1)+1)&amp;"","")&lt;&gt;""</formula>
    </cfRule>
    <cfRule type="expression" priority="333" dxfId="4">
      <formula>$Q$50&lt;&gt;""</formula>
    </cfRule>
  </conditionalFormatting>
  <conditionalFormatting sqref="R51:R53">
    <cfRule type="expression" priority="334" dxfId="5" stopIfTrue="1">
      <formula>AND(R51&lt;&gt;"",IFERROR(INDEX(DayStat,$Q$49-DATE(PlanYear,1,1)+1)&amp;"","")&lt;&gt;"")</formula>
    </cfRule>
    <cfRule type="expression" priority="335" dxfId="6">
      <formula>R51&lt;&gt;""</formula>
    </cfRule>
  </conditionalFormatting>
  <conditionalFormatting sqref="R54:R56">
    <cfRule type="expression" priority="336" dxfId="5" stopIfTrue="1">
      <formula>AND(R54&lt;&gt;"",IFERROR(INDEX(DayStat,$Q$49-DATE(PlanYear,1,1)+1)&amp;"","")&lt;&gt;"")</formula>
    </cfRule>
    <cfRule type="expression" priority="337" dxfId="6">
      <formula>R54&lt;&gt;""</formula>
    </cfRule>
  </conditionalFormatting>
  <conditionalFormatting sqref="R57:R59">
    <cfRule type="expression" priority="338" dxfId="5" stopIfTrue="1">
      <formula>AND(R57&lt;&gt;"",IFERROR(INDEX(DayStat,$Q$49-DATE(PlanYear,1,1)+1)&amp;"","")&lt;&gt;"")</formula>
    </cfRule>
    <cfRule type="expression" priority="339" dxfId="6">
      <formula>R57&lt;&gt;""</formula>
    </cfRule>
  </conditionalFormatting>
  <conditionalFormatting sqref="Q51:S59">
    <cfRule type="expression" priority="340" dxfId="7">
      <formula>IFERROR(INDEX(DayStat,$Q$49-DATE(PlanYear,1,1)+1)&amp;"","")&lt;&gt;""</formula>
    </cfRule>
  </conditionalFormatting>
  <conditionalFormatting sqref="T49:V59">
    <cfRule type="expression" priority="341" dxfId="2" stopIfTrue="1">
      <formula>$T$49=""</formula>
    </cfRule>
  </conditionalFormatting>
  <conditionalFormatting sqref="T50">
    <cfRule type="expression" priority="342" dxfId="3" stopIfTrue="1">
      <formula>IFERROR(INDEX(DayStat,$T$49-DATE(PlanYear,1,1)+1)&amp;"","")&lt;&gt;""</formula>
    </cfRule>
    <cfRule type="expression" priority="343" dxfId="4">
      <formula>$T$50&lt;&gt;""</formula>
    </cfRule>
  </conditionalFormatting>
  <conditionalFormatting sqref="U51:U53">
    <cfRule type="expression" priority="344" dxfId="5" stopIfTrue="1">
      <formula>AND(U51&lt;&gt;"",IFERROR(INDEX(DayStat,$T$49-DATE(PlanYear,1,1)+1)&amp;"","")&lt;&gt;"")</formula>
    </cfRule>
    <cfRule type="expression" priority="345" dxfId="6">
      <formula>U51&lt;&gt;""</formula>
    </cfRule>
  </conditionalFormatting>
  <conditionalFormatting sqref="U54:U56">
    <cfRule type="expression" priority="346" dxfId="5" stopIfTrue="1">
      <formula>AND(U54&lt;&gt;"",IFERROR(INDEX(DayStat,$T$49-DATE(PlanYear,1,1)+1)&amp;"","")&lt;&gt;"")</formula>
    </cfRule>
    <cfRule type="expression" priority="347" dxfId="6">
      <formula>U54&lt;&gt;""</formula>
    </cfRule>
  </conditionalFormatting>
  <conditionalFormatting sqref="U57:U59">
    <cfRule type="expression" priority="348" dxfId="5" stopIfTrue="1">
      <formula>AND(U57&lt;&gt;"",IFERROR(INDEX(DayStat,$T$49-DATE(PlanYear,1,1)+1)&amp;"","")&lt;&gt;"")</formula>
    </cfRule>
    <cfRule type="expression" priority="349" dxfId="6">
      <formula>U57&lt;&gt;""</formula>
    </cfRule>
  </conditionalFormatting>
  <conditionalFormatting sqref="T51:V59">
    <cfRule type="expression" priority="350" dxfId="7">
      <formula>IFERROR(INDEX(DayStat,$T$49-DATE(PlanYear,1,1)+1)&amp;"","")&lt;&gt;""</formula>
    </cfRule>
  </conditionalFormatting>
  <conditionalFormatting sqref="B60:D70">
    <cfRule type="expression" priority="351" dxfId="2" stopIfTrue="1">
      <formula>$B$60=""</formula>
    </cfRule>
  </conditionalFormatting>
  <conditionalFormatting sqref="B61">
    <cfRule type="expression" priority="352" dxfId="3" stopIfTrue="1">
      <formula>IFERROR(INDEX(DayStat,$B$60-DATE(PlanYear,1,1)+1)&amp;"","")&lt;&gt;""</formula>
    </cfRule>
    <cfRule type="expression" priority="353" dxfId="4">
      <formula>$B$61&lt;&gt;""</formula>
    </cfRule>
  </conditionalFormatting>
  <conditionalFormatting sqref="C62:C64">
    <cfRule type="expression" priority="354" dxfId="5" stopIfTrue="1">
      <formula>AND(C62&lt;&gt;"",IFERROR(INDEX(DayStat,$B$60-DATE(PlanYear,1,1)+1)&amp;"","")&lt;&gt;"")</formula>
    </cfRule>
    <cfRule type="expression" priority="355" dxfId="6">
      <formula>C62&lt;&gt;""</formula>
    </cfRule>
  </conditionalFormatting>
  <conditionalFormatting sqref="C65:C67">
    <cfRule type="expression" priority="356" dxfId="5" stopIfTrue="1">
      <formula>AND(C65&lt;&gt;"",IFERROR(INDEX(DayStat,$B$60-DATE(PlanYear,1,1)+1)&amp;"","")&lt;&gt;"")</formula>
    </cfRule>
    <cfRule type="expression" priority="357" dxfId="6">
      <formula>C65&lt;&gt;""</formula>
    </cfRule>
  </conditionalFormatting>
  <conditionalFormatting sqref="C68:C70">
    <cfRule type="expression" priority="358" dxfId="5" stopIfTrue="1">
      <formula>AND(C68&lt;&gt;"",IFERROR(INDEX(DayStat,$B$60-DATE(PlanYear,1,1)+1)&amp;"","")&lt;&gt;"")</formula>
    </cfRule>
    <cfRule type="expression" priority="359" dxfId="6">
      <formula>C68&lt;&gt;""</formula>
    </cfRule>
  </conditionalFormatting>
  <conditionalFormatting sqref="B62:D70">
    <cfRule type="expression" priority="360" dxfId="7">
      <formula>IFERROR(INDEX(DayStat,$B$60-DATE(PlanYear,1,1)+1)&amp;"","")&lt;&gt;""</formula>
    </cfRule>
  </conditionalFormatting>
  <conditionalFormatting sqref="E60:G70">
    <cfRule type="expression" priority="361" dxfId="2" stopIfTrue="1">
      <formula>$E$60=""</formula>
    </cfRule>
  </conditionalFormatting>
  <conditionalFormatting sqref="E61">
    <cfRule type="expression" priority="362" dxfId="3" stopIfTrue="1">
      <formula>IFERROR(INDEX(DayStat,$E$60-DATE(PlanYear,1,1)+1)&amp;"","")&lt;&gt;""</formula>
    </cfRule>
    <cfRule type="expression" priority="363" dxfId="4">
      <formula>$E$61&lt;&gt;""</formula>
    </cfRule>
  </conditionalFormatting>
  <conditionalFormatting sqref="F62:F64">
    <cfRule type="expression" priority="364" dxfId="5" stopIfTrue="1">
      <formula>AND(F62&lt;&gt;"",IFERROR(INDEX(DayStat,$E$60-DATE(PlanYear,1,1)+1)&amp;"","")&lt;&gt;"")</formula>
    </cfRule>
    <cfRule type="expression" priority="365" dxfId="6">
      <formula>F62&lt;&gt;""</formula>
    </cfRule>
  </conditionalFormatting>
  <conditionalFormatting sqref="F65:F67">
    <cfRule type="expression" priority="366" dxfId="5" stopIfTrue="1">
      <formula>AND(F65&lt;&gt;"",IFERROR(INDEX(DayStat,$E$60-DATE(PlanYear,1,1)+1)&amp;"","")&lt;&gt;"")</formula>
    </cfRule>
    <cfRule type="expression" priority="367" dxfId="6">
      <formula>F65&lt;&gt;""</formula>
    </cfRule>
  </conditionalFormatting>
  <conditionalFormatting sqref="F68:F70">
    <cfRule type="expression" priority="368" dxfId="5" stopIfTrue="1">
      <formula>AND(F68&lt;&gt;"",IFERROR(INDEX(DayStat,$E$60-DATE(PlanYear,1,1)+1)&amp;"","")&lt;&gt;"")</formula>
    </cfRule>
    <cfRule type="expression" priority="369" dxfId="6">
      <formula>F68&lt;&gt;""</formula>
    </cfRule>
  </conditionalFormatting>
  <conditionalFormatting sqref="E62:G70">
    <cfRule type="expression" priority="370" dxfId="7">
      <formula>IFERROR(INDEX(DayStat,$E$60-DATE(PlanYear,1,1)+1)&amp;"","")&lt;&gt;""</formula>
    </cfRule>
  </conditionalFormatting>
  <conditionalFormatting sqref="H60:J70">
    <cfRule type="expression" priority="371" dxfId="2" stopIfTrue="1">
      <formula>$H$60=""</formula>
    </cfRule>
  </conditionalFormatting>
  <conditionalFormatting sqref="H61">
    <cfRule type="expression" priority="372" dxfId="3" stopIfTrue="1">
      <formula>IFERROR(INDEX(DayStat,$H$60-DATE(PlanYear,1,1)+1)&amp;"","")&lt;&gt;""</formula>
    </cfRule>
    <cfRule type="expression" priority="373" dxfId="4">
      <formula>$H$61&lt;&gt;""</formula>
    </cfRule>
  </conditionalFormatting>
  <conditionalFormatting sqref="I62:I64">
    <cfRule type="expression" priority="374" dxfId="5" stopIfTrue="1">
      <formula>AND(I62&lt;&gt;"",IFERROR(INDEX(DayStat,$H$60-DATE(PlanYear,1,1)+1)&amp;"","")&lt;&gt;"")</formula>
    </cfRule>
    <cfRule type="expression" priority="375" dxfId="6">
      <formula>I62&lt;&gt;""</formula>
    </cfRule>
  </conditionalFormatting>
  <conditionalFormatting sqref="I65:I67">
    <cfRule type="expression" priority="376" dxfId="5" stopIfTrue="1">
      <formula>AND(I65&lt;&gt;"",IFERROR(INDEX(DayStat,$H$60-DATE(PlanYear,1,1)+1)&amp;"","")&lt;&gt;"")</formula>
    </cfRule>
    <cfRule type="expression" priority="377" dxfId="6">
      <formula>I65&lt;&gt;""</formula>
    </cfRule>
  </conditionalFormatting>
  <conditionalFormatting sqref="I68:I70">
    <cfRule type="expression" priority="378" dxfId="5" stopIfTrue="1">
      <formula>AND(I68&lt;&gt;"",IFERROR(INDEX(DayStat,$H$60-DATE(PlanYear,1,1)+1)&amp;"","")&lt;&gt;"")</formula>
    </cfRule>
    <cfRule type="expression" priority="379" dxfId="6">
      <formula>I68&lt;&gt;""</formula>
    </cfRule>
  </conditionalFormatting>
  <conditionalFormatting sqref="H62:J70">
    <cfRule type="expression" priority="380" dxfId="7">
      <formula>IFERROR(INDEX(DayStat,$H$60-DATE(PlanYear,1,1)+1)&amp;"","")&lt;&gt;""</formula>
    </cfRule>
  </conditionalFormatting>
  <conditionalFormatting sqref="K60:M70">
    <cfRule type="expression" priority="381" dxfId="2" stopIfTrue="1">
      <formula>$K$60=""</formula>
    </cfRule>
  </conditionalFormatting>
  <conditionalFormatting sqref="K61">
    <cfRule type="expression" priority="382" dxfId="3" stopIfTrue="1">
      <formula>IFERROR(INDEX(DayStat,$K$60-DATE(PlanYear,1,1)+1)&amp;"","")&lt;&gt;""</formula>
    </cfRule>
    <cfRule type="expression" priority="383" dxfId="4">
      <formula>$K$61&lt;&gt;""</formula>
    </cfRule>
  </conditionalFormatting>
  <conditionalFormatting sqref="L62:L64">
    <cfRule type="expression" priority="384" dxfId="5" stopIfTrue="1">
      <formula>AND(L62&lt;&gt;"",IFERROR(INDEX(DayStat,$K$60-DATE(PlanYear,1,1)+1)&amp;"","")&lt;&gt;"")</formula>
    </cfRule>
    <cfRule type="expression" priority="385" dxfId="6">
      <formula>L62&lt;&gt;""</formula>
    </cfRule>
  </conditionalFormatting>
  <conditionalFormatting sqref="L65:L67">
    <cfRule type="expression" priority="386" dxfId="5" stopIfTrue="1">
      <formula>AND(L65&lt;&gt;"",IFERROR(INDEX(DayStat,$K$60-DATE(PlanYear,1,1)+1)&amp;"","")&lt;&gt;"")</formula>
    </cfRule>
    <cfRule type="expression" priority="387" dxfId="6">
      <formula>L65&lt;&gt;""</formula>
    </cfRule>
  </conditionalFormatting>
  <conditionalFormatting sqref="L68:L70">
    <cfRule type="expression" priority="388" dxfId="5" stopIfTrue="1">
      <formula>AND(L68&lt;&gt;"",IFERROR(INDEX(DayStat,$K$60-DATE(PlanYear,1,1)+1)&amp;"","")&lt;&gt;"")</formula>
    </cfRule>
    <cfRule type="expression" priority="389" dxfId="6">
      <formula>L68&lt;&gt;""</formula>
    </cfRule>
  </conditionalFormatting>
  <conditionalFormatting sqref="K62:M70">
    <cfRule type="expression" priority="390" dxfId="7">
      <formula>IFERROR(INDEX(DayStat,$K$60-DATE(PlanYear,1,1)+1)&amp;"","")&lt;&gt;""</formula>
    </cfRule>
  </conditionalFormatting>
  <conditionalFormatting sqref="N60:P70">
    <cfRule type="expression" priority="391" dxfId="2" stopIfTrue="1">
      <formula>$N$60=""</formula>
    </cfRule>
  </conditionalFormatting>
  <conditionalFormatting sqref="N61">
    <cfRule type="expression" priority="392" dxfId="3" stopIfTrue="1">
      <formula>IFERROR(INDEX(DayStat,$N$60-DATE(PlanYear,1,1)+1)&amp;"","")&lt;&gt;""</formula>
    </cfRule>
    <cfRule type="expression" priority="393" dxfId="4">
      <formula>$N$61&lt;&gt;""</formula>
    </cfRule>
  </conditionalFormatting>
  <conditionalFormatting sqref="O62:O64">
    <cfRule type="expression" priority="394" dxfId="5" stopIfTrue="1">
      <formula>AND(O62&lt;&gt;"",IFERROR(INDEX(DayStat,$N$60-DATE(PlanYear,1,1)+1)&amp;"","")&lt;&gt;"")</formula>
    </cfRule>
    <cfRule type="expression" priority="395" dxfId="6">
      <formula>O62&lt;&gt;""</formula>
    </cfRule>
  </conditionalFormatting>
  <conditionalFormatting sqref="O65:O67">
    <cfRule type="expression" priority="396" dxfId="5" stopIfTrue="1">
      <formula>AND(O65&lt;&gt;"",IFERROR(INDEX(DayStat,$N$60-DATE(PlanYear,1,1)+1)&amp;"","")&lt;&gt;"")</formula>
    </cfRule>
    <cfRule type="expression" priority="397" dxfId="6">
      <formula>O65&lt;&gt;""</formula>
    </cfRule>
  </conditionalFormatting>
  <conditionalFormatting sqref="O68:O70">
    <cfRule type="expression" priority="398" dxfId="5" stopIfTrue="1">
      <formula>AND(O68&lt;&gt;"",IFERROR(INDEX(DayStat,$N$60-DATE(PlanYear,1,1)+1)&amp;"","")&lt;&gt;"")</formula>
    </cfRule>
    <cfRule type="expression" priority="399" dxfId="6">
      <formula>O68&lt;&gt;""</formula>
    </cfRule>
  </conditionalFormatting>
  <conditionalFormatting sqref="N62:P70">
    <cfRule type="expression" priority="400" dxfId="7">
      <formula>IFERROR(INDEX(DayStat,$N$60-DATE(PlanYear,1,1)+1)&amp;"","")&lt;&gt;""</formula>
    </cfRule>
  </conditionalFormatting>
  <conditionalFormatting sqref="Q60:S70">
    <cfRule type="expression" priority="401" dxfId="2" stopIfTrue="1">
      <formula>$Q$60=""</formula>
    </cfRule>
  </conditionalFormatting>
  <conditionalFormatting sqref="Q61">
    <cfRule type="expression" priority="402" dxfId="3" stopIfTrue="1">
      <formula>IFERROR(INDEX(DayStat,$Q$60-DATE(PlanYear,1,1)+1)&amp;"","")&lt;&gt;""</formula>
    </cfRule>
    <cfRule type="expression" priority="403" dxfId="4">
      <formula>$Q$61&lt;&gt;""</formula>
    </cfRule>
  </conditionalFormatting>
  <conditionalFormatting sqref="R62:R64">
    <cfRule type="expression" priority="404" dxfId="5" stopIfTrue="1">
      <formula>AND(R62&lt;&gt;"",IFERROR(INDEX(DayStat,$Q$60-DATE(PlanYear,1,1)+1)&amp;"","")&lt;&gt;"")</formula>
    </cfRule>
    <cfRule type="expression" priority="405" dxfId="6">
      <formula>R62&lt;&gt;""</formula>
    </cfRule>
  </conditionalFormatting>
  <conditionalFormatting sqref="R65:R67">
    <cfRule type="expression" priority="406" dxfId="5" stopIfTrue="1">
      <formula>AND(R65&lt;&gt;"",IFERROR(INDEX(DayStat,$Q$60-DATE(PlanYear,1,1)+1)&amp;"","")&lt;&gt;"")</formula>
    </cfRule>
    <cfRule type="expression" priority="407" dxfId="6">
      <formula>R65&lt;&gt;""</formula>
    </cfRule>
  </conditionalFormatting>
  <conditionalFormatting sqref="R68:R70">
    <cfRule type="expression" priority="408" dxfId="5" stopIfTrue="1">
      <formula>AND(R68&lt;&gt;"",IFERROR(INDEX(DayStat,$Q$60-DATE(PlanYear,1,1)+1)&amp;"","")&lt;&gt;"")</formula>
    </cfRule>
    <cfRule type="expression" priority="409" dxfId="6">
      <formula>R68&lt;&gt;""</formula>
    </cfRule>
  </conditionalFormatting>
  <conditionalFormatting sqref="Q62:S70">
    <cfRule type="expression" priority="410" dxfId="7">
      <formula>IFERROR(INDEX(DayStat,$Q$60-DATE(PlanYear,1,1)+1)&amp;"","")&lt;&gt;""</formula>
    </cfRule>
  </conditionalFormatting>
  <conditionalFormatting sqref="T60:V70">
    <cfRule type="expression" priority="411" dxfId="2" stopIfTrue="1">
      <formula>$T$60=""</formula>
    </cfRule>
  </conditionalFormatting>
  <conditionalFormatting sqref="T61">
    <cfRule type="expression" priority="412" dxfId="3" stopIfTrue="1">
      <formula>IFERROR(INDEX(DayStat,$T$60-DATE(PlanYear,1,1)+1)&amp;"","")&lt;&gt;""</formula>
    </cfRule>
    <cfRule type="expression" priority="413" dxfId="4">
      <formula>$T$61&lt;&gt;""</formula>
    </cfRule>
  </conditionalFormatting>
  <conditionalFormatting sqref="U62:U64">
    <cfRule type="expression" priority="414" dxfId="5" stopIfTrue="1">
      <formula>AND(U62&lt;&gt;"",IFERROR(INDEX(DayStat,$T$60-DATE(PlanYear,1,1)+1)&amp;"","")&lt;&gt;"")</formula>
    </cfRule>
    <cfRule type="expression" priority="415" dxfId="6">
      <formula>U62&lt;&gt;""</formula>
    </cfRule>
  </conditionalFormatting>
  <conditionalFormatting sqref="U65:U67">
    <cfRule type="expression" priority="416" dxfId="5" stopIfTrue="1">
      <formula>AND(U65&lt;&gt;"",IFERROR(INDEX(DayStat,$T$60-DATE(PlanYear,1,1)+1)&amp;"","")&lt;&gt;"")</formula>
    </cfRule>
    <cfRule type="expression" priority="417" dxfId="6">
      <formula>U65&lt;&gt;""</formula>
    </cfRule>
  </conditionalFormatting>
  <conditionalFormatting sqref="U68:U70">
    <cfRule type="expression" priority="418" dxfId="5" stopIfTrue="1">
      <formula>AND(U68&lt;&gt;"",IFERROR(INDEX(DayStat,$T$60-DATE(PlanYear,1,1)+1)&amp;"","")&lt;&gt;"")</formula>
    </cfRule>
    <cfRule type="expression" priority="419" dxfId="6">
      <formula>U68&lt;&gt;""</formula>
    </cfRule>
  </conditionalFormatting>
  <conditionalFormatting sqref="T62:V70">
    <cfRule type="expression" priority="420" dxfId="7">
      <formula>IFERROR(INDEX(DayStat,$T$60-DATE(PlanYear,1,1)+1)&amp;"","")&lt;&gt;""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2026-10-24T16:56:15Z</dcterms:created>
  <dcterms:modified xmlns:dcterms="http://purl.org/dc/terms/" xmlns:xsi="http://www.w3.org/2001/XMLSchema-instance" xsi:type="dcterms:W3CDTF">2026-10-24T16:56:19Z</dcterms:modified>
</cp:coreProperties>
</file>