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Ops Add" sheetId="2" state="visible" r:id="rId2"/>
    <sheet xmlns:r="http://schemas.openxmlformats.org/officeDocument/2006/relationships" name="Flight Crew" sheetId="3" state="visible" r:id="rId3"/>
    <sheet xmlns:r="http://schemas.openxmlformats.org/officeDocument/2006/relationships" name="Day Board" sheetId="4" state="visible" r:id="rId4"/>
    <sheet xmlns:r="http://schemas.openxmlformats.org/officeDocument/2006/relationships" name="Medical Chits" sheetId="5" state="visible" r:id="rId5"/>
  </sheets>
  <definedNames>
    <definedName name="PlanYear">Dashboard!$A$5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 mmm yyyy"/>
    <numFmt numFmtId="165" formatCode="ddd dd mmm yyyy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94A3B8"/>
      <sz val="10"/>
    </font>
    <font>
      <name val="Arial"/>
      <b val="1"/>
      <color rgb="0064748B"/>
      <sz val="9"/>
    </font>
    <font>
      <name val="Arial"/>
      <b val="1"/>
      <color rgb="001D4ED8"/>
      <sz val="14"/>
    </font>
    <font>
      <name val="Arial"/>
      <b val="1"/>
      <color rgb="000F766E"/>
      <sz val="14"/>
    </font>
    <font>
      <name val="Arial"/>
      <b val="1"/>
      <color rgb="000F172A"/>
      <sz val="12"/>
    </font>
    <font>
      <name val="Arial"/>
      <color rgb="00334155"/>
      <sz val="11"/>
    </font>
    <font>
      <name val="Arial"/>
      <b val="1"/>
      <color rgb="00FFFFFF"/>
      <sz val="10"/>
    </font>
    <font>
      <name val="Arial"/>
      <b val="1"/>
      <color rgb="000F172A"/>
      <sz val="10"/>
    </font>
    <font>
      <name val="Arial"/>
      <b val="1"/>
      <color rgb="00334155"/>
      <sz val="9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FFBEB"/>
        <bgColor rgb="00FFFBEB"/>
      </patternFill>
    </fill>
    <fill>
      <patternFill patternType="solid">
        <fgColor rgb="00FACC15"/>
        <bgColor rgb="00FACC15"/>
      </patternFill>
    </fill>
    <fill>
      <patternFill patternType="solid">
        <fgColor rgb="007C3AED"/>
        <bgColor rgb="007C3AE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applyAlignment="1" pivotButton="0" quotePrefix="0" xfId="0">
      <alignment vertical="top" wrapText="1" indent="1"/>
    </xf>
    <xf numFmtId="0" fontId="7" fillId="0" borderId="0" applyAlignment="1" pivotButton="0" quotePrefix="0" xfId="0">
      <alignment vertical="top" wrapText="1" indent="1"/>
    </xf>
    <xf numFmtId="0" fontId="8" fillId="5" borderId="1" applyAlignment="1" pivotButton="0" quotePrefix="0" xfId="0">
      <alignment horizontal="center" vertical="center" wrapText="1"/>
    </xf>
    <xf numFmtId="165" fontId="0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9" fillId="4" borderId="1" applyAlignment="1" pivotButton="0" quotePrefix="0" xfId="0">
      <alignment horizontal="center" vertical="center" wrapText="1"/>
    </xf>
    <xf numFmtId="165" fontId="1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4" customWidth="1" min="8" max="8"/>
    <col hidden="1" width="13" customWidth="1" min="26" max="26"/>
  </cols>
  <sheetData>
    <row r="1" ht="30" customHeight="1">
      <c r="A1" s="1" t="inlineStr">
        <is>
          <t>OPS ROOM  |  FLIGHTS OF THE DAY</t>
        </is>
      </c>
      <c r="B1" s="2" t="n"/>
      <c r="C1" s="2" t="n"/>
      <c r="D1" s="2" t="n"/>
      <c r="E1" s="2" t="n"/>
      <c r="F1" s="2" t="n"/>
      <c r="G1" s="2" t="n"/>
      <c r="H1" s="2" t="n"/>
    </row>
    <row r="2" ht="18" customHeight="1">
      <c r="A2" s="3" t="inlineStr">
        <is>
          <t>Kept by the Ops Room duty staff (SDO and AOS). Flights come from the Master Planner, crew from each department's planner.</t>
        </is>
      </c>
      <c r="B2" s="2" t="n"/>
      <c r="C2" s="2" t="n"/>
      <c r="D2" s="2" t="n"/>
      <c r="E2" s="2" t="n"/>
      <c r="F2" s="2" t="n"/>
      <c r="G2" s="2" t="n"/>
      <c r="H2" s="2" t="n"/>
      <c r="Z2" t="inlineStr">
        <is>
          <t>LODESTAR ops layout 2</t>
        </is>
      </c>
    </row>
    <row r="4">
      <c r="A4" s="4" t="inlineStr">
        <is>
          <t>YEAR</t>
        </is>
      </c>
      <c r="G4" s="4" t="inlineStr">
        <is>
          <t>FILE</t>
        </is>
      </c>
    </row>
    <row r="5">
      <c r="A5" s="5" t="n">
        <v>2026</v>
      </c>
      <c r="G5" s="6" t="inlineStr">
        <is>
          <t>Ops Room</t>
        </is>
      </c>
    </row>
    <row r="8" ht="22" customHeight="1">
      <c r="A8" s="7" t="inlineStr">
        <is>
          <t>HOW THE OPS ROOM WORKS</t>
        </is>
      </c>
    </row>
    <row r="9" ht="32" customHeight="1">
      <c r="A9" s="8" t="inlineStr">
        <is>
          <t>1. Open the planner dashboard and click Ops Room. It opens every department's planner, the Master Planner, the Duty Roster and this file.</t>
        </is>
      </c>
    </row>
    <row r="10" ht="32" customHeight="1">
      <c r="A10" s="8" t="inlineStr">
        <is>
          <t>2. The Ops Room tab shows the day's flights from the Master Planner, the ground programme and tomorrow's forecast.</t>
        </is>
      </c>
    </row>
    <row r="11" ht="32" customHeight="1">
      <c r="A11" s="8" t="inlineStr">
        <is>
          <t>3. Each flight lists its crew from the department plans: Aircraft Captain, Co-Pilot (Pilot), Loadmaster, TACCO, SUP 1 and SUP 2. Of two pilots, the more senior is suggested as Captain; swap them if needed.</t>
        </is>
      </c>
    </row>
    <row r="12" ht="32" customHeight="1">
      <c r="A12" s="8" t="inlineStr">
        <is>
          <t>4. Mark the Mission Commander (MC) and the CRMO on each flight. Save to Excel writes them to this file.</t>
        </is>
      </c>
    </row>
    <row r="13" ht="22" customHeight="1">
      <c r="A13" s="8" t="inlineStr"/>
    </row>
    <row r="14" ht="32" customHeight="1">
      <c r="A14" s="8" t="inlineStr">
        <is>
          <t>Flight Crew sheet: one row per aircraft the Ops Room has changed (callsign, tail, AO, times, crew, MC, CRMO, remarks). A blank seat means the dashboard's own pick from the department plans.</t>
        </is>
      </c>
    </row>
  </sheetData>
  <mergeCells count="9">
    <mergeCell ref="A9:H9"/>
    <mergeCell ref="A12:H12"/>
    <mergeCell ref="A2:H2"/>
    <mergeCell ref="A10:H10"/>
    <mergeCell ref="A13:H13"/>
    <mergeCell ref="A11:H11"/>
    <mergeCell ref="A14:H14"/>
    <mergeCell ref="A1:H1"/>
    <mergeCell ref="A8:H8"/>
  </mergeCells>
  <dataValidations count="1">
    <dataValidation sqref="A5" showDropDown="0" showInputMessage="0" showErrorMessage="0" allowBlank="0" type="list">
      <formula1>"2025,2026,2027,2028,2029,2030,2031,2032,2033,2034,2035"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C3AED"/>
    <outlinePr summaryBelow="1" summaryRight="1"/>
    <pageSetUpPr/>
  </sheetPr>
  <dimension ref="A1:F5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3" customWidth="1" min="3" max="3"/>
    <col width="12" customWidth="1" min="4" max="4"/>
    <col width="12" customWidth="1" min="5" max="5"/>
    <col width="40" customWidth="1" min="6" max="6"/>
  </cols>
  <sheetData>
    <row r="1" ht="30" customHeight="1">
      <c r="A1" s="1" t="inlineStr">
        <is>
          <t>OPS ADD  |  AD HOC FLIGHTS</t>
        </is>
      </c>
      <c r="B1" s="2" t="n"/>
      <c r="C1" s="2" t="n"/>
      <c r="D1" s="2" t="n"/>
      <c r="E1" s="2" t="n"/>
      <c r="F1" s="2" t="n"/>
    </row>
    <row r="2" ht="18" customHeight="1">
      <c r="A2" s="3" t="inlineStr">
        <is>
          <t>Flights added by the Ops Room on the day. They are not on the Master Planner; the dashboard adds them to the departments' programmes. Crew: P Pilot, L Loadmaster, T TACCO, S1 SUP 1, S2 SUP 2 (blank = the flight code's crew).</t>
        </is>
      </c>
      <c r="B2" s="2" t="n"/>
      <c r="C2" s="2" t="n"/>
      <c r="D2" s="2" t="n"/>
      <c r="E2" s="2" t="n"/>
      <c r="F2" s="2" t="n"/>
    </row>
    <row r="5">
      <c r="A5" s="9" t="inlineStr">
        <is>
          <t>Date</t>
        </is>
      </c>
      <c r="B5" s="9" t="inlineStr">
        <is>
          <t>Shift</t>
        </is>
      </c>
      <c r="C5" s="9" t="inlineStr">
        <is>
          <t>Flight code</t>
        </is>
      </c>
      <c r="D5" s="9" t="inlineStr">
        <is>
          <t>Time</t>
        </is>
      </c>
      <c r="E5" s="9" t="inlineStr">
        <is>
          <t>Crew</t>
        </is>
      </c>
      <c r="F5" s="9" t="inlineStr">
        <is>
          <t>Comment</t>
        </is>
      </c>
    </row>
    <row r="6">
      <c r="A6" s="10" t="n"/>
    </row>
    <row r="7">
      <c r="A7" s="10" t="n"/>
    </row>
    <row r="8">
      <c r="A8" s="10" t="n"/>
    </row>
    <row r="9">
      <c r="A9" s="10" t="n"/>
    </row>
    <row r="10">
      <c r="A10" s="10" t="n"/>
    </row>
    <row r="11">
      <c r="A11" s="10" t="n"/>
    </row>
    <row r="12">
      <c r="A12" s="10" t="n"/>
    </row>
    <row r="13">
      <c r="A13" s="10" t="n"/>
    </row>
    <row r="14">
      <c r="A14" s="10" t="n"/>
    </row>
    <row r="15">
      <c r="A15" s="10" t="n"/>
    </row>
    <row r="16">
      <c r="A16" s="10" t="n"/>
    </row>
    <row r="17">
      <c r="A17" s="10" t="n"/>
    </row>
    <row r="18">
      <c r="A18" s="10" t="n"/>
    </row>
    <row r="19">
      <c r="A19" s="10" t="n"/>
    </row>
    <row r="20">
      <c r="A20" s="10" t="n"/>
    </row>
    <row r="21">
      <c r="A21" s="10" t="n"/>
    </row>
    <row r="22">
      <c r="A22" s="10" t="n"/>
    </row>
    <row r="23">
      <c r="A23" s="10" t="n"/>
    </row>
    <row r="24">
      <c r="A24" s="10" t="n"/>
    </row>
    <row r="25">
      <c r="A25" s="10" t="n"/>
    </row>
    <row r="26">
      <c r="A26" s="10" t="n"/>
    </row>
    <row r="27">
      <c r="A27" s="10" t="n"/>
    </row>
    <row r="28">
      <c r="A28" s="10" t="n"/>
    </row>
    <row r="29">
      <c r="A29" s="10" t="n"/>
    </row>
    <row r="30">
      <c r="A30" s="10" t="n"/>
    </row>
    <row r="31">
      <c r="A31" s="10" t="n"/>
    </row>
    <row r="32">
      <c r="A32" s="10" t="n"/>
    </row>
    <row r="33">
      <c r="A33" s="10" t="n"/>
    </row>
    <row r="34">
      <c r="A34" s="10" t="n"/>
    </row>
    <row r="35">
      <c r="A35" s="10" t="n"/>
    </row>
    <row r="36">
      <c r="A36" s="10" t="n"/>
    </row>
    <row r="37">
      <c r="A37" s="10" t="n"/>
    </row>
    <row r="38">
      <c r="A38" s="10" t="n"/>
    </row>
    <row r="39">
      <c r="A39" s="10" t="n"/>
    </row>
    <row r="40">
      <c r="A40" s="10" t="n"/>
    </row>
    <row r="41">
      <c r="A41" s="10" t="n"/>
    </row>
    <row r="42">
      <c r="A42" s="10" t="n"/>
    </row>
    <row r="43">
      <c r="A43" s="10" t="n"/>
    </row>
    <row r="44">
      <c r="A44" s="10" t="n"/>
    </row>
    <row r="45">
      <c r="A45" s="10" t="n"/>
    </row>
    <row r="46">
      <c r="A46" s="10" t="n"/>
    </row>
    <row r="47">
      <c r="A47" s="10" t="n"/>
    </row>
    <row r="48">
      <c r="A48" s="10" t="n"/>
    </row>
    <row r="49">
      <c r="A49" s="10" t="n"/>
    </row>
    <row r="50">
      <c r="A50" s="10" t="n"/>
    </row>
    <row r="51">
      <c r="A51" s="10" t="n"/>
    </row>
    <row r="52">
      <c r="A52" s="10" t="n"/>
    </row>
    <row r="53">
      <c r="A53" s="10" t="n"/>
    </row>
    <row r="54">
      <c r="A54" s="10" t="n"/>
    </row>
    <row r="55">
      <c r="A55" s="10" t="n"/>
    </row>
    <row r="56">
      <c r="A56" s="10" t="n"/>
    </row>
    <row r="57">
      <c r="A57" s="10" t="n"/>
    </row>
    <row r="58">
      <c r="A58" s="10" t="n"/>
    </row>
    <row r="59">
      <c r="A59" s="10" t="n"/>
    </row>
    <row r="60">
      <c r="A60" s="10" t="n"/>
    </row>
    <row r="61">
      <c r="A61" s="10" t="n"/>
    </row>
    <row r="62">
      <c r="A62" s="10" t="n"/>
    </row>
    <row r="63">
      <c r="A63" s="10" t="n"/>
    </row>
    <row r="64">
      <c r="A64" s="10" t="n"/>
    </row>
    <row r="65">
      <c r="A65" s="10" t="n"/>
    </row>
    <row r="66">
      <c r="A66" s="10" t="n"/>
    </row>
    <row r="67">
      <c r="A67" s="10" t="n"/>
    </row>
    <row r="68">
      <c r="A68" s="10" t="n"/>
    </row>
    <row r="69">
      <c r="A69" s="10" t="n"/>
    </row>
    <row r="70">
      <c r="A70" s="10" t="n"/>
    </row>
    <row r="71">
      <c r="A71" s="10" t="n"/>
    </row>
    <row r="72">
      <c r="A72" s="10" t="n"/>
    </row>
    <row r="73">
      <c r="A73" s="10" t="n"/>
    </row>
    <row r="74">
      <c r="A74" s="10" t="n"/>
    </row>
    <row r="75">
      <c r="A75" s="10" t="n"/>
    </row>
    <row r="76">
      <c r="A76" s="10" t="n"/>
    </row>
    <row r="77">
      <c r="A77" s="10" t="n"/>
    </row>
    <row r="78">
      <c r="A78" s="10" t="n"/>
    </row>
    <row r="79">
      <c r="A79" s="10" t="n"/>
    </row>
    <row r="80">
      <c r="A80" s="10" t="n"/>
    </row>
    <row r="81">
      <c r="A81" s="10" t="n"/>
    </row>
    <row r="82">
      <c r="A82" s="10" t="n"/>
    </row>
    <row r="83">
      <c r="A83" s="10" t="n"/>
    </row>
    <row r="84">
      <c r="A84" s="10" t="n"/>
    </row>
    <row r="85">
      <c r="A85" s="10" t="n"/>
    </row>
    <row r="86">
      <c r="A86" s="10" t="n"/>
    </row>
    <row r="87">
      <c r="A87" s="10" t="n"/>
    </row>
    <row r="88">
      <c r="A88" s="10" t="n"/>
    </row>
    <row r="89">
      <c r="A89" s="10" t="n"/>
    </row>
    <row r="90">
      <c r="A90" s="10" t="n"/>
    </row>
    <row r="91">
      <c r="A91" s="10" t="n"/>
    </row>
    <row r="92">
      <c r="A92" s="10" t="n"/>
    </row>
    <row r="93">
      <c r="A93" s="10" t="n"/>
    </row>
    <row r="94">
      <c r="A94" s="10" t="n"/>
    </row>
    <row r="95">
      <c r="A95" s="10" t="n"/>
    </row>
    <row r="96">
      <c r="A96" s="10" t="n"/>
    </row>
    <row r="97">
      <c r="A97" s="10" t="n"/>
    </row>
    <row r="98">
      <c r="A98" s="10" t="n"/>
    </row>
    <row r="99">
      <c r="A99" s="10" t="n"/>
    </row>
    <row r="100">
      <c r="A100" s="10" t="n"/>
    </row>
    <row r="101">
      <c r="A101" s="10" t="n"/>
    </row>
    <row r="102">
      <c r="A102" s="10" t="n"/>
    </row>
    <row r="103">
      <c r="A103" s="10" t="n"/>
    </row>
    <row r="104">
      <c r="A104" s="10" t="n"/>
    </row>
    <row r="105">
      <c r="A105" s="10" t="n"/>
    </row>
    <row r="106">
      <c r="A106" s="10" t="n"/>
    </row>
    <row r="107">
      <c r="A107" s="10" t="n"/>
    </row>
    <row r="108">
      <c r="A108" s="10" t="n"/>
    </row>
    <row r="109">
      <c r="A109" s="10" t="n"/>
    </row>
    <row r="110">
      <c r="A110" s="10" t="n"/>
    </row>
    <row r="111">
      <c r="A111" s="10" t="n"/>
    </row>
    <row r="112">
      <c r="A112" s="10" t="n"/>
    </row>
    <row r="113">
      <c r="A113" s="10" t="n"/>
    </row>
    <row r="114">
      <c r="A114" s="10" t="n"/>
    </row>
    <row r="115">
      <c r="A115" s="10" t="n"/>
    </row>
    <row r="116">
      <c r="A116" s="10" t="n"/>
    </row>
    <row r="117">
      <c r="A117" s="10" t="n"/>
    </row>
    <row r="118">
      <c r="A118" s="10" t="n"/>
    </row>
    <row r="119">
      <c r="A119" s="10" t="n"/>
    </row>
    <row r="120">
      <c r="A120" s="10" t="n"/>
    </row>
    <row r="121">
      <c r="A121" s="10" t="n"/>
    </row>
    <row r="122">
      <c r="A122" s="10" t="n"/>
    </row>
    <row r="123">
      <c r="A123" s="10" t="n"/>
    </row>
    <row r="124">
      <c r="A124" s="10" t="n"/>
    </row>
    <row r="125">
      <c r="A125" s="10" t="n"/>
    </row>
    <row r="126">
      <c r="A126" s="10" t="n"/>
    </row>
    <row r="127">
      <c r="A127" s="10" t="n"/>
    </row>
    <row r="128">
      <c r="A128" s="10" t="n"/>
    </row>
    <row r="129">
      <c r="A129" s="10" t="n"/>
    </row>
    <row r="130">
      <c r="A130" s="10" t="n"/>
    </row>
    <row r="131">
      <c r="A131" s="10" t="n"/>
    </row>
    <row r="132">
      <c r="A132" s="10" t="n"/>
    </row>
    <row r="133">
      <c r="A133" s="10" t="n"/>
    </row>
    <row r="134">
      <c r="A134" s="10" t="n"/>
    </row>
    <row r="135">
      <c r="A135" s="10" t="n"/>
    </row>
    <row r="136">
      <c r="A136" s="10" t="n"/>
    </row>
    <row r="137">
      <c r="A137" s="10" t="n"/>
    </row>
    <row r="138">
      <c r="A138" s="10" t="n"/>
    </row>
    <row r="139">
      <c r="A139" s="10" t="n"/>
    </row>
    <row r="140">
      <c r="A140" s="10" t="n"/>
    </row>
    <row r="141">
      <c r="A141" s="10" t="n"/>
    </row>
    <row r="142">
      <c r="A142" s="10" t="n"/>
    </row>
    <row r="143">
      <c r="A143" s="10" t="n"/>
    </row>
    <row r="144">
      <c r="A144" s="10" t="n"/>
    </row>
    <row r="145">
      <c r="A145" s="10" t="n"/>
    </row>
    <row r="146">
      <c r="A146" s="10" t="n"/>
    </row>
    <row r="147">
      <c r="A147" s="10" t="n"/>
    </row>
    <row r="148">
      <c r="A148" s="10" t="n"/>
    </row>
    <row r="149">
      <c r="A149" s="10" t="n"/>
    </row>
    <row r="150">
      <c r="A150" s="10" t="n"/>
    </row>
    <row r="151">
      <c r="A151" s="10" t="n"/>
    </row>
    <row r="152">
      <c r="A152" s="10" t="n"/>
    </row>
    <row r="153">
      <c r="A153" s="10" t="n"/>
    </row>
    <row r="154">
      <c r="A154" s="10" t="n"/>
    </row>
    <row r="155">
      <c r="A155" s="10" t="n"/>
    </row>
    <row r="156">
      <c r="A156" s="10" t="n"/>
    </row>
    <row r="157">
      <c r="A157" s="10" t="n"/>
    </row>
    <row r="158">
      <c r="A158" s="10" t="n"/>
    </row>
    <row r="159">
      <c r="A159" s="10" t="n"/>
    </row>
    <row r="160">
      <c r="A160" s="10" t="n"/>
    </row>
    <row r="161">
      <c r="A161" s="10" t="n"/>
    </row>
    <row r="162">
      <c r="A162" s="10" t="n"/>
    </row>
    <row r="163">
      <c r="A163" s="10" t="n"/>
    </row>
    <row r="164">
      <c r="A164" s="10" t="n"/>
    </row>
    <row r="165">
      <c r="A165" s="10" t="n"/>
    </row>
    <row r="166">
      <c r="A166" s="10" t="n"/>
    </row>
    <row r="167">
      <c r="A167" s="10" t="n"/>
    </row>
    <row r="168">
      <c r="A168" s="10" t="n"/>
    </row>
    <row r="169">
      <c r="A169" s="10" t="n"/>
    </row>
    <row r="170">
      <c r="A170" s="10" t="n"/>
    </row>
    <row r="171">
      <c r="A171" s="10" t="n"/>
    </row>
    <row r="172">
      <c r="A172" s="10" t="n"/>
    </row>
    <row r="173">
      <c r="A173" s="10" t="n"/>
    </row>
    <row r="174">
      <c r="A174" s="10" t="n"/>
    </row>
    <row r="175">
      <c r="A175" s="10" t="n"/>
    </row>
    <row r="176">
      <c r="A176" s="10" t="n"/>
    </row>
    <row r="177">
      <c r="A177" s="10" t="n"/>
    </row>
    <row r="178">
      <c r="A178" s="10" t="n"/>
    </row>
    <row r="179">
      <c r="A179" s="10" t="n"/>
    </row>
    <row r="180">
      <c r="A180" s="10" t="n"/>
    </row>
    <row r="181">
      <c r="A181" s="10" t="n"/>
    </row>
    <row r="182">
      <c r="A182" s="10" t="n"/>
    </row>
    <row r="183">
      <c r="A183" s="10" t="n"/>
    </row>
    <row r="184">
      <c r="A184" s="10" t="n"/>
    </row>
    <row r="185">
      <c r="A185" s="10" t="n"/>
    </row>
    <row r="186">
      <c r="A186" s="10" t="n"/>
    </row>
    <row r="187">
      <c r="A187" s="10" t="n"/>
    </row>
    <row r="188">
      <c r="A188" s="10" t="n"/>
    </row>
    <row r="189">
      <c r="A189" s="10" t="n"/>
    </row>
    <row r="190">
      <c r="A190" s="10" t="n"/>
    </row>
    <row r="191">
      <c r="A191" s="10" t="n"/>
    </row>
    <row r="192">
      <c r="A192" s="10" t="n"/>
    </row>
    <row r="193">
      <c r="A193" s="10" t="n"/>
    </row>
    <row r="194">
      <c r="A194" s="10" t="n"/>
    </row>
    <row r="195">
      <c r="A195" s="10" t="n"/>
    </row>
    <row r="196">
      <c r="A196" s="10" t="n"/>
    </row>
    <row r="197">
      <c r="A197" s="10" t="n"/>
    </row>
    <row r="198">
      <c r="A198" s="10" t="n"/>
    </row>
    <row r="199">
      <c r="A199" s="10" t="n"/>
    </row>
    <row r="200">
      <c r="A200" s="10" t="n"/>
    </row>
    <row r="201">
      <c r="A201" s="10" t="n"/>
    </row>
    <row r="202">
      <c r="A202" s="10" t="n"/>
    </row>
    <row r="203">
      <c r="A203" s="10" t="n"/>
    </row>
    <row r="204">
      <c r="A204" s="10" t="n"/>
    </row>
    <row r="205">
      <c r="A205" s="10" t="n"/>
    </row>
    <row r="206">
      <c r="A206" s="10" t="n"/>
    </row>
    <row r="207">
      <c r="A207" s="10" t="n"/>
    </row>
    <row r="208">
      <c r="A208" s="10" t="n"/>
    </row>
    <row r="209">
      <c r="A209" s="10" t="n"/>
    </row>
    <row r="210">
      <c r="A210" s="10" t="n"/>
    </row>
    <row r="211">
      <c r="A211" s="10" t="n"/>
    </row>
    <row r="212">
      <c r="A212" s="10" t="n"/>
    </row>
    <row r="213">
      <c r="A213" s="10" t="n"/>
    </row>
    <row r="214">
      <c r="A214" s="10" t="n"/>
    </row>
    <row r="215">
      <c r="A215" s="10" t="n"/>
    </row>
    <row r="216">
      <c r="A216" s="10" t="n"/>
    </row>
    <row r="217">
      <c r="A217" s="10" t="n"/>
    </row>
    <row r="218">
      <c r="A218" s="10" t="n"/>
    </row>
    <row r="219">
      <c r="A219" s="10" t="n"/>
    </row>
    <row r="220">
      <c r="A220" s="10" t="n"/>
    </row>
    <row r="221">
      <c r="A221" s="10" t="n"/>
    </row>
    <row r="222">
      <c r="A222" s="10" t="n"/>
    </row>
    <row r="223">
      <c r="A223" s="10" t="n"/>
    </row>
    <row r="224">
      <c r="A224" s="10" t="n"/>
    </row>
    <row r="225">
      <c r="A225" s="10" t="n"/>
    </row>
    <row r="226">
      <c r="A226" s="10" t="n"/>
    </row>
    <row r="227">
      <c r="A227" s="10" t="n"/>
    </row>
    <row r="228">
      <c r="A228" s="10" t="n"/>
    </row>
    <row r="229">
      <c r="A229" s="10" t="n"/>
    </row>
    <row r="230">
      <c r="A230" s="10" t="n"/>
    </row>
    <row r="231">
      <c r="A231" s="10" t="n"/>
    </row>
    <row r="232">
      <c r="A232" s="10" t="n"/>
    </row>
    <row r="233">
      <c r="A233" s="10" t="n"/>
    </row>
    <row r="234">
      <c r="A234" s="10" t="n"/>
    </row>
    <row r="235">
      <c r="A235" s="10" t="n"/>
    </row>
    <row r="236">
      <c r="A236" s="10" t="n"/>
    </row>
    <row r="237">
      <c r="A237" s="10" t="n"/>
    </row>
    <row r="238">
      <c r="A238" s="10" t="n"/>
    </row>
    <row r="239">
      <c r="A239" s="10" t="n"/>
    </row>
    <row r="240">
      <c r="A240" s="10" t="n"/>
    </row>
    <row r="241">
      <c r="A241" s="10" t="n"/>
    </row>
    <row r="242">
      <c r="A242" s="10" t="n"/>
    </row>
    <row r="243">
      <c r="A243" s="10" t="n"/>
    </row>
    <row r="244">
      <c r="A244" s="10" t="n"/>
    </row>
    <row r="245">
      <c r="A245" s="10" t="n"/>
    </row>
    <row r="246">
      <c r="A246" s="10" t="n"/>
    </row>
    <row r="247">
      <c r="A247" s="10" t="n"/>
    </row>
    <row r="248">
      <c r="A248" s="10" t="n"/>
    </row>
    <row r="249">
      <c r="A249" s="10" t="n"/>
    </row>
    <row r="250">
      <c r="A250" s="10" t="n"/>
    </row>
    <row r="251">
      <c r="A251" s="10" t="n"/>
    </row>
    <row r="252">
      <c r="A252" s="10" t="n"/>
    </row>
    <row r="253">
      <c r="A253" s="10" t="n"/>
    </row>
    <row r="254">
      <c r="A254" s="10" t="n"/>
    </row>
    <row r="255">
      <c r="A255" s="10" t="n"/>
    </row>
    <row r="256">
      <c r="A256" s="10" t="n"/>
    </row>
    <row r="257">
      <c r="A257" s="10" t="n"/>
    </row>
    <row r="258">
      <c r="A258" s="10" t="n"/>
    </row>
    <row r="259">
      <c r="A259" s="10" t="n"/>
    </row>
    <row r="260">
      <c r="A260" s="10" t="n"/>
    </row>
    <row r="261">
      <c r="A261" s="10" t="n"/>
    </row>
    <row r="262">
      <c r="A262" s="10" t="n"/>
    </row>
    <row r="263">
      <c r="A263" s="10" t="n"/>
    </row>
    <row r="264">
      <c r="A264" s="10" t="n"/>
    </row>
    <row r="265">
      <c r="A265" s="10" t="n"/>
    </row>
    <row r="266">
      <c r="A266" s="10" t="n"/>
    </row>
    <row r="267">
      <c r="A267" s="10" t="n"/>
    </row>
    <row r="268">
      <c r="A268" s="10" t="n"/>
    </row>
    <row r="269">
      <c r="A269" s="10" t="n"/>
    </row>
    <row r="270">
      <c r="A270" s="10" t="n"/>
    </row>
    <row r="271">
      <c r="A271" s="10" t="n"/>
    </row>
    <row r="272">
      <c r="A272" s="10" t="n"/>
    </row>
    <row r="273">
      <c r="A273" s="10" t="n"/>
    </row>
    <row r="274">
      <c r="A274" s="10" t="n"/>
    </row>
    <row r="275">
      <c r="A275" s="10" t="n"/>
    </row>
    <row r="276">
      <c r="A276" s="10" t="n"/>
    </row>
    <row r="277">
      <c r="A277" s="10" t="n"/>
    </row>
    <row r="278">
      <c r="A278" s="10" t="n"/>
    </row>
    <row r="279">
      <c r="A279" s="10" t="n"/>
    </row>
    <row r="280">
      <c r="A280" s="10" t="n"/>
    </row>
    <row r="281">
      <c r="A281" s="10" t="n"/>
    </row>
    <row r="282">
      <c r="A282" s="10" t="n"/>
    </row>
    <row r="283">
      <c r="A283" s="10" t="n"/>
    </row>
    <row r="284">
      <c r="A284" s="10" t="n"/>
    </row>
    <row r="285">
      <c r="A285" s="10" t="n"/>
    </row>
    <row r="286">
      <c r="A286" s="10" t="n"/>
    </row>
    <row r="287">
      <c r="A287" s="10" t="n"/>
    </row>
    <row r="288">
      <c r="A288" s="10" t="n"/>
    </row>
    <row r="289">
      <c r="A289" s="10" t="n"/>
    </row>
    <row r="290">
      <c r="A290" s="10" t="n"/>
    </row>
    <row r="291">
      <c r="A291" s="10" t="n"/>
    </row>
    <row r="292">
      <c r="A292" s="10" t="n"/>
    </row>
    <row r="293">
      <c r="A293" s="10" t="n"/>
    </row>
    <row r="294">
      <c r="A294" s="10" t="n"/>
    </row>
    <row r="295">
      <c r="A295" s="10" t="n"/>
    </row>
    <row r="296">
      <c r="A296" s="10" t="n"/>
    </row>
    <row r="297">
      <c r="A297" s="10" t="n"/>
    </row>
    <row r="298">
      <c r="A298" s="10" t="n"/>
    </row>
    <row r="299">
      <c r="A299" s="10" t="n"/>
    </row>
    <row r="300">
      <c r="A300" s="10" t="n"/>
    </row>
    <row r="301">
      <c r="A301" s="10" t="n"/>
    </row>
    <row r="302">
      <c r="A302" s="10" t="n"/>
    </row>
    <row r="303">
      <c r="A303" s="10" t="n"/>
    </row>
    <row r="304">
      <c r="A304" s="10" t="n"/>
    </row>
    <row r="305">
      <c r="A305" s="10" t="n"/>
    </row>
    <row r="306">
      <c r="A306" s="10" t="n"/>
    </row>
    <row r="307">
      <c r="A307" s="10" t="n"/>
    </row>
    <row r="308">
      <c r="A308" s="10" t="n"/>
    </row>
    <row r="309">
      <c r="A309" s="10" t="n"/>
    </row>
    <row r="310">
      <c r="A310" s="10" t="n"/>
    </row>
    <row r="311">
      <c r="A311" s="10" t="n"/>
    </row>
    <row r="312">
      <c r="A312" s="10" t="n"/>
    </row>
    <row r="313">
      <c r="A313" s="10" t="n"/>
    </row>
    <row r="314">
      <c r="A314" s="10" t="n"/>
    </row>
    <row r="315">
      <c r="A315" s="10" t="n"/>
    </row>
    <row r="316">
      <c r="A316" s="10" t="n"/>
    </row>
    <row r="317">
      <c r="A317" s="10" t="n"/>
    </row>
    <row r="318">
      <c r="A318" s="10" t="n"/>
    </row>
    <row r="319">
      <c r="A319" s="10" t="n"/>
    </row>
    <row r="320">
      <c r="A320" s="10" t="n"/>
    </row>
    <row r="321">
      <c r="A321" s="10" t="n"/>
    </row>
    <row r="322">
      <c r="A322" s="10" t="n"/>
    </row>
    <row r="323">
      <c r="A323" s="10" t="n"/>
    </row>
    <row r="324">
      <c r="A324" s="10" t="n"/>
    </row>
    <row r="325">
      <c r="A325" s="10" t="n"/>
    </row>
    <row r="326">
      <c r="A326" s="10" t="n"/>
    </row>
    <row r="327">
      <c r="A327" s="10" t="n"/>
    </row>
    <row r="328">
      <c r="A328" s="10" t="n"/>
    </row>
    <row r="329">
      <c r="A329" s="10" t="n"/>
    </row>
    <row r="330">
      <c r="A330" s="10" t="n"/>
    </row>
    <row r="331">
      <c r="A331" s="10" t="n"/>
    </row>
    <row r="332">
      <c r="A332" s="10" t="n"/>
    </row>
    <row r="333">
      <c r="A333" s="10" t="n"/>
    </row>
    <row r="334">
      <c r="A334" s="10" t="n"/>
    </row>
    <row r="335">
      <c r="A335" s="10" t="n"/>
    </row>
    <row r="336">
      <c r="A336" s="10" t="n"/>
    </row>
    <row r="337">
      <c r="A337" s="10" t="n"/>
    </row>
    <row r="338">
      <c r="A338" s="10" t="n"/>
    </row>
    <row r="339">
      <c r="A339" s="10" t="n"/>
    </row>
    <row r="340">
      <c r="A340" s="10" t="n"/>
    </row>
    <row r="341">
      <c r="A341" s="10" t="n"/>
    </row>
    <row r="342">
      <c r="A342" s="10" t="n"/>
    </row>
    <row r="343">
      <c r="A343" s="10" t="n"/>
    </row>
    <row r="344">
      <c r="A344" s="10" t="n"/>
    </row>
    <row r="345">
      <c r="A345" s="10" t="n"/>
    </row>
    <row r="346">
      <c r="A346" s="10" t="n"/>
    </row>
    <row r="347">
      <c r="A347" s="10" t="n"/>
    </row>
    <row r="348">
      <c r="A348" s="10" t="n"/>
    </row>
    <row r="349">
      <c r="A349" s="10" t="n"/>
    </row>
    <row r="350">
      <c r="A350" s="10" t="n"/>
    </row>
    <row r="351">
      <c r="A351" s="10" t="n"/>
    </row>
    <row r="352">
      <c r="A352" s="10" t="n"/>
    </row>
    <row r="353">
      <c r="A353" s="10" t="n"/>
    </row>
    <row r="354">
      <c r="A354" s="10" t="n"/>
    </row>
    <row r="355">
      <c r="A355" s="10" t="n"/>
    </row>
    <row r="356">
      <c r="A356" s="10" t="n"/>
    </row>
    <row r="357">
      <c r="A357" s="10" t="n"/>
    </row>
    <row r="358">
      <c r="A358" s="10" t="n"/>
    </row>
    <row r="359">
      <c r="A359" s="10" t="n"/>
    </row>
    <row r="360">
      <c r="A360" s="10" t="n"/>
    </row>
    <row r="361">
      <c r="A361" s="10" t="n"/>
    </row>
    <row r="362">
      <c r="A362" s="10" t="n"/>
    </row>
    <row r="363">
      <c r="A363" s="10" t="n"/>
    </row>
    <row r="364">
      <c r="A364" s="10" t="n"/>
    </row>
    <row r="365">
      <c r="A365" s="10" t="n"/>
    </row>
    <row r="366">
      <c r="A366" s="10" t="n"/>
    </row>
    <row r="367">
      <c r="A367" s="10" t="n"/>
    </row>
    <row r="368">
      <c r="A368" s="10" t="n"/>
    </row>
    <row r="369">
      <c r="A369" s="10" t="n"/>
    </row>
    <row r="370">
      <c r="A370" s="10" t="n"/>
    </row>
    <row r="371">
      <c r="A371" s="10" t="n"/>
    </row>
    <row r="372">
      <c r="A372" s="10" t="n"/>
    </row>
    <row r="373">
      <c r="A373" s="10" t="n"/>
    </row>
    <row r="374">
      <c r="A374" s="10" t="n"/>
    </row>
    <row r="375">
      <c r="A375" s="10" t="n"/>
    </row>
    <row r="376">
      <c r="A376" s="10" t="n"/>
    </row>
    <row r="377">
      <c r="A377" s="10" t="n"/>
    </row>
    <row r="378">
      <c r="A378" s="10" t="n"/>
    </row>
    <row r="379">
      <c r="A379" s="10" t="n"/>
    </row>
    <row r="380">
      <c r="A380" s="10" t="n"/>
    </row>
    <row r="381">
      <c r="A381" s="10" t="n"/>
    </row>
    <row r="382">
      <c r="A382" s="10" t="n"/>
    </row>
    <row r="383">
      <c r="A383" s="10" t="n"/>
    </row>
    <row r="384">
      <c r="A384" s="10" t="n"/>
    </row>
    <row r="385">
      <c r="A385" s="10" t="n"/>
    </row>
    <row r="386">
      <c r="A386" s="10" t="n"/>
    </row>
    <row r="387">
      <c r="A387" s="10" t="n"/>
    </row>
    <row r="388">
      <c r="A388" s="10" t="n"/>
    </row>
    <row r="389">
      <c r="A389" s="10" t="n"/>
    </row>
    <row r="390">
      <c r="A390" s="10" t="n"/>
    </row>
    <row r="391">
      <c r="A391" s="10" t="n"/>
    </row>
    <row r="392">
      <c r="A392" s="10" t="n"/>
    </row>
    <row r="393">
      <c r="A393" s="10" t="n"/>
    </row>
    <row r="394">
      <c r="A394" s="10" t="n"/>
    </row>
    <row r="395">
      <c r="A395" s="10" t="n"/>
    </row>
    <row r="396">
      <c r="A396" s="10" t="n"/>
    </row>
    <row r="397">
      <c r="A397" s="10" t="n"/>
    </row>
    <row r="398">
      <c r="A398" s="10" t="n"/>
    </row>
    <row r="399">
      <c r="A399" s="10" t="n"/>
    </row>
    <row r="400">
      <c r="A400" s="10" t="n"/>
    </row>
    <row r="401">
      <c r="A401" s="10" t="n"/>
    </row>
    <row r="402">
      <c r="A402" s="10" t="n"/>
    </row>
    <row r="403">
      <c r="A403" s="10" t="n"/>
    </row>
    <row r="404">
      <c r="A404" s="10" t="n"/>
    </row>
    <row r="405">
      <c r="A405" s="10" t="n"/>
    </row>
    <row r="406">
      <c r="A406" s="10" t="n"/>
    </row>
    <row r="407">
      <c r="A407" s="10" t="n"/>
    </row>
    <row r="408">
      <c r="A408" s="10" t="n"/>
    </row>
    <row r="409">
      <c r="A409" s="10" t="n"/>
    </row>
    <row r="410">
      <c r="A410" s="10" t="n"/>
    </row>
    <row r="411">
      <c r="A411" s="10" t="n"/>
    </row>
    <row r="412">
      <c r="A412" s="10" t="n"/>
    </row>
    <row r="413">
      <c r="A413" s="10" t="n"/>
    </row>
    <row r="414">
      <c r="A414" s="10" t="n"/>
    </row>
    <row r="415">
      <c r="A415" s="10" t="n"/>
    </row>
    <row r="416">
      <c r="A416" s="10" t="n"/>
    </row>
    <row r="417">
      <c r="A417" s="10" t="n"/>
    </row>
    <row r="418">
      <c r="A418" s="10" t="n"/>
    </row>
    <row r="419">
      <c r="A419" s="10" t="n"/>
    </row>
    <row r="420">
      <c r="A420" s="10" t="n"/>
    </row>
    <row r="421">
      <c r="A421" s="10" t="n"/>
    </row>
    <row r="422">
      <c r="A422" s="10" t="n"/>
    </row>
    <row r="423">
      <c r="A423" s="10" t="n"/>
    </row>
    <row r="424">
      <c r="A424" s="10" t="n"/>
    </row>
    <row r="425">
      <c r="A425" s="10" t="n"/>
    </row>
    <row r="426">
      <c r="A426" s="10" t="n"/>
    </row>
    <row r="427">
      <c r="A427" s="10" t="n"/>
    </row>
    <row r="428">
      <c r="A428" s="10" t="n"/>
    </row>
    <row r="429">
      <c r="A429" s="10" t="n"/>
    </row>
    <row r="430">
      <c r="A430" s="10" t="n"/>
    </row>
    <row r="431">
      <c r="A431" s="10" t="n"/>
    </row>
    <row r="432">
      <c r="A432" s="10" t="n"/>
    </row>
    <row r="433">
      <c r="A433" s="10" t="n"/>
    </row>
    <row r="434">
      <c r="A434" s="10" t="n"/>
    </row>
    <row r="435">
      <c r="A435" s="10" t="n"/>
    </row>
    <row r="436">
      <c r="A436" s="10" t="n"/>
    </row>
    <row r="437">
      <c r="A437" s="10" t="n"/>
    </row>
    <row r="438">
      <c r="A438" s="10" t="n"/>
    </row>
    <row r="439">
      <c r="A439" s="10" t="n"/>
    </row>
    <row r="440">
      <c r="A440" s="10" t="n"/>
    </row>
    <row r="441">
      <c r="A441" s="10" t="n"/>
    </row>
    <row r="442">
      <c r="A442" s="10" t="n"/>
    </row>
    <row r="443">
      <c r="A443" s="10" t="n"/>
    </row>
    <row r="444">
      <c r="A444" s="10" t="n"/>
    </row>
    <row r="445">
      <c r="A445" s="10" t="n"/>
    </row>
    <row r="446">
      <c r="A446" s="10" t="n"/>
    </row>
    <row r="447">
      <c r="A447" s="10" t="n"/>
    </row>
    <row r="448">
      <c r="A448" s="10" t="n"/>
    </row>
    <row r="449">
      <c r="A449" s="10" t="n"/>
    </row>
    <row r="450">
      <c r="A450" s="10" t="n"/>
    </row>
    <row r="451">
      <c r="A451" s="10" t="n"/>
    </row>
    <row r="452">
      <c r="A452" s="10" t="n"/>
    </row>
    <row r="453">
      <c r="A453" s="10" t="n"/>
    </row>
    <row r="454">
      <c r="A454" s="10" t="n"/>
    </row>
    <row r="455">
      <c r="A455" s="10" t="n"/>
    </row>
    <row r="456">
      <c r="A456" s="10" t="n"/>
    </row>
    <row r="457">
      <c r="A457" s="10" t="n"/>
    </row>
    <row r="458">
      <c r="A458" s="10" t="n"/>
    </row>
    <row r="459">
      <c r="A459" s="10" t="n"/>
    </row>
    <row r="460">
      <c r="A460" s="10" t="n"/>
    </row>
    <row r="461">
      <c r="A461" s="10" t="n"/>
    </row>
    <row r="462">
      <c r="A462" s="10" t="n"/>
    </row>
    <row r="463">
      <c r="A463" s="10" t="n"/>
    </row>
    <row r="464">
      <c r="A464" s="10" t="n"/>
    </row>
    <row r="465">
      <c r="A465" s="10" t="n"/>
    </row>
    <row r="466">
      <c r="A466" s="10" t="n"/>
    </row>
    <row r="467">
      <c r="A467" s="10" t="n"/>
    </row>
    <row r="468">
      <c r="A468" s="10" t="n"/>
    </row>
    <row r="469">
      <c r="A469" s="10" t="n"/>
    </row>
    <row r="470">
      <c r="A470" s="10" t="n"/>
    </row>
    <row r="471">
      <c r="A471" s="10" t="n"/>
    </row>
    <row r="472">
      <c r="A472" s="10" t="n"/>
    </row>
    <row r="473">
      <c r="A473" s="10" t="n"/>
    </row>
    <row r="474">
      <c r="A474" s="10" t="n"/>
    </row>
    <row r="475">
      <c r="A475" s="10" t="n"/>
    </row>
    <row r="476">
      <c r="A476" s="10" t="n"/>
    </row>
    <row r="477">
      <c r="A477" s="10" t="n"/>
    </row>
    <row r="478">
      <c r="A478" s="10" t="n"/>
    </row>
    <row r="479">
      <c r="A479" s="10" t="n"/>
    </row>
    <row r="480">
      <c r="A480" s="10" t="n"/>
    </row>
    <row r="481">
      <c r="A481" s="10" t="n"/>
    </row>
    <row r="482">
      <c r="A482" s="10" t="n"/>
    </row>
    <row r="483">
      <c r="A483" s="10" t="n"/>
    </row>
    <row r="484">
      <c r="A484" s="10" t="n"/>
    </row>
    <row r="485">
      <c r="A485" s="10" t="n"/>
    </row>
    <row r="486">
      <c r="A486" s="10" t="n"/>
    </row>
    <row r="487">
      <c r="A487" s="10" t="n"/>
    </row>
    <row r="488">
      <c r="A488" s="10" t="n"/>
    </row>
    <row r="489">
      <c r="A489" s="10" t="n"/>
    </row>
    <row r="490">
      <c r="A490" s="10" t="n"/>
    </row>
    <row r="491">
      <c r="A491" s="10" t="n"/>
    </row>
    <row r="492">
      <c r="A492" s="10" t="n"/>
    </row>
    <row r="493">
      <c r="A493" s="10" t="n"/>
    </row>
    <row r="494">
      <c r="A494" s="10" t="n"/>
    </row>
    <row r="495">
      <c r="A495" s="10" t="n"/>
    </row>
    <row r="496">
      <c r="A496" s="10" t="n"/>
    </row>
    <row r="497">
      <c r="A497" s="10" t="n"/>
    </row>
    <row r="498">
      <c r="A498" s="10" t="n"/>
    </row>
    <row r="499">
      <c r="A499" s="10" t="n"/>
    </row>
    <row r="500">
      <c r="A500" s="10" t="n"/>
    </row>
    <row r="501">
      <c r="A501" s="10" t="n"/>
    </row>
    <row r="502">
      <c r="A502" s="10" t="n"/>
    </row>
    <row r="503">
      <c r="A503" s="10" t="n"/>
    </row>
    <row r="504">
      <c r="A504" s="10" t="n"/>
    </row>
    <row r="505">
      <c r="A505" s="10" t="n"/>
    </row>
  </sheetData>
  <mergeCells count="2">
    <mergeCell ref="A2:F2"/>
    <mergeCell ref="A1:F1"/>
  </mergeCells>
  <dataValidations count="1">
    <dataValidation sqref="B6:B505" showDropDown="0" showInputMessage="0" showErrorMessage="0" allowBlank="1" type="list">
      <formula1>"AM,PM,NIGHT"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F766E"/>
    <outlinePr summaryBelow="1" summaryRight="1"/>
    <pageSetUpPr/>
  </sheetPr>
  <dimension ref="A1:AE20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2" customWidth="1" min="3" max="3"/>
    <col width="11" customWidth="1" min="4" max="4"/>
    <col width="4" customWidth="1" min="5" max="5"/>
    <col width="8" customWidth="1" min="6" max="6"/>
    <col width="11" customWidth="1" min="7" max="7"/>
    <col width="7" customWidth="1" min="8" max="8"/>
    <col width="14" customWidth="1" min="9" max="9"/>
    <col width="12" customWidth="1" min="10" max="10"/>
    <col width="12" customWidth="1" min="11" max="11"/>
    <col width="10" customWidth="1" min="12" max="12"/>
    <col width="10" customWidth="1" min="13" max="13"/>
    <col width="10" customWidth="1" min="14" max="14"/>
    <col width="14" customWidth="1" min="15" max="15"/>
    <col width="9" customWidth="1" min="16" max="16"/>
    <col width="7" customWidth="1" min="17" max="17"/>
    <col width="7" customWidth="1" min="18" max="18"/>
    <col width="7" customWidth="1" min="19" max="19"/>
    <col width="7" customWidth="1" min="20" max="20"/>
    <col width="14" customWidth="1" min="21" max="21"/>
    <col width="10" customWidth="1" min="22" max="22"/>
    <col width="30" customWidth="1" min="23" max="23"/>
    <col width="12" customWidth="1" min="24" max="24"/>
    <col width="10" customWidth="1" min="25" max="25"/>
    <col width="16" customWidth="1" min="26" max="26"/>
    <col width="10" customWidth="1" min="27" max="27"/>
    <col width="24" customWidth="1" min="28" max="28"/>
    <col width="30" customWidth="1" min="29" max="29"/>
    <col width="16" customWidth="1" min="30" max="30"/>
    <col width="10" customWidth="1" min="31" max="31"/>
  </cols>
  <sheetData>
    <row r="1" ht="30" customHeight="1">
      <c r="A1" s="1" t="inlineStr">
        <is>
          <t>FLIGHT CREW  |  OPS ROOM DECISIONS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</row>
    <row r="2" ht="18" customHeight="1">
      <c r="A2" s="3" t="inlineStr">
        <is>
          <t>Filled in by the dashboard's Ops Room tab, one row per aircraft. Crew are callsigns; a blank seat means the dashboard's pick from the department plans. Blank ETD / ETA = the Master Planner time.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</row>
    <row r="5">
      <c r="A5" s="11" t="inlineStr">
        <is>
          <t>Date</t>
        </is>
      </c>
      <c r="B5" s="11" t="inlineStr">
        <is>
          <t>Shift</t>
        </is>
      </c>
      <c r="C5" s="11" t="inlineStr">
        <is>
          <t>Flight code</t>
        </is>
      </c>
      <c r="D5" s="11" t="inlineStr">
        <is>
          <t>Time</t>
        </is>
      </c>
      <c r="E5" s="11" t="inlineStr">
        <is>
          <t>#</t>
        </is>
      </c>
      <c r="F5" s="11" t="inlineStr">
        <is>
          <t>Aircraft</t>
        </is>
      </c>
      <c r="G5" s="11" t="inlineStr">
        <is>
          <t>Callsign</t>
        </is>
      </c>
      <c r="H5" s="11" t="inlineStr">
        <is>
          <t>Tail</t>
        </is>
      </c>
      <c r="I5" s="11" t="inlineStr">
        <is>
          <t>Aircraft Captain</t>
        </is>
      </c>
      <c r="J5" s="11" t="inlineStr">
        <is>
          <t>Co-Pilot</t>
        </is>
      </c>
      <c r="K5" s="11" t="inlineStr">
        <is>
          <t>Loadmaster</t>
        </is>
      </c>
      <c r="L5" s="11" t="inlineStr">
        <is>
          <t>TACCO</t>
        </is>
      </c>
      <c r="M5" s="11" t="inlineStr">
        <is>
          <t>SUP 1</t>
        </is>
      </c>
      <c r="N5" s="11" t="inlineStr">
        <is>
          <t>SUP 2</t>
        </is>
      </c>
      <c r="O5" s="11" t="inlineStr">
        <is>
          <t>Others</t>
        </is>
      </c>
      <c r="P5" s="11" t="inlineStr">
        <is>
          <t>AO</t>
        </is>
      </c>
      <c r="Q5" s="11" t="inlineStr">
        <is>
          <t>ETD</t>
        </is>
      </c>
      <c r="R5" s="11" t="inlineStr">
        <is>
          <t>ETA</t>
        </is>
      </c>
      <c r="S5" s="11" t="inlineStr">
        <is>
          <t>ATD</t>
        </is>
      </c>
      <c r="T5" s="11" t="inlineStr">
        <is>
          <t>ATA</t>
        </is>
      </c>
      <c r="U5" s="11" t="inlineStr">
        <is>
          <t>Mission Commander</t>
        </is>
      </c>
      <c r="V5" s="11" t="inlineStr">
        <is>
          <t>CRMO</t>
        </is>
      </c>
      <c r="W5" s="11" t="inlineStr">
        <is>
          <t>Remarks</t>
        </is>
      </c>
      <c r="X5" s="11" t="inlineStr">
        <is>
          <t>Alert Status</t>
        </is>
      </c>
      <c r="Y5" s="11" t="inlineStr">
        <is>
          <t>Status</t>
        </is>
      </c>
      <c r="Z5" s="11" t="inlineStr">
        <is>
          <t>Cancel Reason</t>
        </is>
      </c>
      <c r="AA5" s="11" t="inlineStr">
        <is>
          <t>Standby Tail</t>
        </is>
      </c>
      <c r="AB5" s="11" t="inlineStr">
        <is>
          <t>Area Time</t>
        </is>
      </c>
      <c r="AC5" s="11" t="inlineStr">
        <is>
          <t>Additional Crew</t>
        </is>
      </c>
      <c r="AD5" s="11" t="inlineStr">
        <is>
          <t>Pax</t>
        </is>
      </c>
      <c r="AE5" s="11" t="inlineStr">
        <is>
          <t>Brief Timing</t>
        </is>
      </c>
    </row>
    <row r="6">
      <c r="A6" s="12" t="n">
        <v>46296</v>
      </c>
      <c r="B6" t="inlineStr">
        <is>
          <t>AM</t>
        </is>
      </c>
      <c r="C6" t="inlineStr">
        <is>
          <t>2xFLT-2.0</t>
        </is>
      </c>
      <c r="D6" t="inlineStr">
        <is>
          <t>0830-1030</t>
        </is>
      </c>
      <c r="E6" t="n">
        <v>1</v>
      </c>
      <c r="F6" t="n">
        <v>1</v>
      </c>
      <c r="G6" t="inlineStr">
        <is>
          <t>RICOH 1</t>
        </is>
      </c>
      <c r="H6" t="inlineStr">
        <is>
          <t>716</t>
        </is>
      </c>
      <c r="P6" t="inlineStr">
        <is>
          <t>Area 1</t>
        </is>
      </c>
      <c r="U6" t="inlineStr">
        <is>
          <t>COBRA</t>
        </is>
      </c>
      <c r="V6" t="inlineStr">
        <is>
          <t>VIPER</t>
        </is>
      </c>
      <c r="W6" s="13" t="inlineStr">
        <is>
          <t>Formation brief 0730</t>
        </is>
      </c>
      <c r="AA6" t="inlineStr">
        <is>
          <t>714</t>
        </is>
      </c>
      <c r="AB6" s="13" t="inlineStr">
        <is>
          <t>Oscar 0840-0950
Echo 0950-1010</t>
        </is>
      </c>
      <c r="AC6" t="inlineStr">
        <is>
          <t>SUP 2: OWL</t>
        </is>
      </c>
      <c r="AD6" t="inlineStr">
        <is>
          <t>OWL</t>
        </is>
      </c>
      <c r="AE6" t="inlineStr">
        <is>
          <t>0730</t>
        </is>
      </c>
    </row>
    <row r="7">
      <c r="A7" s="12" t="n">
        <v>46296</v>
      </c>
      <c r="B7" t="inlineStr">
        <is>
          <t>AM</t>
        </is>
      </c>
      <c r="C7" t="inlineStr">
        <is>
          <t>2xFLT-2.0</t>
        </is>
      </c>
      <c r="D7" t="inlineStr">
        <is>
          <t>0830-1030</t>
        </is>
      </c>
      <c r="E7" t="n">
        <v>1</v>
      </c>
      <c r="F7" t="n">
        <v>2</v>
      </c>
      <c r="G7" t="inlineStr">
        <is>
          <t>RICOH 2</t>
        </is>
      </c>
      <c r="H7" t="inlineStr">
        <is>
          <t>712</t>
        </is>
      </c>
      <c r="P7" t="inlineStr">
        <is>
          <t>Area 1</t>
        </is>
      </c>
      <c r="W7" s="13" t="n"/>
      <c r="AA7" t="inlineStr">
        <is>
          <t>715</t>
        </is>
      </c>
      <c r="AB7" s="13" t="n"/>
      <c r="AE7" t="inlineStr">
        <is>
          <t>0730</t>
        </is>
      </c>
    </row>
    <row r="8">
      <c r="A8" s="12" t="n"/>
      <c r="W8" s="13" t="n"/>
      <c r="AB8" s="13" t="n"/>
    </row>
    <row r="9">
      <c r="A9" s="12" t="n"/>
      <c r="W9" s="13" t="n"/>
      <c r="AB9" s="13" t="n"/>
    </row>
    <row r="10">
      <c r="A10" s="12" t="n"/>
      <c r="W10" s="13" t="n"/>
      <c r="AB10" s="13" t="n"/>
    </row>
    <row r="11">
      <c r="A11" s="12" t="n"/>
      <c r="W11" s="13" t="n"/>
      <c r="AB11" s="13" t="n"/>
    </row>
    <row r="12">
      <c r="A12" s="12" t="n"/>
      <c r="W12" s="13" t="n"/>
      <c r="AB12" s="13" t="n"/>
    </row>
    <row r="13">
      <c r="A13" s="12" t="n"/>
      <c r="W13" s="13" t="n"/>
      <c r="AB13" s="13" t="n"/>
    </row>
    <row r="14">
      <c r="A14" s="12" t="n"/>
      <c r="W14" s="13" t="n"/>
      <c r="AB14" s="13" t="n"/>
    </row>
    <row r="15">
      <c r="A15" s="12" t="n"/>
      <c r="W15" s="13" t="n"/>
      <c r="AB15" s="13" t="n"/>
    </row>
    <row r="16">
      <c r="A16" s="12" t="n"/>
      <c r="W16" s="13" t="n"/>
      <c r="AB16" s="13" t="n"/>
    </row>
    <row r="17">
      <c r="A17" s="12" t="n"/>
      <c r="W17" s="13" t="n"/>
      <c r="AB17" s="13" t="n"/>
    </row>
    <row r="18">
      <c r="A18" s="12" t="n"/>
      <c r="W18" s="13" t="n"/>
      <c r="AB18" s="13" t="n"/>
    </row>
    <row r="19">
      <c r="A19" s="12" t="n"/>
      <c r="W19" s="13" t="n"/>
      <c r="AB19" s="13" t="n"/>
    </row>
    <row r="20">
      <c r="A20" s="12" t="n"/>
      <c r="W20" s="13" t="n"/>
      <c r="AB20" s="13" t="n"/>
    </row>
    <row r="21">
      <c r="A21" s="12" t="n"/>
      <c r="W21" s="13" t="n"/>
      <c r="AB21" s="13" t="n"/>
    </row>
    <row r="22">
      <c r="A22" s="12" t="n"/>
      <c r="W22" s="13" t="n"/>
      <c r="AB22" s="13" t="n"/>
    </row>
    <row r="23">
      <c r="A23" s="12" t="n"/>
      <c r="W23" s="13" t="n"/>
      <c r="AB23" s="13" t="n"/>
    </row>
    <row r="24">
      <c r="A24" s="12" t="n"/>
      <c r="W24" s="13" t="n"/>
      <c r="AB24" s="13" t="n"/>
    </row>
    <row r="25">
      <c r="A25" s="12" t="n"/>
      <c r="W25" s="13" t="n"/>
      <c r="AB25" s="13" t="n"/>
    </row>
    <row r="26">
      <c r="A26" s="12" t="n"/>
      <c r="W26" s="13" t="n"/>
      <c r="AB26" s="13" t="n"/>
    </row>
    <row r="27">
      <c r="A27" s="12" t="n"/>
      <c r="W27" s="13" t="n"/>
      <c r="AB27" s="13" t="n"/>
    </row>
    <row r="28">
      <c r="A28" s="12" t="n"/>
      <c r="W28" s="13" t="n"/>
      <c r="AB28" s="13" t="n"/>
    </row>
    <row r="29">
      <c r="A29" s="12" t="n"/>
      <c r="W29" s="13" t="n"/>
      <c r="AB29" s="13" t="n"/>
    </row>
    <row r="30">
      <c r="A30" s="12" t="n"/>
      <c r="W30" s="13" t="n"/>
      <c r="AB30" s="13" t="n"/>
    </row>
    <row r="31">
      <c r="A31" s="12" t="n"/>
      <c r="W31" s="13" t="n"/>
      <c r="AB31" s="13" t="n"/>
    </row>
    <row r="32">
      <c r="A32" s="12" t="n"/>
      <c r="W32" s="13" t="n"/>
      <c r="AB32" s="13" t="n"/>
    </row>
    <row r="33">
      <c r="A33" s="12" t="n"/>
      <c r="W33" s="13" t="n"/>
      <c r="AB33" s="13" t="n"/>
    </row>
    <row r="34">
      <c r="A34" s="12" t="n"/>
      <c r="W34" s="13" t="n"/>
      <c r="AB34" s="13" t="n"/>
    </row>
    <row r="35">
      <c r="A35" s="12" t="n"/>
      <c r="W35" s="13" t="n"/>
      <c r="AB35" s="13" t="n"/>
    </row>
    <row r="36">
      <c r="A36" s="12" t="n"/>
      <c r="W36" s="13" t="n"/>
      <c r="AB36" s="13" t="n"/>
    </row>
    <row r="37">
      <c r="A37" s="12" t="n"/>
      <c r="W37" s="13" t="n"/>
      <c r="AB37" s="13" t="n"/>
    </row>
    <row r="38">
      <c r="A38" s="12" t="n"/>
      <c r="W38" s="13" t="n"/>
      <c r="AB38" s="13" t="n"/>
    </row>
    <row r="39">
      <c r="A39" s="12" t="n"/>
      <c r="W39" s="13" t="n"/>
      <c r="AB39" s="13" t="n"/>
    </row>
    <row r="40">
      <c r="A40" s="12" t="n"/>
      <c r="W40" s="13" t="n"/>
      <c r="AB40" s="13" t="n"/>
    </row>
    <row r="41">
      <c r="A41" s="12" t="n"/>
      <c r="W41" s="13" t="n"/>
      <c r="AB41" s="13" t="n"/>
    </row>
    <row r="42">
      <c r="A42" s="12" t="n"/>
      <c r="W42" s="13" t="n"/>
      <c r="AB42" s="13" t="n"/>
    </row>
    <row r="43">
      <c r="A43" s="12" t="n"/>
      <c r="W43" s="13" t="n"/>
      <c r="AB43" s="13" t="n"/>
    </row>
    <row r="44">
      <c r="A44" s="12" t="n"/>
      <c r="W44" s="13" t="n"/>
      <c r="AB44" s="13" t="n"/>
    </row>
    <row r="45">
      <c r="A45" s="12" t="n"/>
      <c r="W45" s="13" t="n"/>
      <c r="AB45" s="13" t="n"/>
    </row>
    <row r="46">
      <c r="A46" s="12" t="n"/>
      <c r="W46" s="13" t="n"/>
      <c r="AB46" s="13" t="n"/>
    </row>
    <row r="47">
      <c r="A47" s="12" t="n"/>
      <c r="W47" s="13" t="n"/>
      <c r="AB47" s="13" t="n"/>
    </row>
    <row r="48">
      <c r="A48" s="12" t="n"/>
      <c r="W48" s="13" t="n"/>
      <c r="AB48" s="13" t="n"/>
    </row>
    <row r="49">
      <c r="A49" s="12" t="n"/>
      <c r="W49" s="13" t="n"/>
      <c r="AB49" s="13" t="n"/>
    </row>
    <row r="50">
      <c r="A50" s="12" t="n"/>
      <c r="W50" s="13" t="n"/>
      <c r="AB50" s="13" t="n"/>
    </row>
    <row r="51">
      <c r="A51" s="12" t="n"/>
      <c r="W51" s="13" t="n"/>
      <c r="AB51" s="13" t="n"/>
    </row>
    <row r="52">
      <c r="A52" s="12" t="n"/>
      <c r="W52" s="13" t="n"/>
      <c r="AB52" s="13" t="n"/>
    </row>
    <row r="53">
      <c r="A53" s="12" t="n"/>
      <c r="W53" s="13" t="n"/>
      <c r="AB53" s="13" t="n"/>
    </row>
    <row r="54">
      <c r="A54" s="12" t="n"/>
      <c r="W54" s="13" t="n"/>
      <c r="AB54" s="13" t="n"/>
    </row>
    <row r="55">
      <c r="A55" s="12" t="n"/>
      <c r="W55" s="13" t="n"/>
      <c r="AB55" s="13" t="n"/>
    </row>
    <row r="56">
      <c r="A56" s="12" t="n"/>
      <c r="W56" s="13" t="n"/>
      <c r="AB56" s="13" t="n"/>
    </row>
    <row r="57">
      <c r="A57" s="12" t="n"/>
      <c r="W57" s="13" t="n"/>
      <c r="AB57" s="13" t="n"/>
    </row>
    <row r="58">
      <c r="A58" s="12" t="n"/>
      <c r="W58" s="13" t="n"/>
      <c r="AB58" s="13" t="n"/>
    </row>
    <row r="59">
      <c r="A59" s="12" t="n"/>
      <c r="W59" s="13" t="n"/>
      <c r="AB59" s="13" t="n"/>
    </row>
    <row r="60">
      <c r="A60" s="12" t="n"/>
      <c r="W60" s="13" t="n"/>
      <c r="AB60" s="13" t="n"/>
    </row>
    <row r="61">
      <c r="A61" s="12" t="n"/>
      <c r="W61" s="13" t="n"/>
      <c r="AB61" s="13" t="n"/>
    </row>
    <row r="62">
      <c r="A62" s="12" t="n"/>
      <c r="W62" s="13" t="n"/>
      <c r="AB62" s="13" t="n"/>
    </row>
    <row r="63">
      <c r="A63" s="12" t="n"/>
      <c r="W63" s="13" t="n"/>
      <c r="AB63" s="13" t="n"/>
    </row>
    <row r="64">
      <c r="A64" s="12" t="n"/>
      <c r="W64" s="13" t="n"/>
      <c r="AB64" s="13" t="n"/>
    </row>
    <row r="65">
      <c r="A65" s="12" t="n"/>
      <c r="W65" s="13" t="n"/>
      <c r="AB65" s="13" t="n"/>
    </row>
    <row r="66">
      <c r="A66" s="12" t="n"/>
      <c r="W66" s="13" t="n"/>
      <c r="AB66" s="13" t="n"/>
    </row>
    <row r="67">
      <c r="A67" s="12" t="n"/>
      <c r="W67" s="13" t="n"/>
      <c r="AB67" s="13" t="n"/>
    </row>
    <row r="68">
      <c r="A68" s="12" t="n"/>
      <c r="W68" s="13" t="n"/>
      <c r="AB68" s="13" t="n"/>
    </row>
    <row r="69">
      <c r="A69" s="12" t="n"/>
      <c r="W69" s="13" t="n"/>
      <c r="AB69" s="13" t="n"/>
    </row>
    <row r="70">
      <c r="A70" s="12" t="n"/>
      <c r="W70" s="13" t="n"/>
      <c r="AB70" s="13" t="n"/>
    </row>
    <row r="71">
      <c r="A71" s="12" t="n"/>
      <c r="W71" s="13" t="n"/>
      <c r="AB71" s="13" t="n"/>
    </row>
    <row r="72">
      <c r="A72" s="12" t="n"/>
      <c r="W72" s="13" t="n"/>
      <c r="AB72" s="13" t="n"/>
    </row>
    <row r="73">
      <c r="A73" s="12" t="n"/>
      <c r="W73" s="13" t="n"/>
      <c r="AB73" s="13" t="n"/>
    </row>
    <row r="74">
      <c r="A74" s="12" t="n"/>
      <c r="W74" s="13" t="n"/>
      <c r="AB74" s="13" t="n"/>
    </row>
    <row r="75">
      <c r="A75" s="12" t="n"/>
      <c r="W75" s="13" t="n"/>
      <c r="AB75" s="13" t="n"/>
    </row>
    <row r="76">
      <c r="A76" s="12" t="n"/>
      <c r="W76" s="13" t="n"/>
      <c r="AB76" s="13" t="n"/>
    </row>
    <row r="77">
      <c r="A77" s="12" t="n"/>
      <c r="W77" s="13" t="n"/>
      <c r="AB77" s="13" t="n"/>
    </row>
    <row r="78">
      <c r="A78" s="12" t="n"/>
      <c r="W78" s="13" t="n"/>
      <c r="AB78" s="13" t="n"/>
    </row>
    <row r="79">
      <c r="A79" s="12" t="n"/>
      <c r="W79" s="13" t="n"/>
      <c r="AB79" s="13" t="n"/>
    </row>
    <row r="80">
      <c r="A80" s="12" t="n"/>
      <c r="W80" s="13" t="n"/>
      <c r="AB80" s="13" t="n"/>
    </row>
    <row r="81">
      <c r="A81" s="12" t="n"/>
      <c r="W81" s="13" t="n"/>
      <c r="AB81" s="13" t="n"/>
    </row>
    <row r="82">
      <c r="A82" s="12" t="n"/>
      <c r="W82" s="13" t="n"/>
      <c r="AB82" s="13" t="n"/>
    </row>
    <row r="83">
      <c r="A83" s="12" t="n"/>
      <c r="W83" s="13" t="n"/>
      <c r="AB83" s="13" t="n"/>
    </row>
    <row r="84">
      <c r="A84" s="12" t="n"/>
      <c r="W84" s="13" t="n"/>
      <c r="AB84" s="13" t="n"/>
    </row>
    <row r="85">
      <c r="A85" s="12" t="n"/>
      <c r="W85" s="13" t="n"/>
      <c r="AB85" s="13" t="n"/>
    </row>
    <row r="86">
      <c r="A86" s="12" t="n"/>
      <c r="W86" s="13" t="n"/>
      <c r="AB86" s="13" t="n"/>
    </row>
    <row r="87">
      <c r="A87" s="12" t="n"/>
      <c r="W87" s="13" t="n"/>
      <c r="AB87" s="13" t="n"/>
    </row>
    <row r="88">
      <c r="A88" s="12" t="n"/>
      <c r="W88" s="13" t="n"/>
      <c r="AB88" s="13" t="n"/>
    </row>
    <row r="89">
      <c r="A89" s="12" t="n"/>
      <c r="W89" s="13" t="n"/>
      <c r="AB89" s="13" t="n"/>
    </row>
    <row r="90">
      <c r="A90" s="12" t="n"/>
      <c r="W90" s="13" t="n"/>
      <c r="AB90" s="13" t="n"/>
    </row>
    <row r="91">
      <c r="A91" s="12" t="n"/>
      <c r="W91" s="13" t="n"/>
      <c r="AB91" s="13" t="n"/>
    </row>
    <row r="92">
      <c r="A92" s="12" t="n"/>
      <c r="W92" s="13" t="n"/>
      <c r="AB92" s="13" t="n"/>
    </row>
    <row r="93">
      <c r="A93" s="12" t="n"/>
      <c r="W93" s="13" t="n"/>
      <c r="AB93" s="13" t="n"/>
    </row>
    <row r="94">
      <c r="A94" s="12" t="n"/>
      <c r="W94" s="13" t="n"/>
      <c r="AB94" s="13" t="n"/>
    </row>
    <row r="95">
      <c r="A95" s="12" t="n"/>
      <c r="W95" s="13" t="n"/>
      <c r="AB95" s="13" t="n"/>
    </row>
    <row r="96">
      <c r="A96" s="12" t="n"/>
      <c r="W96" s="13" t="n"/>
      <c r="AB96" s="13" t="n"/>
    </row>
    <row r="97">
      <c r="A97" s="12" t="n"/>
      <c r="W97" s="13" t="n"/>
      <c r="AB97" s="13" t="n"/>
    </row>
    <row r="98">
      <c r="A98" s="12" t="n"/>
      <c r="W98" s="13" t="n"/>
      <c r="AB98" s="13" t="n"/>
    </row>
    <row r="99">
      <c r="A99" s="12" t="n"/>
      <c r="W99" s="13" t="n"/>
      <c r="AB99" s="13" t="n"/>
    </row>
    <row r="100">
      <c r="A100" s="12" t="n"/>
      <c r="W100" s="13" t="n"/>
      <c r="AB100" s="13" t="n"/>
    </row>
    <row r="101">
      <c r="A101" s="12" t="n"/>
      <c r="W101" s="13" t="n"/>
      <c r="AB101" s="13" t="n"/>
    </row>
    <row r="102">
      <c r="A102" s="12" t="n"/>
      <c r="W102" s="13" t="n"/>
      <c r="AB102" s="13" t="n"/>
    </row>
    <row r="103">
      <c r="A103" s="12" t="n"/>
      <c r="W103" s="13" t="n"/>
      <c r="AB103" s="13" t="n"/>
    </row>
    <row r="104">
      <c r="A104" s="12" t="n"/>
      <c r="W104" s="13" t="n"/>
      <c r="AB104" s="13" t="n"/>
    </row>
    <row r="105">
      <c r="A105" s="12" t="n"/>
      <c r="W105" s="13" t="n"/>
      <c r="AB105" s="13" t="n"/>
    </row>
    <row r="106">
      <c r="A106" s="12" t="n"/>
      <c r="W106" s="13" t="n"/>
      <c r="AB106" s="13" t="n"/>
    </row>
    <row r="107">
      <c r="A107" s="12" t="n"/>
      <c r="W107" s="13" t="n"/>
      <c r="AB107" s="13" t="n"/>
    </row>
    <row r="108">
      <c r="A108" s="12" t="n"/>
      <c r="W108" s="13" t="n"/>
      <c r="AB108" s="13" t="n"/>
    </row>
    <row r="109">
      <c r="A109" s="12" t="n"/>
      <c r="W109" s="13" t="n"/>
      <c r="AB109" s="13" t="n"/>
    </row>
    <row r="110">
      <c r="A110" s="12" t="n"/>
      <c r="W110" s="13" t="n"/>
      <c r="AB110" s="13" t="n"/>
    </row>
    <row r="111">
      <c r="A111" s="12" t="n"/>
      <c r="W111" s="13" t="n"/>
      <c r="AB111" s="13" t="n"/>
    </row>
    <row r="112">
      <c r="A112" s="12" t="n"/>
      <c r="W112" s="13" t="n"/>
      <c r="AB112" s="13" t="n"/>
    </row>
    <row r="113">
      <c r="A113" s="12" t="n"/>
      <c r="W113" s="13" t="n"/>
      <c r="AB113" s="13" t="n"/>
    </row>
    <row r="114">
      <c r="A114" s="12" t="n"/>
      <c r="W114" s="13" t="n"/>
      <c r="AB114" s="13" t="n"/>
    </row>
    <row r="115">
      <c r="A115" s="12" t="n"/>
      <c r="W115" s="13" t="n"/>
      <c r="AB115" s="13" t="n"/>
    </row>
    <row r="116">
      <c r="A116" s="12" t="n"/>
      <c r="W116" s="13" t="n"/>
      <c r="AB116" s="13" t="n"/>
    </row>
    <row r="117">
      <c r="A117" s="12" t="n"/>
      <c r="W117" s="13" t="n"/>
      <c r="AB117" s="13" t="n"/>
    </row>
    <row r="118">
      <c r="A118" s="12" t="n"/>
      <c r="W118" s="13" t="n"/>
      <c r="AB118" s="13" t="n"/>
    </row>
    <row r="119">
      <c r="A119" s="12" t="n"/>
      <c r="W119" s="13" t="n"/>
      <c r="AB119" s="13" t="n"/>
    </row>
    <row r="120">
      <c r="A120" s="12" t="n"/>
      <c r="W120" s="13" t="n"/>
      <c r="AB120" s="13" t="n"/>
    </row>
    <row r="121">
      <c r="A121" s="12" t="n"/>
      <c r="W121" s="13" t="n"/>
      <c r="AB121" s="13" t="n"/>
    </row>
    <row r="122">
      <c r="A122" s="12" t="n"/>
      <c r="W122" s="13" t="n"/>
      <c r="AB122" s="13" t="n"/>
    </row>
    <row r="123">
      <c r="A123" s="12" t="n"/>
      <c r="W123" s="13" t="n"/>
      <c r="AB123" s="13" t="n"/>
    </row>
    <row r="124">
      <c r="A124" s="12" t="n"/>
      <c r="W124" s="13" t="n"/>
      <c r="AB124" s="13" t="n"/>
    </row>
    <row r="125">
      <c r="A125" s="12" t="n"/>
      <c r="W125" s="13" t="n"/>
      <c r="AB125" s="13" t="n"/>
    </row>
    <row r="126">
      <c r="A126" s="12" t="n"/>
      <c r="W126" s="13" t="n"/>
      <c r="AB126" s="13" t="n"/>
    </row>
    <row r="127">
      <c r="A127" s="12" t="n"/>
      <c r="W127" s="13" t="n"/>
      <c r="AB127" s="13" t="n"/>
    </row>
    <row r="128">
      <c r="A128" s="12" t="n"/>
      <c r="W128" s="13" t="n"/>
      <c r="AB128" s="13" t="n"/>
    </row>
    <row r="129">
      <c r="A129" s="12" t="n"/>
      <c r="W129" s="13" t="n"/>
      <c r="AB129" s="13" t="n"/>
    </row>
    <row r="130">
      <c r="A130" s="12" t="n"/>
      <c r="W130" s="13" t="n"/>
      <c r="AB130" s="13" t="n"/>
    </row>
    <row r="131">
      <c r="A131" s="12" t="n"/>
      <c r="W131" s="13" t="n"/>
      <c r="AB131" s="13" t="n"/>
    </row>
    <row r="132">
      <c r="A132" s="12" t="n"/>
      <c r="W132" s="13" t="n"/>
      <c r="AB132" s="13" t="n"/>
    </row>
    <row r="133">
      <c r="A133" s="12" t="n"/>
      <c r="W133" s="13" t="n"/>
      <c r="AB133" s="13" t="n"/>
    </row>
    <row r="134">
      <c r="A134" s="12" t="n"/>
      <c r="W134" s="13" t="n"/>
      <c r="AB134" s="13" t="n"/>
    </row>
    <row r="135">
      <c r="A135" s="12" t="n"/>
      <c r="W135" s="13" t="n"/>
      <c r="AB135" s="13" t="n"/>
    </row>
    <row r="136">
      <c r="A136" s="12" t="n"/>
      <c r="W136" s="13" t="n"/>
      <c r="AB136" s="13" t="n"/>
    </row>
    <row r="137">
      <c r="A137" s="12" t="n"/>
      <c r="W137" s="13" t="n"/>
      <c r="AB137" s="13" t="n"/>
    </row>
    <row r="138">
      <c r="A138" s="12" t="n"/>
      <c r="W138" s="13" t="n"/>
      <c r="AB138" s="13" t="n"/>
    </row>
    <row r="139">
      <c r="A139" s="12" t="n"/>
      <c r="W139" s="13" t="n"/>
      <c r="AB139" s="13" t="n"/>
    </row>
    <row r="140">
      <c r="A140" s="12" t="n"/>
      <c r="W140" s="13" t="n"/>
      <c r="AB140" s="13" t="n"/>
    </row>
    <row r="141">
      <c r="A141" s="12" t="n"/>
      <c r="W141" s="13" t="n"/>
      <c r="AB141" s="13" t="n"/>
    </row>
    <row r="142">
      <c r="A142" s="12" t="n"/>
      <c r="W142" s="13" t="n"/>
      <c r="AB142" s="13" t="n"/>
    </row>
    <row r="143">
      <c r="A143" s="12" t="n"/>
      <c r="W143" s="13" t="n"/>
      <c r="AB143" s="13" t="n"/>
    </row>
    <row r="144">
      <c r="A144" s="12" t="n"/>
      <c r="W144" s="13" t="n"/>
      <c r="AB144" s="13" t="n"/>
    </row>
    <row r="145">
      <c r="A145" s="12" t="n"/>
      <c r="W145" s="13" t="n"/>
      <c r="AB145" s="13" t="n"/>
    </row>
    <row r="146">
      <c r="A146" s="12" t="n"/>
      <c r="W146" s="13" t="n"/>
      <c r="AB146" s="13" t="n"/>
    </row>
    <row r="147">
      <c r="A147" s="12" t="n"/>
      <c r="W147" s="13" t="n"/>
      <c r="AB147" s="13" t="n"/>
    </row>
    <row r="148">
      <c r="A148" s="12" t="n"/>
      <c r="W148" s="13" t="n"/>
      <c r="AB148" s="13" t="n"/>
    </row>
    <row r="149">
      <c r="A149" s="12" t="n"/>
      <c r="W149" s="13" t="n"/>
      <c r="AB149" s="13" t="n"/>
    </row>
    <row r="150">
      <c r="A150" s="12" t="n"/>
      <c r="W150" s="13" t="n"/>
      <c r="AB150" s="13" t="n"/>
    </row>
    <row r="151">
      <c r="A151" s="12" t="n"/>
      <c r="W151" s="13" t="n"/>
      <c r="AB151" s="13" t="n"/>
    </row>
    <row r="152">
      <c r="A152" s="12" t="n"/>
      <c r="W152" s="13" t="n"/>
      <c r="AB152" s="13" t="n"/>
    </row>
    <row r="153">
      <c r="A153" s="12" t="n"/>
      <c r="W153" s="13" t="n"/>
      <c r="AB153" s="13" t="n"/>
    </row>
    <row r="154">
      <c r="A154" s="12" t="n"/>
      <c r="W154" s="13" t="n"/>
      <c r="AB154" s="13" t="n"/>
    </row>
    <row r="155">
      <c r="A155" s="12" t="n"/>
      <c r="W155" s="13" t="n"/>
      <c r="AB155" s="13" t="n"/>
    </row>
    <row r="156">
      <c r="A156" s="12" t="n"/>
      <c r="W156" s="13" t="n"/>
      <c r="AB156" s="13" t="n"/>
    </row>
    <row r="157">
      <c r="A157" s="12" t="n"/>
      <c r="W157" s="13" t="n"/>
      <c r="AB157" s="13" t="n"/>
    </row>
    <row r="158">
      <c r="A158" s="12" t="n"/>
      <c r="W158" s="13" t="n"/>
      <c r="AB158" s="13" t="n"/>
    </row>
    <row r="159">
      <c r="A159" s="12" t="n"/>
      <c r="W159" s="13" t="n"/>
      <c r="AB159" s="13" t="n"/>
    </row>
    <row r="160">
      <c r="A160" s="12" t="n"/>
      <c r="W160" s="13" t="n"/>
      <c r="AB160" s="13" t="n"/>
    </row>
    <row r="161">
      <c r="A161" s="12" t="n"/>
      <c r="W161" s="13" t="n"/>
      <c r="AB161" s="13" t="n"/>
    </row>
    <row r="162">
      <c r="A162" s="12" t="n"/>
      <c r="W162" s="13" t="n"/>
      <c r="AB162" s="13" t="n"/>
    </row>
    <row r="163">
      <c r="A163" s="12" t="n"/>
      <c r="W163" s="13" t="n"/>
      <c r="AB163" s="13" t="n"/>
    </row>
    <row r="164">
      <c r="A164" s="12" t="n"/>
      <c r="W164" s="13" t="n"/>
      <c r="AB164" s="13" t="n"/>
    </row>
    <row r="165">
      <c r="A165" s="12" t="n"/>
      <c r="W165" s="13" t="n"/>
      <c r="AB165" s="13" t="n"/>
    </row>
    <row r="166">
      <c r="A166" s="12" t="n"/>
      <c r="W166" s="13" t="n"/>
      <c r="AB166" s="13" t="n"/>
    </row>
    <row r="167">
      <c r="A167" s="12" t="n"/>
      <c r="W167" s="13" t="n"/>
      <c r="AB167" s="13" t="n"/>
    </row>
    <row r="168">
      <c r="A168" s="12" t="n"/>
      <c r="W168" s="13" t="n"/>
      <c r="AB168" s="13" t="n"/>
    </row>
    <row r="169">
      <c r="A169" s="12" t="n"/>
      <c r="W169" s="13" t="n"/>
      <c r="AB169" s="13" t="n"/>
    </row>
    <row r="170">
      <c r="A170" s="12" t="n"/>
      <c r="W170" s="13" t="n"/>
      <c r="AB170" s="13" t="n"/>
    </row>
    <row r="171">
      <c r="A171" s="12" t="n"/>
      <c r="W171" s="13" t="n"/>
      <c r="AB171" s="13" t="n"/>
    </row>
    <row r="172">
      <c r="A172" s="12" t="n"/>
      <c r="W172" s="13" t="n"/>
      <c r="AB172" s="13" t="n"/>
    </row>
    <row r="173">
      <c r="A173" s="12" t="n"/>
      <c r="W173" s="13" t="n"/>
      <c r="AB173" s="13" t="n"/>
    </row>
    <row r="174">
      <c r="A174" s="12" t="n"/>
      <c r="W174" s="13" t="n"/>
      <c r="AB174" s="13" t="n"/>
    </row>
    <row r="175">
      <c r="A175" s="12" t="n"/>
      <c r="W175" s="13" t="n"/>
      <c r="AB175" s="13" t="n"/>
    </row>
    <row r="176">
      <c r="A176" s="12" t="n"/>
      <c r="W176" s="13" t="n"/>
      <c r="AB176" s="13" t="n"/>
    </row>
    <row r="177">
      <c r="A177" s="12" t="n"/>
      <c r="W177" s="13" t="n"/>
      <c r="AB177" s="13" t="n"/>
    </row>
    <row r="178">
      <c r="A178" s="12" t="n"/>
      <c r="W178" s="13" t="n"/>
      <c r="AB178" s="13" t="n"/>
    </row>
    <row r="179">
      <c r="A179" s="12" t="n"/>
      <c r="W179" s="13" t="n"/>
      <c r="AB179" s="13" t="n"/>
    </row>
    <row r="180">
      <c r="A180" s="12" t="n"/>
      <c r="W180" s="13" t="n"/>
      <c r="AB180" s="13" t="n"/>
    </row>
    <row r="181">
      <c r="A181" s="12" t="n"/>
      <c r="W181" s="13" t="n"/>
      <c r="AB181" s="13" t="n"/>
    </row>
    <row r="182">
      <c r="A182" s="12" t="n"/>
      <c r="W182" s="13" t="n"/>
      <c r="AB182" s="13" t="n"/>
    </row>
    <row r="183">
      <c r="A183" s="12" t="n"/>
      <c r="W183" s="13" t="n"/>
      <c r="AB183" s="13" t="n"/>
    </row>
    <row r="184">
      <c r="A184" s="12" t="n"/>
      <c r="W184" s="13" t="n"/>
      <c r="AB184" s="13" t="n"/>
    </row>
    <row r="185">
      <c r="A185" s="12" t="n"/>
      <c r="W185" s="13" t="n"/>
      <c r="AB185" s="13" t="n"/>
    </row>
    <row r="186">
      <c r="A186" s="12" t="n"/>
      <c r="W186" s="13" t="n"/>
      <c r="AB186" s="13" t="n"/>
    </row>
    <row r="187">
      <c r="A187" s="12" t="n"/>
      <c r="W187" s="13" t="n"/>
      <c r="AB187" s="13" t="n"/>
    </row>
    <row r="188">
      <c r="A188" s="12" t="n"/>
      <c r="W188" s="13" t="n"/>
      <c r="AB188" s="13" t="n"/>
    </row>
    <row r="189">
      <c r="A189" s="12" t="n"/>
      <c r="W189" s="13" t="n"/>
      <c r="AB189" s="13" t="n"/>
    </row>
    <row r="190">
      <c r="A190" s="12" t="n"/>
      <c r="W190" s="13" t="n"/>
      <c r="AB190" s="13" t="n"/>
    </row>
    <row r="191">
      <c r="A191" s="12" t="n"/>
      <c r="W191" s="13" t="n"/>
      <c r="AB191" s="13" t="n"/>
    </row>
    <row r="192">
      <c r="A192" s="12" t="n"/>
      <c r="W192" s="13" t="n"/>
      <c r="AB192" s="13" t="n"/>
    </row>
    <row r="193">
      <c r="A193" s="12" t="n"/>
      <c r="W193" s="13" t="n"/>
      <c r="AB193" s="13" t="n"/>
    </row>
    <row r="194">
      <c r="A194" s="12" t="n"/>
      <c r="W194" s="13" t="n"/>
      <c r="AB194" s="13" t="n"/>
    </row>
    <row r="195">
      <c r="A195" s="12" t="n"/>
      <c r="W195" s="13" t="n"/>
      <c r="AB195" s="13" t="n"/>
    </row>
    <row r="196">
      <c r="A196" s="12" t="n"/>
      <c r="W196" s="13" t="n"/>
      <c r="AB196" s="13" t="n"/>
    </row>
    <row r="197">
      <c r="A197" s="12" t="n"/>
      <c r="W197" s="13" t="n"/>
      <c r="AB197" s="13" t="n"/>
    </row>
    <row r="198">
      <c r="A198" s="12" t="n"/>
      <c r="W198" s="13" t="n"/>
      <c r="AB198" s="13" t="n"/>
    </row>
    <row r="199">
      <c r="A199" s="12" t="n"/>
      <c r="W199" s="13" t="n"/>
      <c r="AB199" s="13" t="n"/>
    </row>
    <row r="200">
      <c r="A200" s="12" t="n"/>
      <c r="W200" s="13" t="n"/>
      <c r="AB200" s="13" t="n"/>
    </row>
    <row r="201">
      <c r="A201" s="12" t="n"/>
      <c r="W201" s="13" t="n"/>
      <c r="AB201" s="13" t="n"/>
    </row>
    <row r="202">
      <c r="A202" s="12" t="n"/>
      <c r="W202" s="13" t="n"/>
      <c r="AB202" s="13" t="n"/>
    </row>
    <row r="203">
      <c r="A203" s="12" t="n"/>
      <c r="W203" s="13" t="n"/>
      <c r="AB203" s="13" t="n"/>
    </row>
    <row r="204">
      <c r="A204" s="12" t="n"/>
      <c r="W204" s="13" t="n"/>
      <c r="AB204" s="13" t="n"/>
    </row>
    <row r="205">
      <c r="A205" s="12" t="n"/>
      <c r="W205" s="13" t="n"/>
      <c r="AB205" s="13" t="n"/>
    </row>
    <row r="206">
      <c r="A206" s="12" t="n"/>
      <c r="W206" s="13" t="n"/>
      <c r="AB206" s="13" t="n"/>
    </row>
    <row r="207">
      <c r="A207" s="12" t="n"/>
      <c r="W207" s="13" t="n"/>
      <c r="AB207" s="13" t="n"/>
    </row>
    <row r="208">
      <c r="A208" s="12" t="n"/>
      <c r="W208" s="13" t="n"/>
      <c r="AB208" s="13" t="n"/>
    </row>
    <row r="209">
      <c r="A209" s="12" t="n"/>
      <c r="W209" s="13" t="n"/>
      <c r="AB209" s="13" t="n"/>
    </row>
    <row r="210">
      <c r="A210" s="12" t="n"/>
      <c r="W210" s="13" t="n"/>
      <c r="AB210" s="13" t="n"/>
    </row>
    <row r="211">
      <c r="A211" s="12" t="n"/>
      <c r="W211" s="13" t="n"/>
      <c r="AB211" s="13" t="n"/>
    </row>
    <row r="212">
      <c r="A212" s="12" t="n"/>
      <c r="W212" s="13" t="n"/>
      <c r="AB212" s="13" t="n"/>
    </row>
    <row r="213">
      <c r="A213" s="12" t="n"/>
      <c r="W213" s="13" t="n"/>
      <c r="AB213" s="13" t="n"/>
    </row>
    <row r="214">
      <c r="A214" s="12" t="n"/>
      <c r="W214" s="13" t="n"/>
      <c r="AB214" s="13" t="n"/>
    </row>
    <row r="215">
      <c r="A215" s="12" t="n"/>
      <c r="W215" s="13" t="n"/>
      <c r="AB215" s="13" t="n"/>
    </row>
    <row r="216">
      <c r="A216" s="12" t="n"/>
      <c r="W216" s="13" t="n"/>
      <c r="AB216" s="13" t="n"/>
    </row>
    <row r="217">
      <c r="A217" s="12" t="n"/>
      <c r="W217" s="13" t="n"/>
      <c r="AB217" s="13" t="n"/>
    </row>
    <row r="218">
      <c r="A218" s="12" t="n"/>
      <c r="W218" s="13" t="n"/>
      <c r="AB218" s="13" t="n"/>
    </row>
    <row r="219">
      <c r="A219" s="12" t="n"/>
      <c r="W219" s="13" t="n"/>
      <c r="AB219" s="13" t="n"/>
    </row>
    <row r="220">
      <c r="A220" s="12" t="n"/>
      <c r="W220" s="13" t="n"/>
      <c r="AB220" s="13" t="n"/>
    </row>
    <row r="221">
      <c r="A221" s="12" t="n"/>
      <c r="W221" s="13" t="n"/>
      <c r="AB221" s="13" t="n"/>
    </row>
    <row r="222">
      <c r="A222" s="12" t="n"/>
      <c r="W222" s="13" t="n"/>
      <c r="AB222" s="13" t="n"/>
    </row>
    <row r="223">
      <c r="A223" s="12" t="n"/>
      <c r="W223" s="13" t="n"/>
      <c r="AB223" s="13" t="n"/>
    </row>
    <row r="224">
      <c r="A224" s="12" t="n"/>
      <c r="W224" s="13" t="n"/>
      <c r="AB224" s="13" t="n"/>
    </row>
    <row r="225">
      <c r="A225" s="12" t="n"/>
      <c r="W225" s="13" t="n"/>
      <c r="AB225" s="13" t="n"/>
    </row>
    <row r="226">
      <c r="A226" s="12" t="n"/>
      <c r="W226" s="13" t="n"/>
      <c r="AB226" s="13" t="n"/>
    </row>
    <row r="227">
      <c r="A227" s="12" t="n"/>
      <c r="W227" s="13" t="n"/>
      <c r="AB227" s="13" t="n"/>
    </row>
    <row r="228">
      <c r="A228" s="12" t="n"/>
      <c r="W228" s="13" t="n"/>
      <c r="AB228" s="13" t="n"/>
    </row>
    <row r="229">
      <c r="A229" s="12" t="n"/>
      <c r="W229" s="13" t="n"/>
      <c r="AB229" s="13" t="n"/>
    </row>
    <row r="230">
      <c r="A230" s="12" t="n"/>
      <c r="W230" s="13" t="n"/>
      <c r="AB230" s="13" t="n"/>
    </row>
    <row r="231">
      <c r="A231" s="12" t="n"/>
      <c r="W231" s="13" t="n"/>
      <c r="AB231" s="13" t="n"/>
    </row>
    <row r="232">
      <c r="A232" s="12" t="n"/>
      <c r="W232" s="13" t="n"/>
      <c r="AB232" s="13" t="n"/>
    </row>
    <row r="233">
      <c r="A233" s="12" t="n"/>
      <c r="W233" s="13" t="n"/>
      <c r="AB233" s="13" t="n"/>
    </row>
    <row r="234">
      <c r="A234" s="12" t="n"/>
      <c r="W234" s="13" t="n"/>
      <c r="AB234" s="13" t="n"/>
    </row>
    <row r="235">
      <c r="A235" s="12" t="n"/>
      <c r="W235" s="13" t="n"/>
      <c r="AB235" s="13" t="n"/>
    </row>
    <row r="236">
      <c r="A236" s="12" t="n"/>
      <c r="W236" s="13" t="n"/>
      <c r="AB236" s="13" t="n"/>
    </row>
    <row r="237">
      <c r="A237" s="12" t="n"/>
      <c r="W237" s="13" t="n"/>
      <c r="AB237" s="13" t="n"/>
    </row>
    <row r="238">
      <c r="A238" s="12" t="n"/>
      <c r="W238" s="13" t="n"/>
      <c r="AB238" s="13" t="n"/>
    </row>
    <row r="239">
      <c r="A239" s="12" t="n"/>
      <c r="W239" s="13" t="n"/>
      <c r="AB239" s="13" t="n"/>
    </row>
    <row r="240">
      <c r="A240" s="12" t="n"/>
      <c r="W240" s="13" t="n"/>
      <c r="AB240" s="13" t="n"/>
    </row>
    <row r="241">
      <c r="A241" s="12" t="n"/>
      <c r="W241" s="13" t="n"/>
      <c r="AB241" s="13" t="n"/>
    </row>
    <row r="242">
      <c r="A242" s="12" t="n"/>
      <c r="W242" s="13" t="n"/>
      <c r="AB242" s="13" t="n"/>
    </row>
    <row r="243">
      <c r="A243" s="12" t="n"/>
      <c r="W243" s="13" t="n"/>
      <c r="AB243" s="13" t="n"/>
    </row>
    <row r="244">
      <c r="A244" s="12" t="n"/>
      <c r="W244" s="13" t="n"/>
      <c r="AB244" s="13" t="n"/>
    </row>
    <row r="245">
      <c r="A245" s="12" t="n"/>
      <c r="W245" s="13" t="n"/>
      <c r="AB245" s="13" t="n"/>
    </row>
    <row r="246">
      <c r="A246" s="12" t="n"/>
      <c r="W246" s="13" t="n"/>
      <c r="AB246" s="13" t="n"/>
    </row>
    <row r="247">
      <c r="A247" s="12" t="n"/>
      <c r="W247" s="13" t="n"/>
      <c r="AB247" s="13" t="n"/>
    </row>
    <row r="248">
      <c r="A248" s="12" t="n"/>
      <c r="W248" s="13" t="n"/>
      <c r="AB248" s="13" t="n"/>
    </row>
    <row r="249">
      <c r="A249" s="12" t="n"/>
      <c r="W249" s="13" t="n"/>
      <c r="AB249" s="13" t="n"/>
    </row>
    <row r="250">
      <c r="A250" s="12" t="n"/>
      <c r="W250" s="13" t="n"/>
      <c r="AB250" s="13" t="n"/>
    </row>
    <row r="251">
      <c r="A251" s="12" t="n"/>
      <c r="W251" s="13" t="n"/>
      <c r="AB251" s="13" t="n"/>
    </row>
    <row r="252">
      <c r="A252" s="12" t="n"/>
      <c r="W252" s="13" t="n"/>
      <c r="AB252" s="13" t="n"/>
    </row>
    <row r="253">
      <c r="A253" s="12" t="n"/>
      <c r="W253" s="13" t="n"/>
      <c r="AB253" s="13" t="n"/>
    </row>
    <row r="254">
      <c r="A254" s="12" t="n"/>
      <c r="W254" s="13" t="n"/>
      <c r="AB254" s="13" t="n"/>
    </row>
    <row r="255">
      <c r="A255" s="12" t="n"/>
      <c r="W255" s="13" t="n"/>
      <c r="AB255" s="13" t="n"/>
    </row>
    <row r="256">
      <c r="A256" s="12" t="n"/>
      <c r="W256" s="13" t="n"/>
      <c r="AB256" s="13" t="n"/>
    </row>
    <row r="257">
      <c r="A257" s="12" t="n"/>
      <c r="W257" s="13" t="n"/>
      <c r="AB257" s="13" t="n"/>
    </row>
    <row r="258">
      <c r="A258" s="12" t="n"/>
      <c r="W258" s="13" t="n"/>
      <c r="AB258" s="13" t="n"/>
    </row>
    <row r="259">
      <c r="A259" s="12" t="n"/>
      <c r="W259" s="13" t="n"/>
      <c r="AB259" s="13" t="n"/>
    </row>
    <row r="260">
      <c r="A260" s="12" t="n"/>
      <c r="W260" s="13" t="n"/>
      <c r="AB260" s="13" t="n"/>
    </row>
    <row r="261">
      <c r="A261" s="12" t="n"/>
      <c r="W261" s="13" t="n"/>
      <c r="AB261" s="13" t="n"/>
    </row>
    <row r="262">
      <c r="A262" s="12" t="n"/>
      <c r="W262" s="13" t="n"/>
      <c r="AB262" s="13" t="n"/>
    </row>
    <row r="263">
      <c r="A263" s="12" t="n"/>
      <c r="W263" s="13" t="n"/>
      <c r="AB263" s="13" t="n"/>
    </row>
    <row r="264">
      <c r="A264" s="12" t="n"/>
      <c r="W264" s="13" t="n"/>
      <c r="AB264" s="13" t="n"/>
    </row>
    <row r="265">
      <c r="A265" s="12" t="n"/>
      <c r="W265" s="13" t="n"/>
      <c r="AB265" s="13" t="n"/>
    </row>
    <row r="266">
      <c r="A266" s="12" t="n"/>
      <c r="W266" s="13" t="n"/>
      <c r="AB266" s="13" t="n"/>
    </row>
    <row r="267">
      <c r="A267" s="12" t="n"/>
      <c r="W267" s="13" t="n"/>
      <c r="AB267" s="13" t="n"/>
    </row>
    <row r="268">
      <c r="A268" s="12" t="n"/>
      <c r="W268" s="13" t="n"/>
      <c r="AB268" s="13" t="n"/>
    </row>
    <row r="269">
      <c r="A269" s="12" t="n"/>
      <c r="W269" s="13" t="n"/>
      <c r="AB269" s="13" t="n"/>
    </row>
    <row r="270">
      <c r="A270" s="12" t="n"/>
      <c r="W270" s="13" t="n"/>
      <c r="AB270" s="13" t="n"/>
    </row>
    <row r="271">
      <c r="A271" s="12" t="n"/>
      <c r="W271" s="13" t="n"/>
      <c r="AB271" s="13" t="n"/>
    </row>
    <row r="272">
      <c r="A272" s="12" t="n"/>
      <c r="W272" s="13" t="n"/>
      <c r="AB272" s="13" t="n"/>
    </row>
    <row r="273">
      <c r="A273" s="12" t="n"/>
      <c r="W273" s="13" t="n"/>
      <c r="AB273" s="13" t="n"/>
    </row>
    <row r="274">
      <c r="A274" s="12" t="n"/>
      <c r="W274" s="13" t="n"/>
      <c r="AB274" s="13" t="n"/>
    </row>
    <row r="275">
      <c r="A275" s="12" t="n"/>
      <c r="W275" s="13" t="n"/>
      <c r="AB275" s="13" t="n"/>
    </row>
    <row r="276">
      <c r="A276" s="12" t="n"/>
      <c r="W276" s="13" t="n"/>
      <c r="AB276" s="13" t="n"/>
    </row>
    <row r="277">
      <c r="A277" s="12" t="n"/>
      <c r="W277" s="13" t="n"/>
      <c r="AB277" s="13" t="n"/>
    </row>
    <row r="278">
      <c r="A278" s="12" t="n"/>
      <c r="W278" s="13" t="n"/>
      <c r="AB278" s="13" t="n"/>
    </row>
    <row r="279">
      <c r="A279" s="12" t="n"/>
      <c r="W279" s="13" t="n"/>
      <c r="AB279" s="13" t="n"/>
    </row>
    <row r="280">
      <c r="A280" s="12" t="n"/>
      <c r="W280" s="13" t="n"/>
      <c r="AB280" s="13" t="n"/>
    </row>
    <row r="281">
      <c r="A281" s="12" t="n"/>
      <c r="W281" s="13" t="n"/>
      <c r="AB281" s="13" t="n"/>
    </row>
    <row r="282">
      <c r="A282" s="12" t="n"/>
      <c r="W282" s="13" t="n"/>
      <c r="AB282" s="13" t="n"/>
    </row>
    <row r="283">
      <c r="A283" s="12" t="n"/>
      <c r="W283" s="13" t="n"/>
      <c r="AB283" s="13" t="n"/>
    </row>
    <row r="284">
      <c r="A284" s="12" t="n"/>
      <c r="W284" s="13" t="n"/>
      <c r="AB284" s="13" t="n"/>
    </row>
    <row r="285">
      <c r="A285" s="12" t="n"/>
      <c r="W285" s="13" t="n"/>
      <c r="AB285" s="13" t="n"/>
    </row>
    <row r="286">
      <c r="A286" s="12" t="n"/>
      <c r="W286" s="13" t="n"/>
      <c r="AB286" s="13" t="n"/>
    </row>
    <row r="287">
      <c r="A287" s="12" t="n"/>
      <c r="W287" s="13" t="n"/>
      <c r="AB287" s="13" t="n"/>
    </row>
    <row r="288">
      <c r="A288" s="12" t="n"/>
      <c r="W288" s="13" t="n"/>
      <c r="AB288" s="13" t="n"/>
    </row>
    <row r="289">
      <c r="A289" s="12" t="n"/>
      <c r="W289" s="13" t="n"/>
      <c r="AB289" s="13" t="n"/>
    </row>
    <row r="290">
      <c r="A290" s="12" t="n"/>
      <c r="W290" s="13" t="n"/>
      <c r="AB290" s="13" t="n"/>
    </row>
    <row r="291">
      <c r="A291" s="12" t="n"/>
      <c r="W291" s="13" t="n"/>
      <c r="AB291" s="13" t="n"/>
    </row>
    <row r="292">
      <c r="A292" s="12" t="n"/>
      <c r="W292" s="13" t="n"/>
      <c r="AB292" s="13" t="n"/>
    </row>
    <row r="293">
      <c r="A293" s="12" t="n"/>
      <c r="W293" s="13" t="n"/>
      <c r="AB293" s="13" t="n"/>
    </row>
    <row r="294">
      <c r="A294" s="12" t="n"/>
      <c r="W294" s="13" t="n"/>
      <c r="AB294" s="13" t="n"/>
    </row>
    <row r="295">
      <c r="A295" s="12" t="n"/>
      <c r="W295" s="13" t="n"/>
      <c r="AB295" s="13" t="n"/>
    </row>
    <row r="296">
      <c r="A296" s="12" t="n"/>
      <c r="W296" s="13" t="n"/>
      <c r="AB296" s="13" t="n"/>
    </row>
    <row r="297">
      <c r="A297" s="12" t="n"/>
      <c r="W297" s="13" t="n"/>
      <c r="AB297" s="13" t="n"/>
    </row>
    <row r="298">
      <c r="A298" s="12" t="n"/>
      <c r="W298" s="13" t="n"/>
      <c r="AB298" s="13" t="n"/>
    </row>
    <row r="299">
      <c r="A299" s="12" t="n"/>
      <c r="W299" s="13" t="n"/>
      <c r="AB299" s="13" t="n"/>
    </row>
    <row r="300">
      <c r="A300" s="12" t="n"/>
      <c r="W300" s="13" t="n"/>
      <c r="AB300" s="13" t="n"/>
    </row>
    <row r="301">
      <c r="A301" s="12" t="n"/>
      <c r="W301" s="13" t="n"/>
      <c r="AB301" s="13" t="n"/>
    </row>
    <row r="302">
      <c r="A302" s="12" t="n"/>
      <c r="W302" s="13" t="n"/>
      <c r="AB302" s="13" t="n"/>
    </row>
    <row r="303">
      <c r="A303" s="12" t="n"/>
      <c r="W303" s="13" t="n"/>
      <c r="AB303" s="13" t="n"/>
    </row>
    <row r="304">
      <c r="A304" s="12" t="n"/>
      <c r="W304" s="13" t="n"/>
      <c r="AB304" s="13" t="n"/>
    </row>
    <row r="305">
      <c r="A305" s="12" t="n"/>
      <c r="W305" s="13" t="n"/>
      <c r="AB305" s="13" t="n"/>
    </row>
    <row r="306">
      <c r="A306" s="12" t="n"/>
      <c r="W306" s="13" t="n"/>
      <c r="AB306" s="13" t="n"/>
    </row>
    <row r="307">
      <c r="A307" s="12" t="n"/>
      <c r="W307" s="13" t="n"/>
      <c r="AB307" s="13" t="n"/>
    </row>
    <row r="308">
      <c r="A308" s="12" t="n"/>
      <c r="W308" s="13" t="n"/>
      <c r="AB308" s="13" t="n"/>
    </row>
    <row r="309">
      <c r="A309" s="12" t="n"/>
      <c r="W309" s="13" t="n"/>
      <c r="AB309" s="13" t="n"/>
    </row>
    <row r="310">
      <c r="A310" s="12" t="n"/>
      <c r="W310" s="13" t="n"/>
      <c r="AB310" s="13" t="n"/>
    </row>
    <row r="311">
      <c r="A311" s="12" t="n"/>
      <c r="W311" s="13" t="n"/>
      <c r="AB311" s="13" t="n"/>
    </row>
    <row r="312">
      <c r="A312" s="12" t="n"/>
      <c r="W312" s="13" t="n"/>
      <c r="AB312" s="13" t="n"/>
    </row>
    <row r="313">
      <c r="A313" s="12" t="n"/>
      <c r="W313" s="13" t="n"/>
      <c r="AB313" s="13" t="n"/>
    </row>
    <row r="314">
      <c r="A314" s="12" t="n"/>
      <c r="W314" s="13" t="n"/>
      <c r="AB314" s="13" t="n"/>
    </row>
    <row r="315">
      <c r="A315" s="12" t="n"/>
      <c r="W315" s="13" t="n"/>
      <c r="AB315" s="13" t="n"/>
    </row>
    <row r="316">
      <c r="A316" s="12" t="n"/>
      <c r="W316" s="13" t="n"/>
      <c r="AB316" s="13" t="n"/>
    </row>
    <row r="317">
      <c r="A317" s="12" t="n"/>
      <c r="W317" s="13" t="n"/>
      <c r="AB317" s="13" t="n"/>
    </row>
    <row r="318">
      <c r="A318" s="12" t="n"/>
      <c r="W318" s="13" t="n"/>
      <c r="AB318" s="13" t="n"/>
    </row>
    <row r="319">
      <c r="A319" s="12" t="n"/>
      <c r="W319" s="13" t="n"/>
      <c r="AB319" s="13" t="n"/>
    </row>
    <row r="320">
      <c r="A320" s="12" t="n"/>
      <c r="W320" s="13" t="n"/>
      <c r="AB320" s="13" t="n"/>
    </row>
    <row r="321">
      <c r="A321" s="12" t="n"/>
      <c r="W321" s="13" t="n"/>
      <c r="AB321" s="13" t="n"/>
    </row>
    <row r="322">
      <c r="A322" s="12" t="n"/>
      <c r="W322" s="13" t="n"/>
      <c r="AB322" s="13" t="n"/>
    </row>
    <row r="323">
      <c r="A323" s="12" t="n"/>
      <c r="W323" s="13" t="n"/>
      <c r="AB323" s="13" t="n"/>
    </row>
    <row r="324">
      <c r="A324" s="12" t="n"/>
      <c r="W324" s="13" t="n"/>
      <c r="AB324" s="13" t="n"/>
    </row>
    <row r="325">
      <c r="A325" s="12" t="n"/>
      <c r="W325" s="13" t="n"/>
      <c r="AB325" s="13" t="n"/>
    </row>
    <row r="326">
      <c r="A326" s="12" t="n"/>
      <c r="W326" s="13" t="n"/>
      <c r="AB326" s="13" t="n"/>
    </row>
    <row r="327">
      <c r="A327" s="12" t="n"/>
      <c r="W327" s="13" t="n"/>
      <c r="AB327" s="13" t="n"/>
    </row>
    <row r="328">
      <c r="A328" s="12" t="n"/>
      <c r="W328" s="13" t="n"/>
      <c r="AB328" s="13" t="n"/>
    </row>
    <row r="329">
      <c r="A329" s="12" t="n"/>
      <c r="W329" s="13" t="n"/>
      <c r="AB329" s="13" t="n"/>
    </row>
    <row r="330">
      <c r="A330" s="12" t="n"/>
      <c r="W330" s="13" t="n"/>
      <c r="AB330" s="13" t="n"/>
    </row>
    <row r="331">
      <c r="A331" s="12" t="n"/>
      <c r="W331" s="13" t="n"/>
      <c r="AB331" s="13" t="n"/>
    </row>
    <row r="332">
      <c r="A332" s="12" t="n"/>
      <c r="W332" s="13" t="n"/>
      <c r="AB332" s="13" t="n"/>
    </row>
    <row r="333">
      <c r="A333" s="12" t="n"/>
      <c r="W333" s="13" t="n"/>
      <c r="AB333" s="13" t="n"/>
    </row>
    <row r="334">
      <c r="A334" s="12" t="n"/>
      <c r="W334" s="13" t="n"/>
      <c r="AB334" s="13" t="n"/>
    </row>
    <row r="335">
      <c r="A335" s="12" t="n"/>
      <c r="W335" s="13" t="n"/>
      <c r="AB335" s="13" t="n"/>
    </row>
    <row r="336">
      <c r="A336" s="12" t="n"/>
      <c r="W336" s="13" t="n"/>
      <c r="AB336" s="13" t="n"/>
    </row>
    <row r="337">
      <c r="A337" s="12" t="n"/>
      <c r="W337" s="13" t="n"/>
      <c r="AB337" s="13" t="n"/>
    </row>
    <row r="338">
      <c r="A338" s="12" t="n"/>
      <c r="W338" s="13" t="n"/>
      <c r="AB338" s="13" t="n"/>
    </row>
    <row r="339">
      <c r="A339" s="12" t="n"/>
      <c r="W339" s="13" t="n"/>
      <c r="AB339" s="13" t="n"/>
    </row>
    <row r="340">
      <c r="A340" s="12" t="n"/>
      <c r="W340" s="13" t="n"/>
      <c r="AB340" s="13" t="n"/>
    </row>
    <row r="341">
      <c r="A341" s="12" t="n"/>
      <c r="W341" s="13" t="n"/>
      <c r="AB341" s="13" t="n"/>
    </row>
    <row r="342">
      <c r="A342" s="12" t="n"/>
      <c r="W342" s="13" t="n"/>
      <c r="AB342" s="13" t="n"/>
    </row>
    <row r="343">
      <c r="A343" s="12" t="n"/>
      <c r="W343" s="13" t="n"/>
      <c r="AB343" s="13" t="n"/>
    </row>
    <row r="344">
      <c r="A344" s="12" t="n"/>
      <c r="W344" s="13" t="n"/>
      <c r="AB344" s="13" t="n"/>
    </row>
    <row r="345">
      <c r="A345" s="12" t="n"/>
      <c r="W345" s="13" t="n"/>
      <c r="AB345" s="13" t="n"/>
    </row>
    <row r="346">
      <c r="A346" s="12" t="n"/>
      <c r="W346" s="13" t="n"/>
      <c r="AB346" s="13" t="n"/>
    </row>
    <row r="347">
      <c r="A347" s="12" t="n"/>
      <c r="W347" s="13" t="n"/>
      <c r="AB347" s="13" t="n"/>
    </row>
    <row r="348">
      <c r="A348" s="12" t="n"/>
      <c r="W348" s="13" t="n"/>
      <c r="AB348" s="13" t="n"/>
    </row>
    <row r="349">
      <c r="A349" s="12" t="n"/>
      <c r="W349" s="13" t="n"/>
      <c r="AB349" s="13" t="n"/>
    </row>
    <row r="350">
      <c r="A350" s="12" t="n"/>
      <c r="W350" s="13" t="n"/>
      <c r="AB350" s="13" t="n"/>
    </row>
    <row r="351">
      <c r="A351" s="12" t="n"/>
      <c r="W351" s="13" t="n"/>
      <c r="AB351" s="13" t="n"/>
    </row>
    <row r="352">
      <c r="A352" s="12" t="n"/>
      <c r="W352" s="13" t="n"/>
      <c r="AB352" s="13" t="n"/>
    </row>
    <row r="353">
      <c r="A353" s="12" t="n"/>
      <c r="W353" s="13" t="n"/>
      <c r="AB353" s="13" t="n"/>
    </row>
    <row r="354">
      <c r="A354" s="12" t="n"/>
      <c r="W354" s="13" t="n"/>
      <c r="AB354" s="13" t="n"/>
    </row>
    <row r="355">
      <c r="A355" s="12" t="n"/>
      <c r="W355" s="13" t="n"/>
      <c r="AB355" s="13" t="n"/>
    </row>
    <row r="356">
      <c r="A356" s="12" t="n"/>
      <c r="W356" s="13" t="n"/>
      <c r="AB356" s="13" t="n"/>
    </row>
    <row r="357">
      <c r="A357" s="12" t="n"/>
      <c r="W357" s="13" t="n"/>
      <c r="AB357" s="13" t="n"/>
    </row>
    <row r="358">
      <c r="A358" s="12" t="n"/>
      <c r="W358" s="13" t="n"/>
      <c r="AB358" s="13" t="n"/>
    </row>
    <row r="359">
      <c r="A359" s="12" t="n"/>
      <c r="W359" s="13" t="n"/>
      <c r="AB359" s="13" t="n"/>
    </row>
    <row r="360">
      <c r="A360" s="12" t="n"/>
      <c r="W360" s="13" t="n"/>
      <c r="AB360" s="13" t="n"/>
    </row>
    <row r="361">
      <c r="A361" s="12" t="n"/>
      <c r="W361" s="13" t="n"/>
      <c r="AB361" s="13" t="n"/>
    </row>
    <row r="362">
      <c r="A362" s="12" t="n"/>
      <c r="W362" s="13" t="n"/>
      <c r="AB362" s="13" t="n"/>
    </row>
    <row r="363">
      <c r="A363" s="12" t="n"/>
      <c r="W363" s="13" t="n"/>
      <c r="AB363" s="13" t="n"/>
    </row>
    <row r="364">
      <c r="A364" s="12" t="n"/>
      <c r="W364" s="13" t="n"/>
      <c r="AB364" s="13" t="n"/>
    </row>
    <row r="365">
      <c r="A365" s="12" t="n"/>
      <c r="W365" s="13" t="n"/>
      <c r="AB365" s="13" t="n"/>
    </row>
    <row r="366">
      <c r="A366" s="12" t="n"/>
      <c r="W366" s="13" t="n"/>
      <c r="AB366" s="13" t="n"/>
    </row>
    <row r="367">
      <c r="A367" s="12" t="n"/>
      <c r="W367" s="13" t="n"/>
      <c r="AB367" s="13" t="n"/>
    </row>
    <row r="368">
      <c r="A368" s="12" t="n"/>
      <c r="W368" s="13" t="n"/>
      <c r="AB368" s="13" t="n"/>
    </row>
    <row r="369">
      <c r="A369" s="12" t="n"/>
      <c r="W369" s="13" t="n"/>
      <c r="AB369" s="13" t="n"/>
    </row>
    <row r="370">
      <c r="A370" s="12" t="n"/>
      <c r="W370" s="13" t="n"/>
      <c r="AB370" s="13" t="n"/>
    </row>
    <row r="371">
      <c r="A371" s="12" t="n"/>
      <c r="W371" s="13" t="n"/>
      <c r="AB371" s="13" t="n"/>
    </row>
    <row r="372">
      <c r="A372" s="12" t="n"/>
      <c r="W372" s="13" t="n"/>
      <c r="AB372" s="13" t="n"/>
    </row>
    <row r="373">
      <c r="A373" s="12" t="n"/>
      <c r="W373" s="13" t="n"/>
      <c r="AB373" s="13" t="n"/>
    </row>
    <row r="374">
      <c r="A374" s="12" t="n"/>
      <c r="W374" s="13" t="n"/>
      <c r="AB374" s="13" t="n"/>
    </row>
    <row r="375">
      <c r="A375" s="12" t="n"/>
      <c r="W375" s="13" t="n"/>
      <c r="AB375" s="13" t="n"/>
    </row>
    <row r="376">
      <c r="A376" s="12" t="n"/>
      <c r="W376" s="13" t="n"/>
      <c r="AB376" s="13" t="n"/>
    </row>
    <row r="377">
      <c r="A377" s="12" t="n"/>
      <c r="W377" s="13" t="n"/>
      <c r="AB377" s="13" t="n"/>
    </row>
    <row r="378">
      <c r="A378" s="12" t="n"/>
      <c r="W378" s="13" t="n"/>
      <c r="AB378" s="13" t="n"/>
    </row>
    <row r="379">
      <c r="A379" s="12" t="n"/>
      <c r="W379" s="13" t="n"/>
      <c r="AB379" s="13" t="n"/>
    </row>
    <row r="380">
      <c r="A380" s="12" t="n"/>
      <c r="W380" s="13" t="n"/>
      <c r="AB380" s="13" t="n"/>
    </row>
    <row r="381">
      <c r="A381" s="12" t="n"/>
      <c r="W381" s="13" t="n"/>
      <c r="AB381" s="13" t="n"/>
    </row>
    <row r="382">
      <c r="A382" s="12" t="n"/>
      <c r="W382" s="13" t="n"/>
      <c r="AB382" s="13" t="n"/>
    </row>
    <row r="383">
      <c r="A383" s="12" t="n"/>
      <c r="W383" s="13" t="n"/>
      <c r="AB383" s="13" t="n"/>
    </row>
    <row r="384">
      <c r="A384" s="12" t="n"/>
      <c r="W384" s="13" t="n"/>
      <c r="AB384" s="13" t="n"/>
    </row>
    <row r="385">
      <c r="A385" s="12" t="n"/>
      <c r="W385" s="13" t="n"/>
      <c r="AB385" s="13" t="n"/>
    </row>
    <row r="386">
      <c r="A386" s="12" t="n"/>
      <c r="W386" s="13" t="n"/>
      <c r="AB386" s="13" t="n"/>
    </row>
    <row r="387">
      <c r="A387" s="12" t="n"/>
      <c r="W387" s="13" t="n"/>
      <c r="AB387" s="13" t="n"/>
    </row>
    <row r="388">
      <c r="A388" s="12" t="n"/>
      <c r="W388" s="13" t="n"/>
      <c r="AB388" s="13" t="n"/>
    </row>
    <row r="389">
      <c r="A389" s="12" t="n"/>
      <c r="W389" s="13" t="n"/>
      <c r="AB389" s="13" t="n"/>
    </row>
    <row r="390">
      <c r="A390" s="12" t="n"/>
      <c r="W390" s="13" t="n"/>
      <c r="AB390" s="13" t="n"/>
    </row>
    <row r="391">
      <c r="A391" s="12" t="n"/>
      <c r="W391" s="13" t="n"/>
      <c r="AB391" s="13" t="n"/>
    </row>
    <row r="392">
      <c r="A392" s="12" t="n"/>
      <c r="W392" s="13" t="n"/>
      <c r="AB392" s="13" t="n"/>
    </row>
    <row r="393">
      <c r="A393" s="12" t="n"/>
      <c r="W393" s="13" t="n"/>
      <c r="AB393" s="13" t="n"/>
    </row>
    <row r="394">
      <c r="A394" s="12" t="n"/>
      <c r="W394" s="13" t="n"/>
      <c r="AB394" s="13" t="n"/>
    </row>
    <row r="395">
      <c r="A395" s="12" t="n"/>
      <c r="W395" s="13" t="n"/>
      <c r="AB395" s="13" t="n"/>
    </row>
    <row r="396">
      <c r="A396" s="12" t="n"/>
      <c r="W396" s="13" t="n"/>
      <c r="AB396" s="13" t="n"/>
    </row>
    <row r="397">
      <c r="A397" s="12" t="n"/>
      <c r="W397" s="13" t="n"/>
      <c r="AB397" s="13" t="n"/>
    </row>
    <row r="398">
      <c r="A398" s="12" t="n"/>
      <c r="W398" s="13" t="n"/>
      <c r="AB398" s="13" t="n"/>
    </row>
    <row r="399">
      <c r="A399" s="12" t="n"/>
      <c r="W399" s="13" t="n"/>
      <c r="AB399" s="13" t="n"/>
    </row>
    <row r="400">
      <c r="A400" s="12" t="n"/>
      <c r="W400" s="13" t="n"/>
      <c r="AB400" s="13" t="n"/>
    </row>
    <row r="401">
      <c r="A401" s="12" t="n"/>
      <c r="W401" s="13" t="n"/>
      <c r="AB401" s="13" t="n"/>
    </row>
    <row r="402">
      <c r="A402" s="12" t="n"/>
      <c r="W402" s="13" t="n"/>
      <c r="AB402" s="13" t="n"/>
    </row>
    <row r="403">
      <c r="A403" s="12" t="n"/>
      <c r="W403" s="13" t="n"/>
      <c r="AB403" s="13" t="n"/>
    </row>
    <row r="404">
      <c r="A404" s="12" t="n"/>
      <c r="W404" s="13" t="n"/>
      <c r="AB404" s="13" t="n"/>
    </row>
    <row r="405">
      <c r="A405" s="12" t="n"/>
      <c r="W405" s="13" t="n"/>
      <c r="AB405" s="13" t="n"/>
    </row>
    <row r="406">
      <c r="A406" s="12" t="n"/>
      <c r="W406" s="13" t="n"/>
      <c r="AB406" s="13" t="n"/>
    </row>
    <row r="407">
      <c r="A407" s="12" t="n"/>
      <c r="W407" s="13" t="n"/>
      <c r="AB407" s="13" t="n"/>
    </row>
    <row r="408">
      <c r="A408" s="12" t="n"/>
      <c r="W408" s="13" t="n"/>
      <c r="AB408" s="13" t="n"/>
    </row>
    <row r="409">
      <c r="A409" s="12" t="n"/>
      <c r="W409" s="13" t="n"/>
      <c r="AB409" s="13" t="n"/>
    </row>
    <row r="410">
      <c r="A410" s="12" t="n"/>
      <c r="W410" s="13" t="n"/>
      <c r="AB410" s="13" t="n"/>
    </row>
    <row r="411">
      <c r="A411" s="12" t="n"/>
      <c r="W411" s="13" t="n"/>
      <c r="AB411" s="13" t="n"/>
    </row>
    <row r="412">
      <c r="A412" s="12" t="n"/>
      <c r="W412" s="13" t="n"/>
      <c r="AB412" s="13" t="n"/>
    </row>
    <row r="413">
      <c r="A413" s="12" t="n"/>
      <c r="W413" s="13" t="n"/>
      <c r="AB413" s="13" t="n"/>
    </row>
    <row r="414">
      <c r="A414" s="12" t="n"/>
      <c r="W414" s="13" t="n"/>
      <c r="AB414" s="13" t="n"/>
    </row>
    <row r="415">
      <c r="A415" s="12" t="n"/>
      <c r="W415" s="13" t="n"/>
      <c r="AB415" s="13" t="n"/>
    </row>
    <row r="416">
      <c r="A416" s="12" t="n"/>
      <c r="W416" s="13" t="n"/>
      <c r="AB416" s="13" t="n"/>
    </row>
    <row r="417">
      <c r="A417" s="12" t="n"/>
      <c r="W417" s="13" t="n"/>
      <c r="AB417" s="13" t="n"/>
    </row>
    <row r="418">
      <c r="A418" s="12" t="n"/>
      <c r="W418" s="13" t="n"/>
      <c r="AB418" s="13" t="n"/>
    </row>
    <row r="419">
      <c r="A419" s="12" t="n"/>
      <c r="W419" s="13" t="n"/>
      <c r="AB419" s="13" t="n"/>
    </row>
    <row r="420">
      <c r="A420" s="12" t="n"/>
      <c r="W420" s="13" t="n"/>
      <c r="AB420" s="13" t="n"/>
    </row>
    <row r="421">
      <c r="A421" s="12" t="n"/>
      <c r="W421" s="13" t="n"/>
      <c r="AB421" s="13" t="n"/>
    </row>
    <row r="422">
      <c r="A422" s="12" t="n"/>
      <c r="W422" s="13" t="n"/>
      <c r="AB422" s="13" t="n"/>
    </row>
    <row r="423">
      <c r="A423" s="12" t="n"/>
      <c r="W423" s="13" t="n"/>
      <c r="AB423" s="13" t="n"/>
    </row>
    <row r="424">
      <c r="A424" s="12" t="n"/>
      <c r="W424" s="13" t="n"/>
      <c r="AB424" s="13" t="n"/>
    </row>
    <row r="425">
      <c r="A425" s="12" t="n"/>
      <c r="W425" s="13" t="n"/>
      <c r="AB425" s="13" t="n"/>
    </row>
    <row r="426">
      <c r="A426" s="12" t="n"/>
      <c r="W426" s="13" t="n"/>
      <c r="AB426" s="13" t="n"/>
    </row>
    <row r="427">
      <c r="A427" s="12" t="n"/>
      <c r="W427" s="13" t="n"/>
      <c r="AB427" s="13" t="n"/>
    </row>
    <row r="428">
      <c r="A428" s="12" t="n"/>
      <c r="W428" s="13" t="n"/>
      <c r="AB428" s="13" t="n"/>
    </row>
    <row r="429">
      <c r="A429" s="12" t="n"/>
      <c r="W429" s="13" t="n"/>
      <c r="AB429" s="13" t="n"/>
    </row>
    <row r="430">
      <c r="A430" s="12" t="n"/>
      <c r="W430" s="13" t="n"/>
      <c r="AB430" s="13" t="n"/>
    </row>
    <row r="431">
      <c r="A431" s="12" t="n"/>
      <c r="W431" s="13" t="n"/>
      <c r="AB431" s="13" t="n"/>
    </row>
    <row r="432">
      <c r="A432" s="12" t="n"/>
      <c r="W432" s="13" t="n"/>
      <c r="AB432" s="13" t="n"/>
    </row>
    <row r="433">
      <c r="A433" s="12" t="n"/>
      <c r="W433" s="13" t="n"/>
      <c r="AB433" s="13" t="n"/>
    </row>
    <row r="434">
      <c r="A434" s="12" t="n"/>
      <c r="W434" s="13" t="n"/>
      <c r="AB434" s="13" t="n"/>
    </row>
    <row r="435">
      <c r="A435" s="12" t="n"/>
      <c r="W435" s="13" t="n"/>
      <c r="AB435" s="13" t="n"/>
    </row>
    <row r="436">
      <c r="A436" s="12" t="n"/>
      <c r="W436" s="13" t="n"/>
      <c r="AB436" s="13" t="n"/>
    </row>
    <row r="437">
      <c r="A437" s="12" t="n"/>
      <c r="W437" s="13" t="n"/>
      <c r="AB437" s="13" t="n"/>
    </row>
    <row r="438">
      <c r="A438" s="12" t="n"/>
      <c r="W438" s="13" t="n"/>
      <c r="AB438" s="13" t="n"/>
    </row>
    <row r="439">
      <c r="A439" s="12" t="n"/>
      <c r="W439" s="13" t="n"/>
      <c r="AB439" s="13" t="n"/>
    </row>
    <row r="440">
      <c r="A440" s="12" t="n"/>
      <c r="W440" s="13" t="n"/>
      <c r="AB440" s="13" t="n"/>
    </row>
    <row r="441">
      <c r="A441" s="12" t="n"/>
      <c r="W441" s="13" t="n"/>
      <c r="AB441" s="13" t="n"/>
    </row>
    <row r="442">
      <c r="A442" s="12" t="n"/>
      <c r="W442" s="13" t="n"/>
      <c r="AB442" s="13" t="n"/>
    </row>
    <row r="443">
      <c r="A443" s="12" t="n"/>
      <c r="W443" s="13" t="n"/>
      <c r="AB443" s="13" t="n"/>
    </row>
    <row r="444">
      <c r="A444" s="12" t="n"/>
      <c r="W444" s="13" t="n"/>
      <c r="AB444" s="13" t="n"/>
    </row>
    <row r="445">
      <c r="A445" s="12" t="n"/>
      <c r="W445" s="13" t="n"/>
      <c r="AB445" s="13" t="n"/>
    </row>
    <row r="446">
      <c r="A446" s="12" t="n"/>
      <c r="W446" s="13" t="n"/>
      <c r="AB446" s="13" t="n"/>
    </row>
    <row r="447">
      <c r="A447" s="12" t="n"/>
      <c r="W447" s="13" t="n"/>
      <c r="AB447" s="13" t="n"/>
    </row>
    <row r="448">
      <c r="A448" s="12" t="n"/>
      <c r="W448" s="13" t="n"/>
      <c r="AB448" s="13" t="n"/>
    </row>
    <row r="449">
      <c r="A449" s="12" t="n"/>
      <c r="W449" s="13" t="n"/>
      <c r="AB449" s="13" t="n"/>
    </row>
    <row r="450">
      <c r="A450" s="12" t="n"/>
      <c r="W450" s="13" t="n"/>
      <c r="AB450" s="13" t="n"/>
    </row>
    <row r="451">
      <c r="A451" s="12" t="n"/>
      <c r="W451" s="13" t="n"/>
      <c r="AB451" s="13" t="n"/>
    </row>
    <row r="452">
      <c r="A452" s="12" t="n"/>
      <c r="W452" s="13" t="n"/>
      <c r="AB452" s="13" t="n"/>
    </row>
    <row r="453">
      <c r="A453" s="12" t="n"/>
      <c r="W453" s="13" t="n"/>
      <c r="AB453" s="13" t="n"/>
    </row>
    <row r="454">
      <c r="A454" s="12" t="n"/>
      <c r="W454" s="13" t="n"/>
      <c r="AB454" s="13" t="n"/>
    </row>
    <row r="455">
      <c r="A455" s="12" t="n"/>
      <c r="W455" s="13" t="n"/>
      <c r="AB455" s="13" t="n"/>
    </row>
    <row r="456">
      <c r="A456" s="12" t="n"/>
      <c r="W456" s="13" t="n"/>
      <c r="AB456" s="13" t="n"/>
    </row>
    <row r="457">
      <c r="A457" s="12" t="n"/>
      <c r="W457" s="13" t="n"/>
      <c r="AB457" s="13" t="n"/>
    </row>
    <row r="458">
      <c r="A458" s="12" t="n"/>
      <c r="W458" s="13" t="n"/>
      <c r="AB458" s="13" t="n"/>
    </row>
    <row r="459">
      <c r="A459" s="12" t="n"/>
      <c r="W459" s="13" t="n"/>
      <c r="AB459" s="13" t="n"/>
    </row>
    <row r="460">
      <c r="A460" s="12" t="n"/>
      <c r="W460" s="13" t="n"/>
      <c r="AB460" s="13" t="n"/>
    </row>
    <row r="461">
      <c r="A461" s="12" t="n"/>
      <c r="W461" s="13" t="n"/>
      <c r="AB461" s="13" t="n"/>
    </row>
    <row r="462">
      <c r="A462" s="12" t="n"/>
      <c r="W462" s="13" t="n"/>
      <c r="AB462" s="13" t="n"/>
    </row>
    <row r="463">
      <c r="A463" s="12" t="n"/>
      <c r="W463" s="13" t="n"/>
      <c r="AB463" s="13" t="n"/>
    </row>
    <row r="464">
      <c r="A464" s="12" t="n"/>
      <c r="W464" s="13" t="n"/>
      <c r="AB464" s="13" t="n"/>
    </row>
    <row r="465">
      <c r="A465" s="12" t="n"/>
      <c r="W465" s="13" t="n"/>
      <c r="AB465" s="13" t="n"/>
    </row>
    <row r="466">
      <c r="A466" s="12" t="n"/>
      <c r="W466" s="13" t="n"/>
      <c r="AB466" s="13" t="n"/>
    </row>
    <row r="467">
      <c r="A467" s="12" t="n"/>
      <c r="W467" s="13" t="n"/>
      <c r="AB467" s="13" t="n"/>
    </row>
    <row r="468">
      <c r="A468" s="12" t="n"/>
      <c r="W468" s="13" t="n"/>
      <c r="AB468" s="13" t="n"/>
    </row>
    <row r="469">
      <c r="A469" s="12" t="n"/>
      <c r="W469" s="13" t="n"/>
      <c r="AB469" s="13" t="n"/>
    </row>
    <row r="470">
      <c r="A470" s="12" t="n"/>
      <c r="W470" s="13" t="n"/>
      <c r="AB470" s="13" t="n"/>
    </row>
    <row r="471">
      <c r="A471" s="12" t="n"/>
      <c r="W471" s="13" t="n"/>
      <c r="AB471" s="13" t="n"/>
    </row>
    <row r="472">
      <c r="A472" s="12" t="n"/>
      <c r="W472" s="13" t="n"/>
      <c r="AB472" s="13" t="n"/>
    </row>
    <row r="473">
      <c r="A473" s="12" t="n"/>
      <c r="W473" s="13" t="n"/>
      <c r="AB473" s="13" t="n"/>
    </row>
    <row r="474">
      <c r="A474" s="12" t="n"/>
      <c r="W474" s="13" t="n"/>
      <c r="AB474" s="13" t="n"/>
    </row>
    <row r="475">
      <c r="A475" s="12" t="n"/>
      <c r="W475" s="13" t="n"/>
      <c r="AB475" s="13" t="n"/>
    </row>
    <row r="476">
      <c r="A476" s="12" t="n"/>
      <c r="W476" s="13" t="n"/>
      <c r="AB476" s="13" t="n"/>
    </row>
    <row r="477">
      <c r="A477" s="12" t="n"/>
      <c r="W477" s="13" t="n"/>
      <c r="AB477" s="13" t="n"/>
    </row>
    <row r="478">
      <c r="A478" s="12" t="n"/>
      <c r="W478" s="13" t="n"/>
      <c r="AB478" s="13" t="n"/>
    </row>
    <row r="479">
      <c r="A479" s="12" t="n"/>
      <c r="W479" s="13" t="n"/>
      <c r="AB479" s="13" t="n"/>
    </row>
    <row r="480">
      <c r="A480" s="12" t="n"/>
      <c r="W480" s="13" t="n"/>
      <c r="AB480" s="13" t="n"/>
    </row>
    <row r="481">
      <c r="A481" s="12" t="n"/>
      <c r="W481" s="13" t="n"/>
      <c r="AB481" s="13" t="n"/>
    </row>
    <row r="482">
      <c r="A482" s="12" t="n"/>
      <c r="W482" s="13" t="n"/>
      <c r="AB482" s="13" t="n"/>
    </row>
    <row r="483">
      <c r="A483" s="12" t="n"/>
      <c r="W483" s="13" t="n"/>
      <c r="AB483" s="13" t="n"/>
    </row>
    <row r="484">
      <c r="A484" s="12" t="n"/>
      <c r="W484" s="13" t="n"/>
      <c r="AB484" s="13" t="n"/>
    </row>
    <row r="485">
      <c r="A485" s="12" t="n"/>
      <c r="W485" s="13" t="n"/>
      <c r="AB485" s="13" t="n"/>
    </row>
    <row r="486">
      <c r="A486" s="12" t="n"/>
      <c r="W486" s="13" t="n"/>
      <c r="AB486" s="13" t="n"/>
    </row>
    <row r="487">
      <c r="A487" s="12" t="n"/>
      <c r="W487" s="13" t="n"/>
      <c r="AB487" s="13" t="n"/>
    </row>
    <row r="488">
      <c r="A488" s="12" t="n"/>
      <c r="W488" s="13" t="n"/>
      <c r="AB488" s="13" t="n"/>
    </row>
    <row r="489">
      <c r="A489" s="12" t="n"/>
      <c r="W489" s="13" t="n"/>
      <c r="AB489" s="13" t="n"/>
    </row>
    <row r="490">
      <c r="A490" s="12" t="n"/>
      <c r="W490" s="13" t="n"/>
      <c r="AB490" s="13" t="n"/>
    </row>
    <row r="491">
      <c r="A491" s="12" t="n"/>
      <c r="W491" s="13" t="n"/>
      <c r="AB491" s="13" t="n"/>
    </row>
    <row r="492">
      <c r="A492" s="12" t="n"/>
      <c r="W492" s="13" t="n"/>
      <c r="AB492" s="13" t="n"/>
    </row>
    <row r="493">
      <c r="A493" s="12" t="n"/>
      <c r="W493" s="13" t="n"/>
      <c r="AB493" s="13" t="n"/>
    </row>
    <row r="494">
      <c r="A494" s="12" t="n"/>
      <c r="W494" s="13" t="n"/>
      <c r="AB494" s="13" t="n"/>
    </row>
    <row r="495">
      <c r="A495" s="12" t="n"/>
      <c r="W495" s="13" t="n"/>
      <c r="AB495" s="13" t="n"/>
    </row>
    <row r="496">
      <c r="A496" s="12" t="n"/>
      <c r="W496" s="13" t="n"/>
      <c r="AB496" s="13" t="n"/>
    </row>
    <row r="497">
      <c r="A497" s="12" t="n"/>
      <c r="W497" s="13" t="n"/>
      <c r="AB497" s="13" t="n"/>
    </row>
    <row r="498">
      <c r="A498" s="12" t="n"/>
      <c r="W498" s="13" t="n"/>
      <c r="AB498" s="13" t="n"/>
    </row>
    <row r="499">
      <c r="A499" s="12" t="n"/>
      <c r="W499" s="13" t="n"/>
      <c r="AB499" s="13" t="n"/>
    </row>
    <row r="500">
      <c r="A500" s="12" t="n"/>
      <c r="W500" s="13" t="n"/>
      <c r="AB500" s="13" t="n"/>
    </row>
    <row r="501">
      <c r="A501" s="12" t="n"/>
      <c r="W501" s="13" t="n"/>
      <c r="AB501" s="13" t="n"/>
    </row>
    <row r="502">
      <c r="A502" s="12" t="n"/>
      <c r="W502" s="13" t="n"/>
      <c r="AB502" s="13" t="n"/>
    </row>
    <row r="503">
      <c r="A503" s="12" t="n"/>
      <c r="W503" s="13" t="n"/>
      <c r="AB503" s="13" t="n"/>
    </row>
    <row r="504">
      <c r="A504" s="12" t="n"/>
      <c r="W504" s="13" t="n"/>
      <c r="AB504" s="13" t="n"/>
    </row>
    <row r="505">
      <c r="A505" s="12" t="n"/>
      <c r="W505" s="13" t="n"/>
      <c r="AB505" s="13" t="n"/>
    </row>
    <row r="506">
      <c r="A506" s="12" t="n"/>
      <c r="W506" s="13" t="n"/>
      <c r="AB506" s="13" t="n"/>
    </row>
    <row r="507">
      <c r="A507" s="12" t="n"/>
      <c r="W507" s="13" t="n"/>
      <c r="AB507" s="13" t="n"/>
    </row>
    <row r="508">
      <c r="A508" s="12" t="n"/>
      <c r="W508" s="13" t="n"/>
      <c r="AB508" s="13" t="n"/>
    </row>
    <row r="509">
      <c r="A509" s="12" t="n"/>
      <c r="W509" s="13" t="n"/>
      <c r="AB509" s="13" t="n"/>
    </row>
    <row r="510">
      <c r="A510" s="12" t="n"/>
      <c r="W510" s="13" t="n"/>
      <c r="AB510" s="13" t="n"/>
    </row>
    <row r="511">
      <c r="A511" s="12" t="n"/>
      <c r="W511" s="13" t="n"/>
      <c r="AB511" s="13" t="n"/>
    </row>
    <row r="512">
      <c r="A512" s="12" t="n"/>
      <c r="W512" s="13" t="n"/>
      <c r="AB512" s="13" t="n"/>
    </row>
    <row r="513">
      <c r="A513" s="12" t="n"/>
      <c r="W513" s="13" t="n"/>
      <c r="AB513" s="13" t="n"/>
    </row>
    <row r="514">
      <c r="A514" s="12" t="n"/>
      <c r="W514" s="13" t="n"/>
      <c r="AB514" s="13" t="n"/>
    </row>
    <row r="515">
      <c r="A515" s="12" t="n"/>
      <c r="W515" s="13" t="n"/>
      <c r="AB515" s="13" t="n"/>
    </row>
    <row r="516">
      <c r="A516" s="12" t="n"/>
      <c r="W516" s="13" t="n"/>
      <c r="AB516" s="13" t="n"/>
    </row>
    <row r="517">
      <c r="A517" s="12" t="n"/>
      <c r="W517" s="13" t="n"/>
      <c r="AB517" s="13" t="n"/>
    </row>
    <row r="518">
      <c r="A518" s="12" t="n"/>
      <c r="W518" s="13" t="n"/>
      <c r="AB518" s="13" t="n"/>
    </row>
    <row r="519">
      <c r="A519" s="12" t="n"/>
      <c r="W519" s="13" t="n"/>
      <c r="AB519" s="13" t="n"/>
    </row>
    <row r="520">
      <c r="A520" s="12" t="n"/>
      <c r="W520" s="13" t="n"/>
      <c r="AB520" s="13" t="n"/>
    </row>
    <row r="521">
      <c r="A521" s="12" t="n"/>
      <c r="W521" s="13" t="n"/>
      <c r="AB521" s="13" t="n"/>
    </row>
    <row r="522">
      <c r="A522" s="12" t="n"/>
      <c r="W522" s="13" t="n"/>
      <c r="AB522" s="13" t="n"/>
    </row>
    <row r="523">
      <c r="A523" s="12" t="n"/>
      <c r="W523" s="13" t="n"/>
      <c r="AB523" s="13" t="n"/>
    </row>
    <row r="524">
      <c r="A524" s="12" t="n"/>
      <c r="W524" s="13" t="n"/>
      <c r="AB524" s="13" t="n"/>
    </row>
    <row r="525">
      <c r="A525" s="12" t="n"/>
      <c r="W525" s="13" t="n"/>
      <c r="AB525" s="13" t="n"/>
    </row>
    <row r="526">
      <c r="A526" s="12" t="n"/>
      <c r="W526" s="13" t="n"/>
      <c r="AB526" s="13" t="n"/>
    </row>
    <row r="527">
      <c r="A527" s="12" t="n"/>
      <c r="W527" s="13" t="n"/>
      <c r="AB527" s="13" t="n"/>
    </row>
    <row r="528">
      <c r="A528" s="12" t="n"/>
      <c r="W528" s="13" t="n"/>
      <c r="AB528" s="13" t="n"/>
    </row>
    <row r="529">
      <c r="A529" s="12" t="n"/>
      <c r="W529" s="13" t="n"/>
      <c r="AB529" s="13" t="n"/>
    </row>
    <row r="530">
      <c r="A530" s="12" t="n"/>
      <c r="W530" s="13" t="n"/>
      <c r="AB530" s="13" t="n"/>
    </row>
    <row r="531">
      <c r="A531" s="12" t="n"/>
      <c r="W531" s="13" t="n"/>
      <c r="AB531" s="13" t="n"/>
    </row>
    <row r="532">
      <c r="A532" s="12" t="n"/>
      <c r="W532" s="13" t="n"/>
      <c r="AB532" s="13" t="n"/>
    </row>
    <row r="533">
      <c r="A533" s="12" t="n"/>
      <c r="W533" s="13" t="n"/>
      <c r="AB533" s="13" t="n"/>
    </row>
    <row r="534">
      <c r="A534" s="12" t="n"/>
      <c r="W534" s="13" t="n"/>
      <c r="AB534" s="13" t="n"/>
    </row>
    <row r="535">
      <c r="A535" s="12" t="n"/>
      <c r="W535" s="13" t="n"/>
      <c r="AB535" s="13" t="n"/>
    </row>
    <row r="536">
      <c r="A536" s="12" t="n"/>
      <c r="W536" s="13" t="n"/>
      <c r="AB536" s="13" t="n"/>
    </row>
    <row r="537">
      <c r="A537" s="12" t="n"/>
      <c r="W537" s="13" t="n"/>
      <c r="AB537" s="13" t="n"/>
    </row>
    <row r="538">
      <c r="A538" s="12" t="n"/>
      <c r="W538" s="13" t="n"/>
      <c r="AB538" s="13" t="n"/>
    </row>
    <row r="539">
      <c r="A539" s="12" t="n"/>
      <c r="W539" s="13" t="n"/>
      <c r="AB539" s="13" t="n"/>
    </row>
    <row r="540">
      <c r="A540" s="12" t="n"/>
      <c r="W540" s="13" t="n"/>
      <c r="AB540" s="13" t="n"/>
    </row>
    <row r="541">
      <c r="A541" s="12" t="n"/>
      <c r="W541" s="13" t="n"/>
      <c r="AB541" s="13" t="n"/>
    </row>
    <row r="542">
      <c r="A542" s="12" t="n"/>
      <c r="W542" s="13" t="n"/>
      <c r="AB542" s="13" t="n"/>
    </row>
    <row r="543">
      <c r="A543" s="12" t="n"/>
      <c r="W543" s="13" t="n"/>
      <c r="AB543" s="13" t="n"/>
    </row>
    <row r="544">
      <c r="A544" s="12" t="n"/>
      <c r="W544" s="13" t="n"/>
      <c r="AB544" s="13" t="n"/>
    </row>
    <row r="545">
      <c r="A545" s="12" t="n"/>
      <c r="W545" s="13" t="n"/>
      <c r="AB545" s="13" t="n"/>
    </row>
    <row r="546">
      <c r="A546" s="12" t="n"/>
      <c r="W546" s="13" t="n"/>
      <c r="AB546" s="13" t="n"/>
    </row>
    <row r="547">
      <c r="A547" s="12" t="n"/>
      <c r="W547" s="13" t="n"/>
      <c r="AB547" s="13" t="n"/>
    </row>
    <row r="548">
      <c r="A548" s="12" t="n"/>
      <c r="W548" s="13" t="n"/>
      <c r="AB548" s="13" t="n"/>
    </row>
    <row r="549">
      <c r="A549" s="12" t="n"/>
      <c r="W549" s="13" t="n"/>
      <c r="AB549" s="13" t="n"/>
    </row>
    <row r="550">
      <c r="A550" s="12" t="n"/>
      <c r="W550" s="13" t="n"/>
      <c r="AB550" s="13" t="n"/>
    </row>
    <row r="551">
      <c r="A551" s="12" t="n"/>
      <c r="W551" s="13" t="n"/>
      <c r="AB551" s="13" t="n"/>
    </row>
    <row r="552">
      <c r="A552" s="12" t="n"/>
      <c r="W552" s="13" t="n"/>
      <c r="AB552" s="13" t="n"/>
    </row>
    <row r="553">
      <c r="A553" s="12" t="n"/>
      <c r="W553" s="13" t="n"/>
      <c r="AB553" s="13" t="n"/>
    </row>
    <row r="554">
      <c r="A554" s="12" t="n"/>
      <c r="W554" s="13" t="n"/>
      <c r="AB554" s="13" t="n"/>
    </row>
    <row r="555">
      <c r="A555" s="12" t="n"/>
      <c r="W555" s="13" t="n"/>
      <c r="AB555" s="13" t="n"/>
    </row>
    <row r="556">
      <c r="A556" s="12" t="n"/>
      <c r="W556" s="13" t="n"/>
      <c r="AB556" s="13" t="n"/>
    </row>
    <row r="557">
      <c r="A557" s="12" t="n"/>
      <c r="W557" s="13" t="n"/>
      <c r="AB557" s="13" t="n"/>
    </row>
    <row r="558">
      <c r="A558" s="12" t="n"/>
      <c r="W558" s="13" t="n"/>
      <c r="AB558" s="13" t="n"/>
    </row>
    <row r="559">
      <c r="A559" s="12" t="n"/>
      <c r="W559" s="13" t="n"/>
      <c r="AB559" s="13" t="n"/>
    </row>
    <row r="560">
      <c r="A560" s="12" t="n"/>
      <c r="W560" s="13" t="n"/>
      <c r="AB560" s="13" t="n"/>
    </row>
    <row r="561">
      <c r="A561" s="12" t="n"/>
      <c r="W561" s="13" t="n"/>
      <c r="AB561" s="13" t="n"/>
    </row>
    <row r="562">
      <c r="A562" s="12" t="n"/>
      <c r="W562" s="13" t="n"/>
      <c r="AB562" s="13" t="n"/>
    </row>
    <row r="563">
      <c r="A563" s="12" t="n"/>
      <c r="W563" s="13" t="n"/>
      <c r="AB563" s="13" t="n"/>
    </row>
    <row r="564">
      <c r="A564" s="12" t="n"/>
      <c r="W564" s="13" t="n"/>
      <c r="AB564" s="13" t="n"/>
    </row>
    <row r="565">
      <c r="A565" s="12" t="n"/>
      <c r="W565" s="13" t="n"/>
      <c r="AB565" s="13" t="n"/>
    </row>
    <row r="566">
      <c r="A566" s="12" t="n"/>
      <c r="W566" s="13" t="n"/>
      <c r="AB566" s="13" t="n"/>
    </row>
    <row r="567">
      <c r="A567" s="12" t="n"/>
      <c r="W567" s="13" t="n"/>
      <c r="AB567" s="13" t="n"/>
    </row>
    <row r="568">
      <c r="A568" s="12" t="n"/>
      <c r="W568" s="13" t="n"/>
      <c r="AB568" s="13" t="n"/>
    </row>
    <row r="569">
      <c r="A569" s="12" t="n"/>
      <c r="W569" s="13" t="n"/>
      <c r="AB569" s="13" t="n"/>
    </row>
    <row r="570">
      <c r="A570" s="12" t="n"/>
      <c r="W570" s="13" t="n"/>
      <c r="AB570" s="13" t="n"/>
    </row>
    <row r="571">
      <c r="A571" s="12" t="n"/>
      <c r="W571" s="13" t="n"/>
      <c r="AB571" s="13" t="n"/>
    </row>
    <row r="572">
      <c r="A572" s="12" t="n"/>
      <c r="W572" s="13" t="n"/>
      <c r="AB572" s="13" t="n"/>
    </row>
    <row r="573">
      <c r="A573" s="12" t="n"/>
      <c r="W573" s="13" t="n"/>
      <c r="AB573" s="13" t="n"/>
    </row>
    <row r="574">
      <c r="A574" s="12" t="n"/>
      <c r="W574" s="13" t="n"/>
      <c r="AB574" s="13" t="n"/>
    </row>
    <row r="575">
      <c r="A575" s="12" t="n"/>
      <c r="W575" s="13" t="n"/>
      <c r="AB575" s="13" t="n"/>
    </row>
    <row r="576">
      <c r="A576" s="12" t="n"/>
      <c r="W576" s="13" t="n"/>
      <c r="AB576" s="13" t="n"/>
    </row>
    <row r="577">
      <c r="A577" s="12" t="n"/>
      <c r="W577" s="13" t="n"/>
      <c r="AB577" s="13" t="n"/>
    </row>
    <row r="578">
      <c r="A578" s="12" t="n"/>
      <c r="W578" s="13" t="n"/>
      <c r="AB578" s="13" t="n"/>
    </row>
    <row r="579">
      <c r="A579" s="12" t="n"/>
      <c r="W579" s="13" t="n"/>
      <c r="AB579" s="13" t="n"/>
    </row>
    <row r="580">
      <c r="A580" s="12" t="n"/>
      <c r="W580" s="13" t="n"/>
      <c r="AB580" s="13" t="n"/>
    </row>
    <row r="581">
      <c r="A581" s="12" t="n"/>
      <c r="W581" s="13" t="n"/>
      <c r="AB581" s="13" t="n"/>
    </row>
    <row r="582">
      <c r="A582" s="12" t="n"/>
      <c r="W582" s="13" t="n"/>
      <c r="AB582" s="13" t="n"/>
    </row>
    <row r="583">
      <c r="A583" s="12" t="n"/>
      <c r="W583" s="13" t="n"/>
      <c r="AB583" s="13" t="n"/>
    </row>
    <row r="584">
      <c r="A584" s="12" t="n"/>
      <c r="W584" s="13" t="n"/>
      <c r="AB584" s="13" t="n"/>
    </row>
    <row r="585">
      <c r="A585" s="12" t="n"/>
      <c r="W585" s="13" t="n"/>
      <c r="AB585" s="13" t="n"/>
    </row>
    <row r="586">
      <c r="A586" s="12" t="n"/>
      <c r="W586" s="13" t="n"/>
      <c r="AB586" s="13" t="n"/>
    </row>
    <row r="587">
      <c r="A587" s="12" t="n"/>
      <c r="W587" s="13" t="n"/>
      <c r="AB587" s="13" t="n"/>
    </row>
    <row r="588">
      <c r="A588" s="12" t="n"/>
      <c r="W588" s="13" t="n"/>
      <c r="AB588" s="13" t="n"/>
    </row>
    <row r="589">
      <c r="A589" s="12" t="n"/>
      <c r="W589" s="13" t="n"/>
      <c r="AB589" s="13" t="n"/>
    </row>
    <row r="590">
      <c r="A590" s="12" t="n"/>
      <c r="W590" s="13" t="n"/>
      <c r="AB590" s="13" t="n"/>
    </row>
    <row r="591">
      <c r="A591" s="12" t="n"/>
      <c r="W591" s="13" t="n"/>
      <c r="AB591" s="13" t="n"/>
    </row>
    <row r="592">
      <c r="A592" s="12" t="n"/>
      <c r="W592" s="13" t="n"/>
      <c r="AB592" s="13" t="n"/>
    </row>
    <row r="593">
      <c r="A593" s="12" t="n"/>
      <c r="W593" s="13" t="n"/>
      <c r="AB593" s="13" t="n"/>
    </row>
    <row r="594">
      <c r="A594" s="12" t="n"/>
      <c r="W594" s="13" t="n"/>
      <c r="AB594" s="13" t="n"/>
    </row>
    <row r="595">
      <c r="A595" s="12" t="n"/>
      <c r="W595" s="13" t="n"/>
      <c r="AB595" s="13" t="n"/>
    </row>
    <row r="596">
      <c r="A596" s="12" t="n"/>
      <c r="W596" s="13" t="n"/>
      <c r="AB596" s="13" t="n"/>
    </row>
    <row r="597">
      <c r="A597" s="12" t="n"/>
      <c r="W597" s="13" t="n"/>
      <c r="AB597" s="13" t="n"/>
    </row>
    <row r="598">
      <c r="A598" s="12" t="n"/>
      <c r="W598" s="13" t="n"/>
      <c r="AB598" s="13" t="n"/>
    </row>
    <row r="599">
      <c r="A599" s="12" t="n"/>
      <c r="W599" s="13" t="n"/>
      <c r="AB599" s="13" t="n"/>
    </row>
    <row r="600">
      <c r="A600" s="12" t="n"/>
      <c r="W600" s="13" t="n"/>
      <c r="AB600" s="13" t="n"/>
    </row>
    <row r="601">
      <c r="A601" s="12" t="n"/>
      <c r="W601" s="13" t="n"/>
      <c r="AB601" s="13" t="n"/>
    </row>
    <row r="602">
      <c r="A602" s="12" t="n"/>
      <c r="W602" s="13" t="n"/>
      <c r="AB602" s="13" t="n"/>
    </row>
    <row r="603">
      <c r="A603" s="12" t="n"/>
      <c r="W603" s="13" t="n"/>
      <c r="AB603" s="13" t="n"/>
    </row>
    <row r="604">
      <c r="A604" s="12" t="n"/>
      <c r="W604" s="13" t="n"/>
      <c r="AB604" s="13" t="n"/>
    </row>
    <row r="605">
      <c r="A605" s="12" t="n"/>
      <c r="W605" s="13" t="n"/>
      <c r="AB605" s="13" t="n"/>
    </row>
    <row r="606">
      <c r="A606" s="12" t="n"/>
      <c r="W606" s="13" t="n"/>
      <c r="AB606" s="13" t="n"/>
    </row>
    <row r="607">
      <c r="A607" s="12" t="n"/>
      <c r="W607" s="13" t="n"/>
      <c r="AB607" s="13" t="n"/>
    </row>
    <row r="608">
      <c r="A608" s="12" t="n"/>
      <c r="W608" s="13" t="n"/>
      <c r="AB608" s="13" t="n"/>
    </row>
    <row r="609">
      <c r="A609" s="12" t="n"/>
      <c r="W609" s="13" t="n"/>
      <c r="AB609" s="13" t="n"/>
    </row>
    <row r="610">
      <c r="A610" s="12" t="n"/>
      <c r="W610" s="13" t="n"/>
      <c r="AB610" s="13" t="n"/>
    </row>
    <row r="611">
      <c r="A611" s="12" t="n"/>
      <c r="W611" s="13" t="n"/>
      <c r="AB611" s="13" t="n"/>
    </row>
    <row r="612">
      <c r="A612" s="12" t="n"/>
      <c r="W612" s="13" t="n"/>
      <c r="AB612" s="13" t="n"/>
    </row>
    <row r="613">
      <c r="A613" s="12" t="n"/>
      <c r="W613" s="13" t="n"/>
      <c r="AB613" s="13" t="n"/>
    </row>
    <row r="614">
      <c r="A614" s="12" t="n"/>
      <c r="W614" s="13" t="n"/>
      <c r="AB614" s="13" t="n"/>
    </row>
    <row r="615">
      <c r="A615" s="12" t="n"/>
      <c r="W615" s="13" t="n"/>
      <c r="AB615" s="13" t="n"/>
    </row>
    <row r="616">
      <c r="A616" s="12" t="n"/>
      <c r="W616" s="13" t="n"/>
      <c r="AB616" s="13" t="n"/>
    </row>
    <row r="617">
      <c r="A617" s="12" t="n"/>
      <c r="W617" s="13" t="n"/>
      <c r="AB617" s="13" t="n"/>
    </row>
    <row r="618">
      <c r="A618" s="12" t="n"/>
      <c r="W618" s="13" t="n"/>
      <c r="AB618" s="13" t="n"/>
    </row>
    <row r="619">
      <c r="A619" s="12" t="n"/>
      <c r="W619" s="13" t="n"/>
      <c r="AB619" s="13" t="n"/>
    </row>
    <row r="620">
      <c r="A620" s="12" t="n"/>
      <c r="W620" s="13" t="n"/>
      <c r="AB620" s="13" t="n"/>
    </row>
    <row r="621">
      <c r="A621" s="12" t="n"/>
      <c r="W621" s="13" t="n"/>
      <c r="AB621" s="13" t="n"/>
    </row>
    <row r="622">
      <c r="A622" s="12" t="n"/>
      <c r="W622" s="13" t="n"/>
      <c r="AB622" s="13" t="n"/>
    </row>
    <row r="623">
      <c r="A623" s="12" t="n"/>
      <c r="W623" s="13" t="n"/>
      <c r="AB623" s="13" t="n"/>
    </row>
    <row r="624">
      <c r="A624" s="12" t="n"/>
      <c r="W624" s="13" t="n"/>
      <c r="AB624" s="13" t="n"/>
    </row>
    <row r="625">
      <c r="A625" s="12" t="n"/>
      <c r="W625" s="13" t="n"/>
      <c r="AB625" s="13" t="n"/>
    </row>
    <row r="626">
      <c r="A626" s="12" t="n"/>
      <c r="W626" s="13" t="n"/>
      <c r="AB626" s="13" t="n"/>
    </row>
    <row r="627">
      <c r="A627" s="12" t="n"/>
      <c r="W627" s="13" t="n"/>
      <c r="AB627" s="13" t="n"/>
    </row>
    <row r="628">
      <c r="A628" s="12" t="n"/>
      <c r="W628" s="13" t="n"/>
      <c r="AB628" s="13" t="n"/>
    </row>
    <row r="629">
      <c r="A629" s="12" t="n"/>
      <c r="W629" s="13" t="n"/>
      <c r="AB629" s="13" t="n"/>
    </row>
    <row r="630">
      <c r="A630" s="12" t="n"/>
      <c r="W630" s="13" t="n"/>
      <c r="AB630" s="13" t="n"/>
    </row>
    <row r="631">
      <c r="A631" s="12" t="n"/>
      <c r="W631" s="13" t="n"/>
      <c r="AB631" s="13" t="n"/>
    </row>
    <row r="632">
      <c r="A632" s="12" t="n"/>
      <c r="W632" s="13" t="n"/>
      <c r="AB632" s="13" t="n"/>
    </row>
    <row r="633">
      <c r="A633" s="12" t="n"/>
      <c r="W633" s="13" t="n"/>
      <c r="AB633" s="13" t="n"/>
    </row>
    <row r="634">
      <c r="A634" s="12" t="n"/>
      <c r="W634" s="13" t="n"/>
      <c r="AB634" s="13" t="n"/>
    </row>
    <row r="635">
      <c r="A635" s="12" t="n"/>
      <c r="W635" s="13" t="n"/>
      <c r="AB635" s="13" t="n"/>
    </row>
    <row r="636">
      <c r="A636" s="12" t="n"/>
      <c r="W636" s="13" t="n"/>
      <c r="AB636" s="13" t="n"/>
    </row>
    <row r="637">
      <c r="A637" s="12" t="n"/>
      <c r="W637" s="13" t="n"/>
      <c r="AB637" s="13" t="n"/>
    </row>
    <row r="638">
      <c r="A638" s="12" t="n"/>
      <c r="W638" s="13" t="n"/>
      <c r="AB638" s="13" t="n"/>
    </row>
    <row r="639">
      <c r="A639" s="12" t="n"/>
      <c r="W639" s="13" t="n"/>
      <c r="AB639" s="13" t="n"/>
    </row>
    <row r="640">
      <c r="A640" s="12" t="n"/>
      <c r="W640" s="13" t="n"/>
      <c r="AB640" s="13" t="n"/>
    </row>
    <row r="641">
      <c r="A641" s="12" t="n"/>
      <c r="W641" s="13" t="n"/>
      <c r="AB641" s="13" t="n"/>
    </row>
    <row r="642">
      <c r="A642" s="12" t="n"/>
      <c r="W642" s="13" t="n"/>
      <c r="AB642" s="13" t="n"/>
    </row>
    <row r="643">
      <c r="A643" s="12" t="n"/>
      <c r="W643" s="13" t="n"/>
      <c r="AB643" s="13" t="n"/>
    </row>
    <row r="644">
      <c r="A644" s="12" t="n"/>
      <c r="W644" s="13" t="n"/>
      <c r="AB644" s="13" t="n"/>
    </row>
    <row r="645">
      <c r="A645" s="12" t="n"/>
      <c r="W645" s="13" t="n"/>
      <c r="AB645" s="13" t="n"/>
    </row>
    <row r="646">
      <c r="A646" s="12" t="n"/>
      <c r="W646" s="13" t="n"/>
      <c r="AB646" s="13" t="n"/>
    </row>
    <row r="647">
      <c r="A647" s="12" t="n"/>
      <c r="W647" s="13" t="n"/>
      <c r="AB647" s="13" t="n"/>
    </row>
    <row r="648">
      <c r="A648" s="12" t="n"/>
      <c r="W648" s="13" t="n"/>
      <c r="AB648" s="13" t="n"/>
    </row>
    <row r="649">
      <c r="A649" s="12" t="n"/>
      <c r="W649" s="13" t="n"/>
      <c r="AB649" s="13" t="n"/>
    </row>
    <row r="650">
      <c r="A650" s="12" t="n"/>
      <c r="W650" s="13" t="n"/>
      <c r="AB650" s="13" t="n"/>
    </row>
    <row r="651">
      <c r="A651" s="12" t="n"/>
      <c r="W651" s="13" t="n"/>
      <c r="AB651" s="13" t="n"/>
    </row>
    <row r="652">
      <c r="A652" s="12" t="n"/>
      <c r="W652" s="13" t="n"/>
      <c r="AB652" s="13" t="n"/>
    </row>
    <row r="653">
      <c r="A653" s="12" t="n"/>
      <c r="W653" s="13" t="n"/>
      <c r="AB653" s="13" t="n"/>
    </row>
    <row r="654">
      <c r="A654" s="12" t="n"/>
      <c r="W654" s="13" t="n"/>
      <c r="AB654" s="13" t="n"/>
    </row>
    <row r="655">
      <c r="A655" s="12" t="n"/>
      <c r="W655" s="13" t="n"/>
      <c r="AB655" s="13" t="n"/>
    </row>
    <row r="656">
      <c r="A656" s="12" t="n"/>
      <c r="W656" s="13" t="n"/>
      <c r="AB656" s="13" t="n"/>
    </row>
    <row r="657">
      <c r="A657" s="12" t="n"/>
      <c r="W657" s="13" t="n"/>
      <c r="AB657" s="13" t="n"/>
    </row>
    <row r="658">
      <c r="A658" s="12" t="n"/>
      <c r="W658" s="13" t="n"/>
      <c r="AB658" s="13" t="n"/>
    </row>
    <row r="659">
      <c r="A659" s="12" t="n"/>
      <c r="W659" s="13" t="n"/>
      <c r="AB659" s="13" t="n"/>
    </row>
    <row r="660">
      <c r="A660" s="12" t="n"/>
      <c r="W660" s="13" t="n"/>
      <c r="AB660" s="13" t="n"/>
    </row>
    <row r="661">
      <c r="A661" s="12" t="n"/>
      <c r="W661" s="13" t="n"/>
      <c r="AB661" s="13" t="n"/>
    </row>
    <row r="662">
      <c r="A662" s="12" t="n"/>
      <c r="W662" s="13" t="n"/>
      <c r="AB662" s="13" t="n"/>
    </row>
    <row r="663">
      <c r="A663" s="12" t="n"/>
      <c r="W663" s="13" t="n"/>
      <c r="AB663" s="13" t="n"/>
    </row>
    <row r="664">
      <c r="A664" s="12" t="n"/>
      <c r="W664" s="13" t="n"/>
      <c r="AB664" s="13" t="n"/>
    </row>
    <row r="665">
      <c r="A665" s="12" t="n"/>
      <c r="W665" s="13" t="n"/>
      <c r="AB665" s="13" t="n"/>
    </row>
    <row r="666">
      <c r="A666" s="12" t="n"/>
      <c r="W666" s="13" t="n"/>
      <c r="AB666" s="13" t="n"/>
    </row>
    <row r="667">
      <c r="A667" s="12" t="n"/>
      <c r="W667" s="13" t="n"/>
      <c r="AB667" s="13" t="n"/>
    </row>
    <row r="668">
      <c r="A668" s="12" t="n"/>
      <c r="W668" s="13" t="n"/>
      <c r="AB668" s="13" t="n"/>
    </row>
    <row r="669">
      <c r="A669" s="12" t="n"/>
      <c r="W669" s="13" t="n"/>
      <c r="AB669" s="13" t="n"/>
    </row>
    <row r="670">
      <c r="A670" s="12" t="n"/>
      <c r="W670" s="13" t="n"/>
      <c r="AB670" s="13" t="n"/>
    </row>
    <row r="671">
      <c r="A671" s="12" t="n"/>
      <c r="W671" s="13" t="n"/>
      <c r="AB671" s="13" t="n"/>
    </row>
    <row r="672">
      <c r="A672" s="12" t="n"/>
      <c r="W672" s="13" t="n"/>
      <c r="AB672" s="13" t="n"/>
    </row>
    <row r="673">
      <c r="A673" s="12" t="n"/>
      <c r="W673" s="13" t="n"/>
      <c r="AB673" s="13" t="n"/>
    </row>
    <row r="674">
      <c r="A674" s="12" t="n"/>
      <c r="W674" s="13" t="n"/>
      <c r="AB674" s="13" t="n"/>
    </row>
    <row r="675">
      <c r="A675" s="12" t="n"/>
      <c r="W675" s="13" t="n"/>
      <c r="AB675" s="13" t="n"/>
    </row>
    <row r="676">
      <c r="A676" s="12" t="n"/>
      <c r="W676" s="13" t="n"/>
      <c r="AB676" s="13" t="n"/>
    </row>
    <row r="677">
      <c r="A677" s="12" t="n"/>
      <c r="W677" s="13" t="n"/>
      <c r="AB677" s="13" t="n"/>
    </row>
    <row r="678">
      <c r="A678" s="12" t="n"/>
      <c r="W678" s="13" t="n"/>
      <c r="AB678" s="13" t="n"/>
    </row>
    <row r="679">
      <c r="A679" s="12" t="n"/>
      <c r="W679" s="13" t="n"/>
      <c r="AB679" s="13" t="n"/>
    </row>
    <row r="680">
      <c r="A680" s="12" t="n"/>
      <c r="W680" s="13" t="n"/>
      <c r="AB680" s="13" t="n"/>
    </row>
    <row r="681">
      <c r="A681" s="12" t="n"/>
      <c r="W681" s="13" t="n"/>
      <c r="AB681" s="13" t="n"/>
    </row>
    <row r="682">
      <c r="A682" s="12" t="n"/>
      <c r="W682" s="13" t="n"/>
      <c r="AB682" s="13" t="n"/>
    </row>
    <row r="683">
      <c r="A683" s="12" t="n"/>
      <c r="W683" s="13" t="n"/>
      <c r="AB683" s="13" t="n"/>
    </row>
    <row r="684">
      <c r="A684" s="12" t="n"/>
      <c r="W684" s="13" t="n"/>
      <c r="AB684" s="13" t="n"/>
    </row>
    <row r="685">
      <c r="A685" s="12" t="n"/>
      <c r="W685" s="13" t="n"/>
      <c r="AB685" s="13" t="n"/>
    </row>
    <row r="686">
      <c r="A686" s="12" t="n"/>
      <c r="W686" s="13" t="n"/>
      <c r="AB686" s="13" t="n"/>
    </row>
    <row r="687">
      <c r="A687" s="12" t="n"/>
      <c r="W687" s="13" t="n"/>
      <c r="AB687" s="13" t="n"/>
    </row>
    <row r="688">
      <c r="A688" s="12" t="n"/>
      <c r="W688" s="13" t="n"/>
      <c r="AB688" s="13" t="n"/>
    </row>
    <row r="689">
      <c r="A689" s="12" t="n"/>
      <c r="W689" s="13" t="n"/>
      <c r="AB689" s="13" t="n"/>
    </row>
    <row r="690">
      <c r="A690" s="12" t="n"/>
      <c r="W690" s="13" t="n"/>
      <c r="AB690" s="13" t="n"/>
    </row>
    <row r="691">
      <c r="A691" s="12" t="n"/>
      <c r="W691" s="13" t="n"/>
      <c r="AB691" s="13" t="n"/>
    </row>
    <row r="692">
      <c r="A692" s="12" t="n"/>
      <c r="W692" s="13" t="n"/>
      <c r="AB692" s="13" t="n"/>
    </row>
    <row r="693">
      <c r="A693" s="12" t="n"/>
      <c r="W693" s="13" t="n"/>
      <c r="AB693" s="13" t="n"/>
    </row>
    <row r="694">
      <c r="A694" s="12" t="n"/>
      <c r="W694" s="13" t="n"/>
      <c r="AB694" s="13" t="n"/>
    </row>
    <row r="695">
      <c r="A695" s="12" t="n"/>
      <c r="W695" s="13" t="n"/>
      <c r="AB695" s="13" t="n"/>
    </row>
    <row r="696">
      <c r="A696" s="12" t="n"/>
      <c r="W696" s="13" t="n"/>
      <c r="AB696" s="13" t="n"/>
    </row>
    <row r="697">
      <c r="A697" s="12" t="n"/>
      <c r="W697" s="13" t="n"/>
      <c r="AB697" s="13" t="n"/>
    </row>
    <row r="698">
      <c r="A698" s="12" t="n"/>
      <c r="W698" s="13" t="n"/>
      <c r="AB698" s="13" t="n"/>
    </row>
    <row r="699">
      <c r="A699" s="12" t="n"/>
      <c r="W699" s="13" t="n"/>
      <c r="AB699" s="13" t="n"/>
    </row>
    <row r="700">
      <c r="A700" s="12" t="n"/>
      <c r="W700" s="13" t="n"/>
      <c r="AB700" s="13" t="n"/>
    </row>
    <row r="701">
      <c r="A701" s="12" t="n"/>
      <c r="W701" s="13" t="n"/>
      <c r="AB701" s="13" t="n"/>
    </row>
    <row r="702">
      <c r="A702" s="12" t="n"/>
      <c r="W702" s="13" t="n"/>
      <c r="AB702" s="13" t="n"/>
    </row>
    <row r="703">
      <c r="A703" s="12" t="n"/>
      <c r="W703" s="13" t="n"/>
      <c r="AB703" s="13" t="n"/>
    </row>
    <row r="704">
      <c r="A704" s="12" t="n"/>
      <c r="W704" s="13" t="n"/>
      <c r="AB704" s="13" t="n"/>
    </row>
    <row r="705">
      <c r="A705" s="12" t="n"/>
      <c r="W705" s="13" t="n"/>
      <c r="AB705" s="13" t="n"/>
    </row>
    <row r="706">
      <c r="A706" s="12" t="n"/>
      <c r="W706" s="13" t="n"/>
      <c r="AB706" s="13" t="n"/>
    </row>
    <row r="707">
      <c r="A707" s="12" t="n"/>
      <c r="W707" s="13" t="n"/>
      <c r="AB707" s="13" t="n"/>
    </row>
    <row r="708">
      <c r="A708" s="12" t="n"/>
      <c r="W708" s="13" t="n"/>
      <c r="AB708" s="13" t="n"/>
    </row>
    <row r="709">
      <c r="A709" s="12" t="n"/>
      <c r="W709" s="13" t="n"/>
      <c r="AB709" s="13" t="n"/>
    </row>
    <row r="710">
      <c r="A710" s="12" t="n"/>
      <c r="W710" s="13" t="n"/>
      <c r="AB710" s="13" t="n"/>
    </row>
    <row r="711">
      <c r="A711" s="12" t="n"/>
      <c r="W711" s="13" t="n"/>
      <c r="AB711" s="13" t="n"/>
    </row>
    <row r="712">
      <c r="A712" s="12" t="n"/>
      <c r="W712" s="13" t="n"/>
      <c r="AB712" s="13" t="n"/>
    </row>
    <row r="713">
      <c r="A713" s="12" t="n"/>
      <c r="W713" s="13" t="n"/>
      <c r="AB713" s="13" t="n"/>
    </row>
    <row r="714">
      <c r="A714" s="12" t="n"/>
      <c r="W714" s="13" t="n"/>
      <c r="AB714" s="13" t="n"/>
    </row>
    <row r="715">
      <c r="A715" s="12" t="n"/>
      <c r="W715" s="13" t="n"/>
      <c r="AB715" s="13" t="n"/>
    </row>
    <row r="716">
      <c r="A716" s="12" t="n"/>
      <c r="W716" s="13" t="n"/>
      <c r="AB716" s="13" t="n"/>
    </row>
    <row r="717">
      <c r="A717" s="12" t="n"/>
      <c r="W717" s="13" t="n"/>
      <c r="AB717" s="13" t="n"/>
    </row>
    <row r="718">
      <c r="A718" s="12" t="n"/>
      <c r="W718" s="13" t="n"/>
      <c r="AB718" s="13" t="n"/>
    </row>
    <row r="719">
      <c r="A719" s="12" t="n"/>
      <c r="W719" s="13" t="n"/>
      <c r="AB719" s="13" t="n"/>
    </row>
    <row r="720">
      <c r="A720" s="12" t="n"/>
      <c r="W720" s="13" t="n"/>
      <c r="AB720" s="13" t="n"/>
    </row>
    <row r="721">
      <c r="A721" s="12" t="n"/>
      <c r="W721" s="13" t="n"/>
      <c r="AB721" s="13" t="n"/>
    </row>
    <row r="722">
      <c r="A722" s="12" t="n"/>
      <c r="W722" s="13" t="n"/>
      <c r="AB722" s="13" t="n"/>
    </row>
    <row r="723">
      <c r="A723" s="12" t="n"/>
      <c r="W723" s="13" t="n"/>
      <c r="AB723" s="13" t="n"/>
    </row>
    <row r="724">
      <c r="A724" s="12" t="n"/>
      <c r="W724" s="13" t="n"/>
      <c r="AB724" s="13" t="n"/>
    </row>
    <row r="725">
      <c r="A725" s="12" t="n"/>
      <c r="W725" s="13" t="n"/>
      <c r="AB725" s="13" t="n"/>
    </row>
    <row r="726">
      <c r="A726" s="12" t="n"/>
      <c r="W726" s="13" t="n"/>
      <c r="AB726" s="13" t="n"/>
    </row>
    <row r="727">
      <c r="A727" s="12" t="n"/>
      <c r="W727" s="13" t="n"/>
      <c r="AB727" s="13" t="n"/>
    </row>
    <row r="728">
      <c r="A728" s="12" t="n"/>
      <c r="W728" s="13" t="n"/>
      <c r="AB728" s="13" t="n"/>
    </row>
    <row r="729">
      <c r="A729" s="12" t="n"/>
      <c r="W729" s="13" t="n"/>
      <c r="AB729" s="13" t="n"/>
    </row>
    <row r="730">
      <c r="A730" s="12" t="n"/>
      <c r="W730" s="13" t="n"/>
      <c r="AB730" s="13" t="n"/>
    </row>
    <row r="731">
      <c r="A731" s="12" t="n"/>
      <c r="W731" s="13" t="n"/>
      <c r="AB731" s="13" t="n"/>
    </row>
    <row r="732">
      <c r="A732" s="12" t="n"/>
      <c r="W732" s="13" t="n"/>
      <c r="AB732" s="13" t="n"/>
    </row>
    <row r="733">
      <c r="A733" s="12" t="n"/>
      <c r="W733" s="13" t="n"/>
      <c r="AB733" s="13" t="n"/>
    </row>
    <row r="734">
      <c r="A734" s="12" t="n"/>
      <c r="W734" s="13" t="n"/>
      <c r="AB734" s="13" t="n"/>
    </row>
    <row r="735">
      <c r="A735" s="12" t="n"/>
      <c r="W735" s="13" t="n"/>
      <c r="AB735" s="13" t="n"/>
    </row>
    <row r="736">
      <c r="A736" s="12" t="n"/>
      <c r="W736" s="13" t="n"/>
      <c r="AB736" s="13" t="n"/>
    </row>
    <row r="737">
      <c r="A737" s="12" t="n"/>
      <c r="W737" s="13" t="n"/>
      <c r="AB737" s="13" t="n"/>
    </row>
    <row r="738">
      <c r="A738" s="12" t="n"/>
      <c r="W738" s="13" t="n"/>
      <c r="AB738" s="13" t="n"/>
    </row>
    <row r="739">
      <c r="A739" s="12" t="n"/>
      <c r="W739" s="13" t="n"/>
      <c r="AB739" s="13" t="n"/>
    </row>
    <row r="740">
      <c r="A740" s="12" t="n"/>
      <c r="W740" s="13" t="n"/>
      <c r="AB740" s="13" t="n"/>
    </row>
    <row r="741">
      <c r="A741" s="12" t="n"/>
      <c r="W741" s="13" t="n"/>
      <c r="AB741" s="13" t="n"/>
    </row>
    <row r="742">
      <c r="A742" s="12" t="n"/>
      <c r="W742" s="13" t="n"/>
      <c r="AB742" s="13" t="n"/>
    </row>
    <row r="743">
      <c r="A743" s="12" t="n"/>
      <c r="W743" s="13" t="n"/>
      <c r="AB743" s="13" t="n"/>
    </row>
    <row r="744">
      <c r="A744" s="12" t="n"/>
      <c r="W744" s="13" t="n"/>
      <c r="AB744" s="13" t="n"/>
    </row>
    <row r="745">
      <c r="A745" s="12" t="n"/>
      <c r="W745" s="13" t="n"/>
      <c r="AB745" s="13" t="n"/>
    </row>
    <row r="746">
      <c r="A746" s="12" t="n"/>
      <c r="W746" s="13" t="n"/>
      <c r="AB746" s="13" t="n"/>
    </row>
    <row r="747">
      <c r="A747" s="12" t="n"/>
      <c r="W747" s="13" t="n"/>
      <c r="AB747" s="13" t="n"/>
    </row>
    <row r="748">
      <c r="A748" s="12" t="n"/>
      <c r="W748" s="13" t="n"/>
      <c r="AB748" s="13" t="n"/>
    </row>
    <row r="749">
      <c r="A749" s="12" t="n"/>
      <c r="W749" s="13" t="n"/>
      <c r="AB749" s="13" t="n"/>
    </row>
    <row r="750">
      <c r="A750" s="12" t="n"/>
      <c r="W750" s="13" t="n"/>
      <c r="AB750" s="13" t="n"/>
    </row>
    <row r="751">
      <c r="A751" s="12" t="n"/>
      <c r="W751" s="13" t="n"/>
      <c r="AB751" s="13" t="n"/>
    </row>
    <row r="752">
      <c r="A752" s="12" t="n"/>
      <c r="W752" s="13" t="n"/>
      <c r="AB752" s="13" t="n"/>
    </row>
    <row r="753">
      <c r="A753" s="12" t="n"/>
      <c r="W753" s="13" t="n"/>
      <c r="AB753" s="13" t="n"/>
    </row>
    <row r="754">
      <c r="A754" s="12" t="n"/>
      <c r="W754" s="13" t="n"/>
      <c r="AB754" s="13" t="n"/>
    </row>
    <row r="755">
      <c r="A755" s="12" t="n"/>
      <c r="W755" s="13" t="n"/>
      <c r="AB755" s="13" t="n"/>
    </row>
    <row r="756">
      <c r="A756" s="12" t="n"/>
      <c r="W756" s="13" t="n"/>
      <c r="AB756" s="13" t="n"/>
    </row>
    <row r="757">
      <c r="A757" s="12" t="n"/>
      <c r="W757" s="13" t="n"/>
      <c r="AB757" s="13" t="n"/>
    </row>
    <row r="758">
      <c r="A758" s="12" t="n"/>
      <c r="W758" s="13" t="n"/>
      <c r="AB758" s="13" t="n"/>
    </row>
    <row r="759">
      <c r="A759" s="12" t="n"/>
      <c r="W759" s="13" t="n"/>
      <c r="AB759" s="13" t="n"/>
    </row>
    <row r="760">
      <c r="A760" s="12" t="n"/>
      <c r="W760" s="13" t="n"/>
      <c r="AB760" s="13" t="n"/>
    </row>
    <row r="761">
      <c r="A761" s="12" t="n"/>
      <c r="W761" s="13" t="n"/>
      <c r="AB761" s="13" t="n"/>
    </row>
    <row r="762">
      <c r="A762" s="12" t="n"/>
      <c r="W762" s="13" t="n"/>
      <c r="AB762" s="13" t="n"/>
    </row>
    <row r="763">
      <c r="A763" s="12" t="n"/>
      <c r="W763" s="13" t="n"/>
      <c r="AB763" s="13" t="n"/>
    </row>
    <row r="764">
      <c r="A764" s="12" t="n"/>
      <c r="W764" s="13" t="n"/>
      <c r="AB764" s="13" t="n"/>
    </row>
    <row r="765">
      <c r="A765" s="12" t="n"/>
      <c r="W765" s="13" t="n"/>
      <c r="AB765" s="13" t="n"/>
    </row>
    <row r="766">
      <c r="A766" s="12" t="n"/>
      <c r="W766" s="13" t="n"/>
      <c r="AB766" s="13" t="n"/>
    </row>
    <row r="767">
      <c r="A767" s="12" t="n"/>
      <c r="W767" s="13" t="n"/>
      <c r="AB767" s="13" t="n"/>
    </row>
    <row r="768">
      <c r="A768" s="12" t="n"/>
      <c r="W768" s="13" t="n"/>
      <c r="AB768" s="13" t="n"/>
    </row>
    <row r="769">
      <c r="A769" s="12" t="n"/>
      <c r="W769" s="13" t="n"/>
      <c r="AB769" s="13" t="n"/>
    </row>
    <row r="770">
      <c r="A770" s="12" t="n"/>
      <c r="W770" s="13" t="n"/>
      <c r="AB770" s="13" t="n"/>
    </row>
    <row r="771">
      <c r="A771" s="12" t="n"/>
      <c r="W771" s="13" t="n"/>
      <c r="AB771" s="13" t="n"/>
    </row>
    <row r="772">
      <c r="A772" s="12" t="n"/>
      <c r="W772" s="13" t="n"/>
      <c r="AB772" s="13" t="n"/>
    </row>
    <row r="773">
      <c r="A773" s="12" t="n"/>
      <c r="W773" s="13" t="n"/>
      <c r="AB773" s="13" t="n"/>
    </row>
    <row r="774">
      <c r="A774" s="12" t="n"/>
      <c r="W774" s="13" t="n"/>
      <c r="AB774" s="13" t="n"/>
    </row>
    <row r="775">
      <c r="A775" s="12" t="n"/>
      <c r="W775" s="13" t="n"/>
      <c r="AB775" s="13" t="n"/>
    </row>
    <row r="776">
      <c r="A776" s="12" t="n"/>
      <c r="W776" s="13" t="n"/>
      <c r="AB776" s="13" t="n"/>
    </row>
    <row r="777">
      <c r="A777" s="12" t="n"/>
      <c r="W777" s="13" t="n"/>
      <c r="AB777" s="13" t="n"/>
    </row>
    <row r="778">
      <c r="A778" s="12" t="n"/>
      <c r="W778" s="13" t="n"/>
      <c r="AB778" s="13" t="n"/>
    </row>
    <row r="779">
      <c r="A779" s="12" t="n"/>
      <c r="W779" s="13" t="n"/>
      <c r="AB779" s="13" t="n"/>
    </row>
    <row r="780">
      <c r="A780" s="12" t="n"/>
      <c r="W780" s="13" t="n"/>
      <c r="AB780" s="13" t="n"/>
    </row>
    <row r="781">
      <c r="A781" s="12" t="n"/>
      <c r="W781" s="13" t="n"/>
      <c r="AB781" s="13" t="n"/>
    </row>
    <row r="782">
      <c r="A782" s="12" t="n"/>
      <c r="W782" s="13" t="n"/>
      <c r="AB782" s="13" t="n"/>
    </row>
    <row r="783">
      <c r="A783" s="12" t="n"/>
      <c r="W783" s="13" t="n"/>
      <c r="AB783" s="13" t="n"/>
    </row>
    <row r="784">
      <c r="A784" s="12" t="n"/>
      <c r="W784" s="13" t="n"/>
      <c r="AB784" s="13" t="n"/>
    </row>
    <row r="785">
      <c r="A785" s="12" t="n"/>
      <c r="W785" s="13" t="n"/>
      <c r="AB785" s="13" t="n"/>
    </row>
    <row r="786">
      <c r="A786" s="12" t="n"/>
      <c r="W786" s="13" t="n"/>
      <c r="AB786" s="13" t="n"/>
    </row>
    <row r="787">
      <c r="A787" s="12" t="n"/>
      <c r="W787" s="13" t="n"/>
      <c r="AB787" s="13" t="n"/>
    </row>
    <row r="788">
      <c r="A788" s="12" t="n"/>
      <c r="W788" s="13" t="n"/>
      <c r="AB788" s="13" t="n"/>
    </row>
    <row r="789">
      <c r="A789" s="12" t="n"/>
      <c r="W789" s="13" t="n"/>
      <c r="AB789" s="13" t="n"/>
    </row>
    <row r="790">
      <c r="A790" s="12" t="n"/>
      <c r="W790" s="13" t="n"/>
      <c r="AB790" s="13" t="n"/>
    </row>
    <row r="791">
      <c r="A791" s="12" t="n"/>
      <c r="W791" s="13" t="n"/>
      <c r="AB791" s="13" t="n"/>
    </row>
    <row r="792">
      <c r="A792" s="12" t="n"/>
      <c r="W792" s="13" t="n"/>
      <c r="AB792" s="13" t="n"/>
    </row>
    <row r="793">
      <c r="A793" s="12" t="n"/>
      <c r="W793" s="13" t="n"/>
      <c r="AB793" s="13" t="n"/>
    </row>
    <row r="794">
      <c r="A794" s="12" t="n"/>
      <c r="W794" s="13" t="n"/>
      <c r="AB794" s="13" t="n"/>
    </row>
    <row r="795">
      <c r="A795" s="12" t="n"/>
      <c r="W795" s="13" t="n"/>
      <c r="AB795" s="13" t="n"/>
    </row>
    <row r="796">
      <c r="A796" s="12" t="n"/>
      <c r="W796" s="13" t="n"/>
      <c r="AB796" s="13" t="n"/>
    </row>
    <row r="797">
      <c r="A797" s="12" t="n"/>
      <c r="W797" s="13" t="n"/>
      <c r="AB797" s="13" t="n"/>
    </row>
    <row r="798">
      <c r="A798" s="12" t="n"/>
      <c r="W798" s="13" t="n"/>
      <c r="AB798" s="13" t="n"/>
    </row>
    <row r="799">
      <c r="A799" s="12" t="n"/>
      <c r="W799" s="13" t="n"/>
      <c r="AB799" s="13" t="n"/>
    </row>
    <row r="800">
      <c r="A800" s="12" t="n"/>
      <c r="W800" s="13" t="n"/>
      <c r="AB800" s="13" t="n"/>
    </row>
    <row r="801">
      <c r="A801" s="12" t="n"/>
      <c r="W801" s="13" t="n"/>
      <c r="AB801" s="13" t="n"/>
    </row>
    <row r="802">
      <c r="A802" s="12" t="n"/>
      <c r="W802" s="13" t="n"/>
      <c r="AB802" s="13" t="n"/>
    </row>
    <row r="803">
      <c r="A803" s="12" t="n"/>
      <c r="W803" s="13" t="n"/>
      <c r="AB803" s="13" t="n"/>
    </row>
    <row r="804">
      <c r="A804" s="12" t="n"/>
      <c r="W804" s="13" t="n"/>
      <c r="AB804" s="13" t="n"/>
    </row>
    <row r="805">
      <c r="A805" s="12" t="n"/>
      <c r="W805" s="13" t="n"/>
      <c r="AB805" s="13" t="n"/>
    </row>
    <row r="806">
      <c r="A806" s="12" t="n"/>
      <c r="W806" s="13" t="n"/>
      <c r="AB806" s="13" t="n"/>
    </row>
    <row r="807">
      <c r="A807" s="12" t="n"/>
      <c r="W807" s="13" t="n"/>
      <c r="AB807" s="13" t="n"/>
    </row>
    <row r="808">
      <c r="A808" s="12" t="n"/>
      <c r="W808" s="13" t="n"/>
      <c r="AB808" s="13" t="n"/>
    </row>
    <row r="809">
      <c r="A809" s="12" t="n"/>
      <c r="W809" s="13" t="n"/>
      <c r="AB809" s="13" t="n"/>
    </row>
    <row r="810">
      <c r="A810" s="12" t="n"/>
      <c r="W810" s="13" t="n"/>
      <c r="AB810" s="13" t="n"/>
    </row>
    <row r="811">
      <c r="A811" s="12" t="n"/>
      <c r="W811" s="13" t="n"/>
      <c r="AB811" s="13" t="n"/>
    </row>
    <row r="812">
      <c r="A812" s="12" t="n"/>
      <c r="W812" s="13" t="n"/>
      <c r="AB812" s="13" t="n"/>
    </row>
    <row r="813">
      <c r="A813" s="12" t="n"/>
      <c r="W813" s="13" t="n"/>
      <c r="AB813" s="13" t="n"/>
    </row>
    <row r="814">
      <c r="A814" s="12" t="n"/>
      <c r="W814" s="13" t="n"/>
      <c r="AB814" s="13" t="n"/>
    </row>
    <row r="815">
      <c r="A815" s="12" t="n"/>
      <c r="W815" s="13" t="n"/>
      <c r="AB815" s="13" t="n"/>
    </row>
    <row r="816">
      <c r="A816" s="12" t="n"/>
      <c r="W816" s="13" t="n"/>
      <c r="AB816" s="13" t="n"/>
    </row>
    <row r="817">
      <c r="A817" s="12" t="n"/>
      <c r="W817" s="13" t="n"/>
      <c r="AB817" s="13" t="n"/>
    </row>
    <row r="818">
      <c r="A818" s="12" t="n"/>
      <c r="W818" s="13" t="n"/>
      <c r="AB818" s="13" t="n"/>
    </row>
    <row r="819">
      <c r="A819" s="12" t="n"/>
      <c r="W819" s="13" t="n"/>
      <c r="AB819" s="13" t="n"/>
    </row>
    <row r="820">
      <c r="A820" s="12" t="n"/>
      <c r="W820" s="13" t="n"/>
      <c r="AB820" s="13" t="n"/>
    </row>
    <row r="821">
      <c r="A821" s="12" t="n"/>
      <c r="W821" s="13" t="n"/>
      <c r="AB821" s="13" t="n"/>
    </row>
    <row r="822">
      <c r="A822" s="12" t="n"/>
      <c r="W822" s="13" t="n"/>
      <c r="AB822" s="13" t="n"/>
    </row>
    <row r="823">
      <c r="A823" s="12" t="n"/>
      <c r="W823" s="13" t="n"/>
      <c r="AB823" s="13" t="n"/>
    </row>
    <row r="824">
      <c r="A824" s="12" t="n"/>
      <c r="W824" s="13" t="n"/>
      <c r="AB824" s="13" t="n"/>
    </row>
    <row r="825">
      <c r="A825" s="12" t="n"/>
      <c r="W825" s="13" t="n"/>
      <c r="AB825" s="13" t="n"/>
    </row>
    <row r="826">
      <c r="A826" s="12" t="n"/>
      <c r="W826" s="13" t="n"/>
      <c r="AB826" s="13" t="n"/>
    </row>
    <row r="827">
      <c r="A827" s="12" t="n"/>
      <c r="W827" s="13" t="n"/>
      <c r="AB827" s="13" t="n"/>
    </row>
    <row r="828">
      <c r="A828" s="12" t="n"/>
      <c r="W828" s="13" t="n"/>
      <c r="AB828" s="13" t="n"/>
    </row>
    <row r="829">
      <c r="A829" s="12" t="n"/>
      <c r="W829" s="13" t="n"/>
      <c r="AB829" s="13" t="n"/>
    </row>
    <row r="830">
      <c r="A830" s="12" t="n"/>
      <c r="W830" s="13" t="n"/>
      <c r="AB830" s="13" t="n"/>
    </row>
    <row r="831">
      <c r="A831" s="12" t="n"/>
      <c r="W831" s="13" t="n"/>
      <c r="AB831" s="13" t="n"/>
    </row>
    <row r="832">
      <c r="A832" s="12" t="n"/>
      <c r="W832" s="13" t="n"/>
      <c r="AB832" s="13" t="n"/>
    </row>
    <row r="833">
      <c r="A833" s="12" t="n"/>
      <c r="W833" s="13" t="n"/>
      <c r="AB833" s="13" t="n"/>
    </row>
    <row r="834">
      <c r="A834" s="12" t="n"/>
      <c r="W834" s="13" t="n"/>
      <c r="AB834" s="13" t="n"/>
    </row>
    <row r="835">
      <c r="A835" s="12" t="n"/>
      <c r="W835" s="13" t="n"/>
      <c r="AB835" s="13" t="n"/>
    </row>
    <row r="836">
      <c r="A836" s="12" t="n"/>
      <c r="W836" s="13" t="n"/>
      <c r="AB836" s="13" t="n"/>
    </row>
    <row r="837">
      <c r="A837" s="12" t="n"/>
      <c r="W837" s="13" t="n"/>
      <c r="AB837" s="13" t="n"/>
    </row>
    <row r="838">
      <c r="A838" s="12" t="n"/>
      <c r="W838" s="13" t="n"/>
      <c r="AB838" s="13" t="n"/>
    </row>
    <row r="839">
      <c r="A839" s="12" t="n"/>
      <c r="W839" s="13" t="n"/>
      <c r="AB839" s="13" t="n"/>
    </row>
    <row r="840">
      <c r="A840" s="12" t="n"/>
      <c r="W840" s="13" t="n"/>
      <c r="AB840" s="13" t="n"/>
    </row>
    <row r="841">
      <c r="A841" s="12" t="n"/>
      <c r="W841" s="13" t="n"/>
      <c r="AB841" s="13" t="n"/>
    </row>
    <row r="842">
      <c r="A842" s="12" t="n"/>
      <c r="W842" s="13" t="n"/>
      <c r="AB842" s="13" t="n"/>
    </row>
    <row r="843">
      <c r="A843" s="12" t="n"/>
      <c r="W843" s="13" t="n"/>
      <c r="AB843" s="13" t="n"/>
    </row>
    <row r="844">
      <c r="A844" s="12" t="n"/>
      <c r="W844" s="13" t="n"/>
      <c r="AB844" s="13" t="n"/>
    </row>
    <row r="845">
      <c r="A845" s="12" t="n"/>
      <c r="W845" s="13" t="n"/>
      <c r="AB845" s="13" t="n"/>
    </row>
    <row r="846">
      <c r="A846" s="12" t="n"/>
      <c r="W846" s="13" t="n"/>
      <c r="AB846" s="13" t="n"/>
    </row>
    <row r="847">
      <c r="A847" s="12" t="n"/>
      <c r="W847" s="13" t="n"/>
      <c r="AB847" s="13" t="n"/>
    </row>
    <row r="848">
      <c r="A848" s="12" t="n"/>
      <c r="W848" s="13" t="n"/>
      <c r="AB848" s="13" t="n"/>
    </row>
    <row r="849">
      <c r="A849" s="12" t="n"/>
      <c r="W849" s="13" t="n"/>
      <c r="AB849" s="13" t="n"/>
    </row>
    <row r="850">
      <c r="A850" s="12" t="n"/>
      <c r="W850" s="13" t="n"/>
      <c r="AB850" s="13" t="n"/>
    </row>
    <row r="851">
      <c r="A851" s="12" t="n"/>
      <c r="W851" s="13" t="n"/>
      <c r="AB851" s="13" t="n"/>
    </row>
    <row r="852">
      <c r="A852" s="12" t="n"/>
      <c r="W852" s="13" t="n"/>
      <c r="AB852" s="13" t="n"/>
    </row>
    <row r="853">
      <c r="A853" s="12" t="n"/>
      <c r="W853" s="13" t="n"/>
      <c r="AB853" s="13" t="n"/>
    </row>
    <row r="854">
      <c r="A854" s="12" t="n"/>
      <c r="W854" s="13" t="n"/>
      <c r="AB854" s="13" t="n"/>
    </row>
    <row r="855">
      <c r="A855" s="12" t="n"/>
      <c r="W855" s="13" t="n"/>
      <c r="AB855" s="13" t="n"/>
    </row>
    <row r="856">
      <c r="A856" s="12" t="n"/>
      <c r="W856" s="13" t="n"/>
      <c r="AB856" s="13" t="n"/>
    </row>
    <row r="857">
      <c r="A857" s="12" t="n"/>
      <c r="W857" s="13" t="n"/>
      <c r="AB857" s="13" t="n"/>
    </row>
    <row r="858">
      <c r="A858" s="12" t="n"/>
      <c r="W858" s="13" t="n"/>
      <c r="AB858" s="13" t="n"/>
    </row>
    <row r="859">
      <c r="A859" s="12" t="n"/>
      <c r="W859" s="13" t="n"/>
      <c r="AB859" s="13" t="n"/>
    </row>
    <row r="860">
      <c r="A860" s="12" t="n"/>
      <c r="W860" s="13" t="n"/>
      <c r="AB860" s="13" t="n"/>
    </row>
    <row r="861">
      <c r="A861" s="12" t="n"/>
      <c r="W861" s="13" t="n"/>
      <c r="AB861" s="13" t="n"/>
    </row>
    <row r="862">
      <c r="A862" s="12" t="n"/>
      <c r="W862" s="13" t="n"/>
      <c r="AB862" s="13" t="n"/>
    </row>
    <row r="863">
      <c r="A863" s="12" t="n"/>
      <c r="W863" s="13" t="n"/>
      <c r="AB863" s="13" t="n"/>
    </row>
    <row r="864">
      <c r="A864" s="12" t="n"/>
      <c r="W864" s="13" t="n"/>
      <c r="AB864" s="13" t="n"/>
    </row>
    <row r="865">
      <c r="A865" s="12" t="n"/>
      <c r="W865" s="13" t="n"/>
      <c r="AB865" s="13" t="n"/>
    </row>
    <row r="866">
      <c r="A866" s="12" t="n"/>
      <c r="W866" s="13" t="n"/>
      <c r="AB866" s="13" t="n"/>
    </row>
    <row r="867">
      <c r="A867" s="12" t="n"/>
      <c r="W867" s="13" t="n"/>
      <c r="AB867" s="13" t="n"/>
    </row>
    <row r="868">
      <c r="A868" s="12" t="n"/>
      <c r="W868" s="13" t="n"/>
      <c r="AB868" s="13" t="n"/>
    </row>
    <row r="869">
      <c r="A869" s="12" t="n"/>
      <c r="W869" s="13" t="n"/>
      <c r="AB869" s="13" t="n"/>
    </row>
    <row r="870">
      <c r="A870" s="12" t="n"/>
      <c r="W870" s="13" t="n"/>
      <c r="AB870" s="13" t="n"/>
    </row>
    <row r="871">
      <c r="A871" s="12" t="n"/>
      <c r="W871" s="13" t="n"/>
      <c r="AB871" s="13" t="n"/>
    </row>
    <row r="872">
      <c r="A872" s="12" t="n"/>
      <c r="W872" s="13" t="n"/>
      <c r="AB872" s="13" t="n"/>
    </row>
    <row r="873">
      <c r="A873" s="12" t="n"/>
      <c r="W873" s="13" t="n"/>
      <c r="AB873" s="13" t="n"/>
    </row>
    <row r="874">
      <c r="A874" s="12" t="n"/>
      <c r="W874" s="13" t="n"/>
      <c r="AB874" s="13" t="n"/>
    </row>
    <row r="875">
      <c r="A875" s="12" t="n"/>
      <c r="W875" s="13" t="n"/>
      <c r="AB875" s="13" t="n"/>
    </row>
    <row r="876">
      <c r="A876" s="12" t="n"/>
      <c r="W876" s="13" t="n"/>
      <c r="AB876" s="13" t="n"/>
    </row>
    <row r="877">
      <c r="A877" s="12" t="n"/>
      <c r="W877" s="13" t="n"/>
      <c r="AB877" s="13" t="n"/>
    </row>
    <row r="878">
      <c r="A878" s="12" t="n"/>
      <c r="W878" s="13" t="n"/>
      <c r="AB878" s="13" t="n"/>
    </row>
    <row r="879">
      <c r="A879" s="12" t="n"/>
      <c r="W879" s="13" t="n"/>
      <c r="AB879" s="13" t="n"/>
    </row>
    <row r="880">
      <c r="A880" s="12" t="n"/>
      <c r="W880" s="13" t="n"/>
      <c r="AB880" s="13" t="n"/>
    </row>
    <row r="881">
      <c r="A881" s="12" t="n"/>
      <c r="W881" s="13" t="n"/>
      <c r="AB881" s="13" t="n"/>
    </row>
    <row r="882">
      <c r="A882" s="12" t="n"/>
      <c r="W882" s="13" t="n"/>
      <c r="AB882" s="13" t="n"/>
    </row>
    <row r="883">
      <c r="A883" s="12" t="n"/>
      <c r="W883" s="13" t="n"/>
      <c r="AB883" s="13" t="n"/>
    </row>
    <row r="884">
      <c r="A884" s="12" t="n"/>
      <c r="W884" s="13" t="n"/>
      <c r="AB884" s="13" t="n"/>
    </row>
    <row r="885">
      <c r="A885" s="12" t="n"/>
      <c r="W885" s="13" t="n"/>
      <c r="AB885" s="13" t="n"/>
    </row>
    <row r="886">
      <c r="A886" s="12" t="n"/>
      <c r="W886" s="13" t="n"/>
      <c r="AB886" s="13" t="n"/>
    </row>
    <row r="887">
      <c r="A887" s="12" t="n"/>
      <c r="W887" s="13" t="n"/>
      <c r="AB887" s="13" t="n"/>
    </row>
    <row r="888">
      <c r="A888" s="12" t="n"/>
      <c r="W888" s="13" t="n"/>
      <c r="AB888" s="13" t="n"/>
    </row>
    <row r="889">
      <c r="A889" s="12" t="n"/>
      <c r="W889" s="13" t="n"/>
      <c r="AB889" s="13" t="n"/>
    </row>
    <row r="890">
      <c r="A890" s="12" t="n"/>
      <c r="W890" s="13" t="n"/>
      <c r="AB890" s="13" t="n"/>
    </row>
    <row r="891">
      <c r="A891" s="12" t="n"/>
      <c r="W891" s="13" t="n"/>
      <c r="AB891" s="13" t="n"/>
    </row>
    <row r="892">
      <c r="A892" s="12" t="n"/>
      <c r="W892" s="13" t="n"/>
      <c r="AB892" s="13" t="n"/>
    </row>
    <row r="893">
      <c r="A893" s="12" t="n"/>
      <c r="W893" s="13" t="n"/>
      <c r="AB893" s="13" t="n"/>
    </row>
    <row r="894">
      <c r="A894" s="12" t="n"/>
      <c r="W894" s="13" t="n"/>
      <c r="AB894" s="13" t="n"/>
    </row>
    <row r="895">
      <c r="A895" s="12" t="n"/>
      <c r="W895" s="13" t="n"/>
      <c r="AB895" s="13" t="n"/>
    </row>
    <row r="896">
      <c r="A896" s="12" t="n"/>
      <c r="W896" s="13" t="n"/>
      <c r="AB896" s="13" t="n"/>
    </row>
    <row r="897">
      <c r="A897" s="12" t="n"/>
      <c r="W897" s="13" t="n"/>
      <c r="AB897" s="13" t="n"/>
    </row>
    <row r="898">
      <c r="A898" s="12" t="n"/>
      <c r="W898" s="13" t="n"/>
      <c r="AB898" s="13" t="n"/>
    </row>
    <row r="899">
      <c r="A899" s="12" t="n"/>
      <c r="W899" s="13" t="n"/>
      <c r="AB899" s="13" t="n"/>
    </row>
    <row r="900">
      <c r="A900" s="12" t="n"/>
      <c r="W900" s="13" t="n"/>
      <c r="AB900" s="13" t="n"/>
    </row>
    <row r="901">
      <c r="A901" s="12" t="n"/>
      <c r="W901" s="13" t="n"/>
      <c r="AB901" s="13" t="n"/>
    </row>
    <row r="902">
      <c r="A902" s="12" t="n"/>
      <c r="W902" s="13" t="n"/>
      <c r="AB902" s="13" t="n"/>
    </row>
    <row r="903">
      <c r="A903" s="12" t="n"/>
      <c r="W903" s="13" t="n"/>
      <c r="AB903" s="13" t="n"/>
    </row>
    <row r="904">
      <c r="A904" s="12" t="n"/>
      <c r="W904" s="13" t="n"/>
      <c r="AB904" s="13" t="n"/>
    </row>
    <row r="905">
      <c r="A905" s="12" t="n"/>
      <c r="W905" s="13" t="n"/>
      <c r="AB905" s="13" t="n"/>
    </row>
    <row r="906">
      <c r="A906" s="12" t="n"/>
      <c r="W906" s="13" t="n"/>
      <c r="AB906" s="13" t="n"/>
    </row>
    <row r="907">
      <c r="A907" s="12" t="n"/>
      <c r="W907" s="13" t="n"/>
      <c r="AB907" s="13" t="n"/>
    </row>
    <row r="908">
      <c r="A908" s="12" t="n"/>
      <c r="W908" s="13" t="n"/>
      <c r="AB908" s="13" t="n"/>
    </row>
    <row r="909">
      <c r="A909" s="12" t="n"/>
      <c r="W909" s="13" t="n"/>
      <c r="AB909" s="13" t="n"/>
    </row>
    <row r="910">
      <c r="A910" s="12" t="n"/>
      <c r="W910" s="13" t="n"/>
      <c r="AB910" s="13" t="n"/>
    </row>
    <row r="911">
      <c r="A911" s="12" t="n"/>
      <c r="W911" s="13" t="n"/>
      <c r="AB911" s="13" t="n"/>
    </row>
    <row r="912">
      <c r="A912" s="12" t="n"/>
      <c r="W912" s="13" t="n"/>
      <c r="AB912" s="13" t="n"/>
    </row>
    <row r="913">
      <c r="A913" s="12" t="n"/>
      <c r="W913" s="13" t="n"/>
      <c r="AB913" s="13" t="n"/>
    </row>
    <row r="914">
      <c r="A914" s="12" t="n"/>
      <c r="W914" s="13" t="n"/>
      <c r="AB914" s="13" t="n"/>
    </row>
    <row r="915">
      <c r="A915" s="12" t="n"/>
      <c r="W915" s="13" t="n"/>
      <c r="AB915" s="13" t="n"/>
    </row>
    <row r="916">
      <c r="A916" s="12" t="n"/>
      <c r="W916" s="13" t="n"/>
      <c r="AB916" s="13" t="n"/>
    </row>
    <row r="917">
      <c r="A917" s="12" t="n"/>
      <c r="W917" s="13" t="n"/>
      <c r="AB917" s="13" t="n"/>
    </row>
    <row r="918">
      <c r="A918" s="12" t="n"/>
      <c r="W918" s="13" t="n"/>
      <c r="AB918" s="13" t="n"/>
    </row>
    <row r="919">
      <c r="A919" s="12" t="n"/>
      <c r="W919" s="13" t="n"/>
      <c r="AB919" s="13" t="n"/>
    </row>
    <row r="920">
      <c r="A920" s="12" t="n"/>
      <c r="W920" s="13" t="n"/>
      <c r="AB920" s="13" t="n"/>
    </row>
    <row r="921">
      <c r="A921" s="12" t="n"/>
      <c r="W921" s="13" t="n"/>
      <c r="AB921" s="13" t="n"/>
    </row>
    <row r="922">
      <c r="A922" s="12" t="n"/>
      <c r="W922" s="13" t="n"/>
      <c r="AB922" s="13" t="n"/>
    </row>
    <row r="923">
      <c r="A923" s="12" t="n"/>
      <c r="W923" s="13" t="n"/>
      <c r="AB923" s="13" t="n"/>
    </row>
    <row r="924">
      <c r="A924" s="12" t="n"/>
      <c r="W924" s="13" t="n"/>
      <c r="AB924" s="13" t="n"/>
    </row>
    <row r="925">
      <c r="A925" s="12" t="n"/>
      <c r="W925" s="13" t="n"/>
      <c r="AB925" s="13" t="n"/>
    </row>
    <row r="926">
      <c r="A926" s="12" t="n"/>
      <c r="W926" s="13" t="n"/>
      <c r="AB926" s="13" t="n"/>
    </row>
    <row r="927">
      <c r="A927" s="12" t="n"/>
      <c r="W927" s="13" t="n"/>
      <c r="AB927" s="13" t="n"/>
    </row>
    <row r="928">
      <c r="A928" s="12" t="n"/>
      <c r="W928" s="13" t="n"/>
      <c r="AB928" s="13" t="n"/>
    </row>
    <row r="929">
      <c r="A929" s="12" t="n"/>
      <c r="W929" s="13" t="n"/>
      <c r="AB929" s="13" t="n"/>
    </row>
    <row r="930">
      <c r="A930" s="12" t="n"/>
      <c r="W930" s="13" t="n"/>
      <c r="AB930" s="13" t="n"/>
    </row>
    <row r="931">
      <c r="A931" s="12" t="n"/>
      <c r="W931" s="13" t="n"/>
      <c r="AB931" s="13" t="n"/>
    </row>
    <row r="932">
      <c r="A932" s="12" t="n"/>
      <c r="W932" s="13" t="n"/>
      <c r="AB932" s="13" t="n"/>
    </row>
    <row r="933">
      <c r="A933" s="12" t="n"/>
      <c r="W933" s="13" t="n"/>
      <c r="AB933" s="13" t="n"/>
    </row>
    <row r="934">
      <c r="A934" s="12" t="n"/>
      <c r="W934" s="13" t="n"/>
      <c r="AB934" s="13" t="n"/>
    </row>
    <row r="935">
      <c r="A935" s="12" t="n"/>
      <c r="W935" s="13" t="n"/>
      <c r="AB935" s="13" t="n"/>
    </row>
    <row r="936">
      <c r="A936" s="12" t="n"/>
      <c r="W936" s="13" t="n"/>
      <c r="AB936" s="13" t="n"/>
    </row>
    <row r="937">
      <c r="A937" s="12" t="n"/>
      <c r="W937" s="13" t="n"/>
      <c r="AB937" s="13" t="n"/>
    </row>
    <row r="938">
      <c r="A938" s="12" t="n"/>
      <c r="W938" s="13" t="n"/>
      <c r="AB938" s="13" t="n"/>
    </row>
    <row r="939">
      <c r="A939" s="12" t="n"/>
      <c r="W939" s="13" t="n"/>
      <c r="AB939" s="13" t="n"/>
    </row>
    <row r="940">
      <c r="A940" s="12" t="n"/>
      <c r="W940" s="13" t="n"/>
      <c r="AB940" s="13" t="n"/>
    </row>
    <row r="941">
      <c r="A941" s="12" t="n"/>
      <c r="W941" s="13" t="n"/>
      <c r="AB941" s="13" t="n"/>
    </row>
    <row r="942">
      <c r="A942" s="12" t="n"/>
      <c r="W942" s="13" t="n"/>
      <c r="AB942" s="13" t="n"/>
    </row>
    <row r="943">
      <c r="A943" s="12" t="n"/>
      <c r="W943" s="13" t="n"/>
      <c r="AB943" s="13" t="n"/>
    </row>
    <row r="944">
      <c r="A944" s="12" t="n"/>
      <c r="W944" s="13" t="n"/>
      <c r="AB944" s="13" t="n"/>
    </row>
    <row r="945">
      <c r="A945" s="12" t="n"/>
      <c r="W945" s="13" t="n"/>
      <c r="AB945" s="13" t="n"/>
    </row>
    <row r="946">
      <c r="A946" s="12" t="n"/>
      <c r="W946" s="13" t="n"/>
      <c r="AB946" s="13" t="n"/>
    </row>
    <row r="947">
      <c r="A947" s="12" t="n"/>
      <c r="W947" s="13" t="n"/>
      <c r="AB947" s="13" t="n"/>
    </row>
    <row r="948">
      <c r="A948" s="12" t="n"/>
      <c r="W948" s="13" t="n"/>
      <c r="AB948" s="13" t="n"/>
    </row>
    <row r="949">
      <c r="A949" s="12" t="n"/>
      <c r="W949" s="13" t="n"/>
      <c r="AB949" s="13" t="n"/>
    </row>
    <row r="950">
      <c r="A950" s="12" t="n"/>
      <c r="W950" s="13" t="n"/>
      <c r="AB950" s="13" t="n"/>
    </row>
    <row r="951">
      <c r="A951" s="12" t="n"/>
      <c r="W951" s="13" t="n"/>
      <c r="AB951" s="13" t="n"/>
    </row>
    <row r="952">
      <c r="A952" s="12" t="n"/>
      <c r="W952" s="13" t="n"/>
      <c r="AB952" s="13" t="n"/>
    </row>
    <row r="953">
      <c r="A953" s="12" t="n"/>
      <c r="W953" s="13" t="n"/>
      <c r="AB953" s="13" t="n"/>
    </row>
    <row r="954">
      <c r="A954" s="12" t="n"/>
      <c r="W954" s="13" t="n"/>
      <c r="AB954" s="13" t="n"/>
    </row>
    <row r="955">
      <c r="A955" s="12" t="n"/>
      <c r="W955" s="13" t="n"/>
      <c r="AB955" s="13" t="n"/>
    </row>
    <row r="956">
      <c r="A956" s="12" t="n"/>
      <c r="W956" s="13" t="n"/>
      <c r="AB956" s="13" t="n"/>
    </row>
    <row r="957">
      <c r="A957" s="12" t="n"/>
      <c r="W957" s="13" t="n"/>
      <c r="AB957" s="13" t="n"/>
    </row>
    <row r="958">
      <c r="A958" s="12" t="n"/>
      <c r="W958" s="13" t="n"/>
      <c r="AB958" s="13" t="n"/>
    </row>
    <row r="959">
      <c r="A959" s="12" t="n"/>
      <c r="W959" s="13" t="n"/>
      <c r="AB959" s="13" t="n"/>
    </row>
    <row r="960">
      <c r="A960" s="12" t="n"/>
      <c r="W960" s="13" t="n"/>
      <c r="AB960" s="13" t="n"/>
    </row>
    <row r="961">
      <c r="A961" s="12" t="n"/>
      <c r="W961" s="13" t="n"/>
      <c r="AB961" s="13" t="n"/>
    </row>
    <row r="962">
      <c r="A962" s="12" t="n"/>
      <c r="W962" s="13" t="n"/>
      <c r="AB962" s="13" t="n"/>
    </row>
    <row r="963">
      <c r="A963" s="12" t="n"/>
      <c r="W963" s="13" t="n"/>
      <c r="AB963" s="13" t="n"/>
    </row>
    <row r="964">
      <c r="A964" s="12" t="n"/>
      <c r="W964" s="13" t="n"/>
      <c r="AB964" s="13" t="n"/>
    </row>
    <row r="965">
      <c r="A965" s="12" t="n"/>
      <c r="W965" s="13" t="n"/>
      <c r="AB965" s="13" t="n"/>
    </row>
    <row r="966">
      <c r="A966" s="12" t="n"/>
      <c r="W966" s="13" t="n"/>
      <c r="AB966" s="13" t="n"/>
    </row>
    <row r="967">
      <c r="A967" s="12" t="n"/>
      <c r="W967" s="13" t="n"/>
      <c r="AB967" s="13" t="n"/>
    </row>
    <row r="968">
      <c r="A968" s="12" t="n"/>
      <c r="W968" s="13" t="n"/>
      <c r="AB968" s="13" t="n"/>
    </row>
    <row r="969">
      <c r="A969" s="12" t="n"/>
      <c r="W969" s="13" t="n"/>
      <c r="AB969" s="13" t="n"/>
    </row>
    <row r="970">
      <c r="A970" s="12" t="n"/>
      <c r="W970" s="13" t="n"/>
      <c r="AB970" s="13" t="n"/>
    </row>
    <row r="971">
      <c r="A971" s="12" t="n"/>
      <c r="W971" s="13" t="n"/>
      <c r="AB971" s="13" t="n"/>
    </row>
    <row r="972">
      <c r="A972" s="12" t="n"/>
      <c r="W972" s="13" t="n"/>
      <c r="AB972" s="13" t="n"/>
    </row>
    <row r="973">
      <c r="A973" s="12" t="n"/>
      <c r="W973" s="13" t="n"/>
      <c r="AB973" s="13" t="n"/>
    </row>
    <row r="974">
      <c r="A974" s="12" t="n"/>
      <c r="W974" s="13" t="n"/>
      <c r="AB974" s="13" t="n"/>
    </row>
    <row r="975">
      <c r="A975" s="12" t="n"/>
      <c r="W975" s="13" t="n"/>
      <c r="AB975" s="13" t="n"/>
    </row>
    <row r="976">
      <c r="A976" s="12" t="n"/>
      <c r="W976" s="13" t="n"/>
      <c r="AB976" s="13" t="n"/>
    </row>
    <row r="977">
      <c r="A977" s="12" t="n"/>
      <c r="W977" s="13" t="n"/>
      <c r="AB977" s="13" t="n"/>
    </row>
    <row r="978">
      <c r="A978" s="12" t="n"/>
      <c r="W978" s="13" t="n"/>
      <c r="AB978" s="13" t="n"/>
    </row>
    <row r="979">
      <c r="A979" s="12" t="n"/>
      <c r="W979" s="13" t="n"/>
      <c r="AB979" s="13" t="n"/>
    </row>
    <row r="980">
      <c r="A980" s="12" t="n"/>
      <c r="W980" s="13" t="n"/>
      <c r="AB980" s="13" t="n"/>
    </row>
    <row r="981">
      <c r="A981" s="12" t="n"/>
      <c r="W981" s="13" t="n"/>
      <c r="AB981" s="13" t="n"/>
    </row>
    <row r="982">
      <c r="A982" s="12" t="n"/>
      <c r="W982" s="13" t="n"/>
      <c r="AB982" s="13" t="n"/>
    </row>
    <row r="983">
      <c r="A983" s="12" t="n"/>
      <c r="W983" s="13" t="n"/>
      <c r="AB983" s="13" t="n"/>
    </row>
    <row r="984">
      <c r="A984" s="12" t="n"/>
      <c r="W984" s="13" t="n"/>
      <c r="AB984" s="13" t="n"/>
    </row>
    <row r="985">
      <c r="A985" s="12" t="n"/>
      <c r="W985" s="13" t="n"/>
      <c r="AB985" s="13" t="n"/>
    </row>
    <row r="986">
      <c r="A986" s="12" t="n"/>
      <c r="W986" s="13" t="n"/>
      <c r="AB986" s="13" t="n"/>
    </row>
    <row r="987">
      <c r="A987" s="12" t="n"/>
      <c r="W987" s="13" t="n"/>
      <c r="AB987" s="13" t="n"/>
    </row>
    <row r="988">
      <c r="A988" s="12" t="n"/>
      <c r="W988" s="13" t="n"/>
      <c r="AB988" s="13" t="n"/>
    </row>
    <row r="989">
      <c r="A989" s="12" t="n"/>
      <c r="W989" s="13" t="n"/>
      <c r="AB989" s="13" t="n"/>
    </row>
    <row r="990">
      <c r="A990" s="12" t="n"/>
      <c r="W990" s="13" t="n"/>
      <c r="AB990" s="13" t="n"/>
    </row>
    <row r="991">
      <c r="A991" s="12" t="n"/>
      <c r="W991" s="13" t="n"/>
      <c r="AB991" s="13" t="n"/>
    </row>
    <row r="992">
      <c r="A992" s="12" t="n"/>
      <c r="W992" s="13" t="n"/>
      <c r="AB992" s="13" t="n"/>
    </row>
    <row r="993">
      <c r="A993" s="12" t="n"/>
      <c r="W993" s="13" t="n"/>
      <c r="AB993" s="13" t="n"/>
    </row>
    <row r="994">
      <c r="A994" s="12" t="n"/>
      <c r="W994" s="13" t="n"/>
      <c r="AB994" s="13" t="n"/>
    </row>
    <row r="995">
      <c r="A995" s="12" t="n"/>
      <c r="W995" s="13" t="n"/>
      <c r="AB995" s="13" t="n"/>
    </row>
    <row r="996">
      <c r="A996" s="12" t="n"/>
      <c r="W996" s="13" t="n"/>
      <c r="AB996" s="13" t="n"/>
    </row>
    <row r="997">
      <c r="A997" s="12" t="n"/>
      <c r="W997" s="13" t="n"/>
      <c r="AB997" s="13" t="n"/>
    </row>
    <row r="998">
      <c r="A998" s="12" t="n"/>
      <c r="W998" s="13" t="n"/>
      <c r="AB998" s="13" t="n"/>
    </row>
    <row r="999">
      <c r="A999" s="12" t="n"/>
      <c r="W999" s="13" t="n"/>
      <c r="AB999" s="13" t="n"/>
    </row>
    <row r="1000">
      <c r="A1000" s="12" t="n"/>
      <c r="W1000" s="13" t="n"/>
      <c r="AB1000" s="13" t="n"/>
    </row>
    <row r="1001">
      <c r="A1001" s="12" t="n"/>
      <c r="W1001" s="13" t="n"/>
      <c r="AB1001" s="13" t="n"/>
    </row>
    <row r="1002">
      <c r="A1002" s="12" t="n"/>
      <c r="W1002" s="13" t="n"/>
      <c r="AB1002" s="13" t="n"/>
    </row>
    <row r="1003">
      <c r="A1003" s="12" t="n"/>
      <c r="W1003" s="13" t="n"/>
      <c r="AB1003" s="13" t="n"/>
    </row>
    <row r="1004">
      <c r="A1004" s="12" t="n"/>
      <c r="W1004" s="13" t="n"/>
      <c r="AB1004" s="13" t="n"/>
    </row>
    <row r="1005">
      <c r="A1005" s="12" t="n"/>
      <c r="W1005" s="13" t="n"/>
      <c r="AB1005" s="13" t="n"/>
    </row>
    <row r="1006">
      <c r="A1006" s="12" t="n"/>
      <c r="W1006" s="13" t="n"/>
      <c r="AB1006" s="13" t="n"/>
    </row>
    <row r="1007">
      <c r="A1007" s="12" t="n"/>
      <c r="W1007" s="13" t="n"/>
      <c r="AB1007" s="13" t="n"/>
    </row>
    <row r="1008">
      <c r="A1008" s="12" t="n"/>
      <c r="W1008" s="13" t="n"/>
      <c r="AB1008" s="13" t="n"/>
    </row>
    <row r="1009">
      <c r="A1009" s="12" t="n"/>
      <c r="W1009" s="13" t="n"/>
      <c r="AB1009" s="13" t="n"/>
    </row>
    <row r="1010">
      <c r="A1010" s="12" t="n"/>
      <c r="W1010" s="13" t="n"/>
      <c r="AB1010" s="13" t="n"/>
    </row>
    <row r="1011">
      <c r="A1011" s="12" t="n"/>
      <c r="W1011" s="13" t="n"/>
      <c r="AB1011" s="13" t="n"/>
    </row>
    <row r="1012">
      <c r="A1012" s="12" t="n"/>
      <c r="W1012" s="13" t="n"/>
      <c r="AB1012" s="13" t="n"/>
    </row>
    <row r="1013">
      <c r="A1013" s="12" t="n"/>
      <c r="W1013" s="13" t="n"/>
      <c r="AB1013" s="13" t="n"/>
    </row>
    <row r="1014">
      <c r="A1014" s="12" t="n"/>
      <c r="W1014" s="13" t="n"/>
      <c r="AB1014" s="13" t="n"/>
    </row>
    <row r="1015">
      <c r="A1015" s="12" t="n"/>
      <c r="W1015" s="13" t="n"/>
      <c r="AB1015" s="13" t="n"/>
    </row>
    <row r="1016">
      <c r="A1016" s="12" t="n"/>
      <c r="W1016" s="13" t="n"/>
      <c r="AB1016" s="13" t="n"/>
    </row>
    <row r="1017">
      <c r="A1017" s="12" t="n"/>
      <c r="W1017" s="13" t="n"/>
      <c r="AB1017" s="13" t="n"/>
    </row>
    <row r="1018">
      <c r="A1018" s="12" t="n"/>
      <c r="W1018" s="13" t="n"/>
      <c r="AB1018" s="13" t="n"/>
    </row>
    <row r="1019">
      <c r="A1019" s="12" t="n"/>
      <c r="W1019" s="13" t="n"/>
      <c r="AB1019" s="13" t="n"/>
    </row>
    <row r="1020">
      <c r="A1020" s="12" t="n"/>
      <c r="W1020" s="13" t="n"/>
      <c r="AB1020" s="13" t="n"/>
    </row>
    <row r="1021">
      <c r="A1021" s="12" t="n"/>
      <c r="W1021" s="13" t="n"/>
      <c r="AB1021" s="13" t="n"/>
    </row>
    <row r="1022">
      <c r="A1022" s="12" t="n"/>
      <c r="W1022" s="13" t="n"/>
      <c r="AB1022" s="13" t="n"/>
    </row>
    <row r="1023">
      <c r="A1023" s="12" t="n"/>
      <c r="W1023" s="13" t="n"/>
      <c r="AB1023" s="13" t="n"/>
    </row>
    <row r="1024">
      <c r="A1024" s="12" t="n"/>
      <c r="W1024" s="13" t="n"/>
      <c r="AB1024" s="13" t="n"/>
    </row>
    <row r="1025">
      <c r="A1025" s="12" t="n"/>
      <c r="W1025" s="13" t="n"/>
      <c r="AB1025" s="13" t="n"/>
    </row>
    <row r="1026">
      <c r="A1026" s="12" t="n"/>
      <c r="W1026" s="13" t="n"/>
      <c r="AB1026" s="13" t="n"/>
    </row>
    <row r="1027">
      <c r="A1027" s="12" t="n"/>
      <c r="W1027" s="13" t="n"/>
      <c r="AB1027" s="13" t="n"/>
    </row>
    <row r="1028">
      <c r="A1028" s="12" t="n"/>
      <c r="W1028" s="13" t="n"/>
      <c r="AB1028" s="13" t="n"/>
    </row>
    <row r="1029">
      <c r="A1029" s="12" t="n"/>
      <c r="W1029" s="13" t="n"/>
      <c r="AB1029" s="13" t="n"/>
    </row>
    <row r="1030">
      <c r="A1030" s="12" t="n"/>
      <c r="W1030" s="13" t="n"/>
      <c r="AB1030" s="13" t="n"/>
    </row>
    <row r="1031">
      <c r="A1031" s="12" t="n"/>
      <c r="W1031" s="13" t="n"/>
      <c r="AB1031" s="13" t="n"/>
    </row>
    <row r="1032">
      <c r="A1032" s="12" t="n"/>
      <c r="W1032" s="13" t="n"/>
      <c r="AB1032" s="13" t="n"/>
    </row>
    <row r="1033">
      <c r="A1033" s="12" t="n"/>
      <c r="W1033" s="13" t="n"/>
      <c r="AB1033" s="13" t="n"/>
    </row>
    <row r="1034">
      <c r="A1034" s="12" t="n"/>
      <c r="W1034" s="13" t="n"/>
      <c r="AB1034" s="13" t="n"/>
    </row>
    <row r="1035">
      <c r="A1035" s="12" t="n"/>
      <c r="W1035" s="13" t="n"/>
      <c r="AB1035" s="13" t="n"/>
    </row>
    <row r="1036">
      <c r="A1036" s="12" t="n"/>
      <c r="W1036" s="13" t="n"/>
      <c r="AB1036" s="13" t="n"/>
    </row>
    <row r="1037">
      <c r="A1037" s="12" t="n"/>
      <c r="W1037" s="13" t="n"/>
      <c r="AB1037" s="13" t="n"/>
    </row>
    <row r="1038">
      <c r="A1038" s="12" t="n"/>
      <c r="W1038" s="13" t="n"/>
      <c r="AB1038" s="13" t="n"/>
    </row>
    <row r="1039">
      <c r="A1039" s="12" t="n"/>
      <c r="W1039" s="13" t="n"/>
      <c r="AB1039" s="13" t="n"/>
    </row>
    <row r="1040">
      <c r="A1040" s="12" t="n"/>
      <c r="W1040" s="13" t="n"/>
      <c r="AB1040" s="13" t="n"/>
    </row>
    <row r="1041">
      <c r="A1041" s="12" t="n"/>
      <c r="W1041" s="13" t="n"/>
      <c r="AB1041" s="13" t="n"/>
    </row>
    <row r="1042">
      <c r="A1042" s="12" t="n"/>
      <c r="W1042" s="13" t="n"/>
      <c r="AB1042" s="13" t="n"/>
    </row>
    <row r="1043">
      <c r="A1043" s="12" t="n"/>
      <c r="W1043" s="13" t="n"/>
      <c r="AB1043" s="13" t="n"/>
    </row>
    <row r="1044">
      <c r="A1044" s="12" t="n"/>
      <c r="W1044" s="13" t="n"/>
      <c r="AB1044" s="13" t="n"/>
    </row>
    <row r="1045">
      <c r="A1045" s="12" t="n"/>
      <c r="W1045" s="13" t="n"/>
      <c r="AB1045" s="13" t="n"/>
    </row>
    <row r="1046">
      <c r="A1046" s="12" t="n"/>
      <c r="W1046" s="13" t="n"/>
      <c r="AB1046" s="13" t="n"/>
    </row>
    <row r="1047">
      <c r="A1047" s="12" t="n"/>
      <c r="W1047" s="13" t="n"/>
      <c r="AB1047" s="13" t="n"/>
    </row>
    <row r="1048">
      <c r="A1048" s="12" t="n"/>
      <c r="W1048" s="13" t="n"/>
      <c r="AB1048" s="13" t="n"/>
    </row>
    <row r="1049">
      <c r="A1049" s="12" t="n"/>
      <c r="W1049" s="13" t="n"/>
      <c r="AB1049" s="13" t="n"/>
    </row>
    <row r="1050">
      <c r="A1050" s="12" t="n"/>
      <c r="W1050" s="13" t="n"/>
      <c r="AB1050" s="13" t="n"/>
    </row>
    <row r="1051">
      <c r="A1051" s="12" t="n"/>
      <c r="W1051" s="13" t="n"/>
      <c r="AB1051" s="13" t="n"/>
    </row>
    <row r="1052">
      <c r="A1052" s="12" t="n"/>
      <c r="W1052" s="13" t="n"/>
      <c r="AB1052" s="13" t="n"/>
    </row>
    <row r="1053">
      <c r="A1053" s="12" t="n"/>
      <c r="W1053" s="13" t="n"/>
      <c r="AB1053" s="13" t="n"/>
    </row>
    <row r="1054">
      <c r="A1054" s="12" t="n"/>
      <c r="W1054" s="13" t="n"/>
      <c r="AB1054" s="13" t="n"/>
    </row>
    <row r="1055">
      <c r="A1055" s="12" t="n"/>
      <c r="W1055" s="13" t="n"/>
      <c r="AB1055" s="13" t="n"/>
    </row>
    <row r="1056">
      <c r="A1056" s="12" t="n"/>
      <c r="W1056" s="13" t="n"/>
      <c r="AB1056" s="13" t="n"/>
    </row>
    <row r="1057">
      <c r="A1057" s="12" t="n"/>
      <c r="W1057" s="13" t="n"/>
      <c r="AB1057" s="13" t="n"/>
    </row>
    <row r="1058">
      <c r="A1058" s="12" t="n"/>
      <c r="W1058" s="13" t="n"/>
      <c r="AB1058" s="13" t="n"/>
    </row>
    <row r="1059">
      <c r="A1059" s="12" t="n"/>
      <c r="W1059" s="13" t="n"/>
      <c r="AB1059" s="13" t="n"/>
    </row>
    <row r="1060">
      <c r="A1060" s="12" t="n"/>
      <c r="W1060" s="13" t="n"/>
      <c r="AB1060" s="13" t="n"/>
    </row>
    <row r="1061">
      <c r="A1061" s="12" t="n"/>
      <c r="W1061" s="13" t="n"/>
      <c r="AB1061" s="13" t="n"/>
    </row>
    <row r="1062">
      <c r="A1062" s="12" t="n"/>
      <c r="W1062" s="13" t="n"/>
      <c r="AB1062" s="13" t="n"/>
    </row>
    <row r="1063">
      <c r="A1063" s="12" t="n"/>
      <c r="W1063" s="13" t="n"/>
      <c r="AB1063" s="13" t="n"/>
    </row>
    <row r="1064">
      <c r="A1064" s="12" t="n"/>
      <c r="W1064" s="13" t="n"/>
      <c r="AB1064" s="13" t="n"/>
    </row>
    <row r="1065">
      <c r="A1065" s="12" t="n"/>
      <c r="W1065" s="13" t="n"/>
      <c r="AB1065" s="13" t="n"/>
    </row>
    <row r="1066">
      <c r="A1066" s="12" t="n"/>
      <c r="W1066" s="13" t="n"/>
      <c r="AB1066" s="13" t="n"/>
    </row>
    <row r="1067">
      <c r="A1067" s="12" t="n"/>
      <c r="W1067" s="13" t="n"/>
      <c r="AB1067" s="13" t="n"/>
    </row>
    <row r="1068">
      <c r="A1068" s="12" t="n"/>
      <c r="W1068" s="13" t="n"/>
      <c r="AB1068" s="13" t="n"/>
    </row>
    <row r="1069">
      <c r="A1069" s="12" t="n"/>
      <c r="W1069" s="13" t="n"/>
      <c r="AB1069" s="13" t="n"/>
    </row>
    <row r="1070">
      <c r="A1070" s="12" t="n"/>
      <c r="W1070" s="13" t="n"/>
      <c r="AB1070" s="13" t="n"/>
    </row>
    <row r="1071">
      <c r="A1071" s="12" t="n"/>
      <c r="W1071" s="13" t="n"/>
      <c r="AB1071" s="13" t="n"/>
    </row>
    <row r="1072">
      <c r="A1072" s="12" t="n"/>
      <c r="W1072" s="13" t="n"/>
      <c r="AB1072" s="13" t="n"/>
    </row>
    <row r="1073">
      <c r="A1073" s="12" t="n"/>
      <c r="W1073" s="13" t="n"/>
      <c r="AB1073" s="13" t="n"/>
    </row>
    <row r="1074">
      <c r="A1074" s="12" t="n"/>
      <c r="W1074" s="13" t="n"/>
      <c r="AB1074" s="13" t="n"/>
    </row>
    <row r="1075">
      <c r="A1075" s="12" t="n"/>
      <c r="W1075" s="13" t="n"/>
      <c r="AB1075" s="13" t="n"/>
    </row>
    <row r="1076">
      <c r="A1076" s="12" t="n"/>
      <c r="W1076" s="13" t="n"/>
      <c r="AB1076" s="13" t="n"/>
    </row>
    <row r="1077">
      <c r="A1077" s="12" t="n"/>
      <c r="W1077" s="13" t="n"/>
      <c r="AB1077" s="13" t="n"/>
    </row>
    <row r="1078">
      <c r="A1078" s="12" t="n"/>
      <c r="W1078" s="13" t="n"/>
      <c r="AB1078" s="13" t="n"/>
    </row>
    <row r="1079">
      <c r="A1079" s="12" t="n"/>
      <c r="W1079" s="13" t="n"/>
      <c r="AB1079" s="13" t="n"/>
    </row>
    <row r="1080">
      <c r="A1080" s="12" t="n"/>
      <c r="W1080" s="13" t="n"/>
      <c r="AB1080" s="13" t="n"/>
    </row>
    <row r="1081">
      <c r="A1081" s="12" t="n"/>
      <c r="W1081" s="13" t="n"/>
      <c r="AB1081" s="13" t="n"/>
    </row>
    <row r="1082">
      <c r="A1082" s="12" t="n"/>
      <c r="W1082" s="13" t="n"/>
      <c r="AB1082" s="13" t="n"/>
    </row>
    <row r="1083">
      <c r="A1083" s="12" t="n"/>
      <c r="W1083" s="13" t="n"/>
      <c r="AB1083" s="13" t="n"/>
    </row>
    <row r="1084">
      <c r="A1084" s="12" t="n"/>
      <c r="W1084" s="13" t="n"/>
      <c r="AB1084" s="13" t="n"/>
    </row>
    <row r="1085">
      <c r="A1085" s="12" t="n"/>
      <c r="W1085" s="13" t="n"/>
      <c r="AB1085" s="13" t="n"/>
    </row>
    <row r="1086">
      <c r="A1086" s="12" t="n"/>
      <c r="W1086" s="13" t="n"/>
      <c r="AB1086" s="13" t="n"/>
    </row>
    <row r="1087">
      <c r="A1087" s="12" t="n"/>
      <c r="W1087" s="13" t="n"/>
      <c r="AB1087" s="13" t="n"/>
    </row>
    <row r="1088">
      <c r="A1088" s="12" t="n"/>
      <c r="W1088" s="13" t="n"/>
      <c r="AB1088" s="13" t="n"/>
    </row>
    <row r="1089">
      <c r="A1089" s="12" t="n"/>
      <c r="W1089" s="13" t="n"/>
      <c r="AB1089" s="13" t="n"/>
    </row>
    <row r="1090">
      <c r="A1090" s="12" t="n"/>
      <c r="W1090" s="13" t="n"/>
      <c r="AB1090" s="13" t="n"/>
    </row>
    <row r="1091">
      <c r="A1091" s="12" t="n"/>
      <c r="W1091" s="13" t="n"/>
      <c r="AB1091" s="13" t="n"/>
    </row>
    <row r="1092">
      <c r="A1092" s="12" t="n"/>
      <c r="W1092" s="13" t="n"/>
      <c r="AB1092" s="13" t="n"/>
    </row>
    <row r="1093">
      <c r="A1093" s="12" t="n"/>
      <c r="W1093" s="13" t="n"/>
      <c r="AB1093" s="13" t="n"/>
    </row>
    <row r="1094">
      <c r="A1094" s="12" t="n"/>
      <c r="W1094" s="13" t="n"/>
      <c r="AB1094" s="13" t="n"/>
    </row>
    <row r="1095">
      <c r="A1095" s="12" t="n"/>
      <c r="W1095" s="13" t="n"/>
      <c r="AB1095" s="13" t="n"/>
    </row>
    <row r="1096">
      <c r="A1096" s="12" t="n"/>
      <c r="W1096" s="13" t="n"/>
      <c r="AB1096" s="13" t="n"/>
    </row>
    <row r="1097">
      <c r="A1097" s="12" t="n"/>
      <c r="W1097" s="13" t="n"/>
      <c r="AB1097" s="13" t="n"/>
    </row>
    <row r="1098">
      <c r="A1098" s="12" t="n"/>
      <c r="W1098" s="13" t="n"/>
      <c r="AB1098" s="13" t="n"/>
    </row>
    <row r="1099">
      <c r="A1099" s="12" t="n"/>
      <c r="W1099" s="13" t="n"/>
      <c r="AB1099" s="13" t="n"/>
    </row>
    <row r="1100">
      <c r="A1100" s="12" t="n"/>
      <c r="W1100" s="13" t="n"/>
      <c r="AB1100" s="13" t="n"/>
    </row>
    <row r="1101">
      <c r="A1101" s="12" t="n"/>
      <c r="W1101" s="13" t="n"/>
      <c r="AB1101" s="13" t="n"/>
    </row>
    <row r="1102">
      <c r="A1102" s="12" t="n"/>
      <c r="W1102" s="13" t="n"/>
      <c r="AB1102" s="13" t="n"/>
    </row>
    <row r="1103">
      <c r="A1103" s="12" t="n"/>
      <c r="W1103" s="13" t="n"/>
      <c r="AB1103" s="13" t="n"/>
    </row>
    <row r="1104">
      <c r="A1104" s="12" t="n"/>
      <c r="W1104" s="13" t="n"/>
      <c r="AB1104" s="13" t="n"/>
    </row>
    <row r="1105">
      <c r="A1105" s="12" t="n"/>
      <c r="W1105" s="13" t="n"/>
      <c r="AB1105" s="13" t="n"/>
    </row>
    <row r="1106">
      <c r="A1106" s="12" t="n"/>
      <c r="W1106" s="13" t="n"/>
      <c r="AB1106" s="13" t="n"/>
    </row>
    <row r="1107">
      <c r="A1107" s="12" t="n"/>
      <c r="W1107" s="13" t="n"/>
      <c r="AB1107" s="13" t="n"/>
    </row>
    <row r="1108">
      <c r="A1108" s="12" t="n"/>
      <c r="W1108" s="13" t="n"/>
      <c r="AB1108" s="13" t="n"/>
    </row>
    <row r="1109">
      <c r="A1109" s="12" t="n"/>
      <c r="W1109" s="13" t="n"/>
      <c r="AB1109" s="13" t="n"/>
    </row>
    <row r="1110">
      <c r="A1110" s="12" t="n"/>
      <c r="W1110" s="13" t="n"/>
      <c r="AB1110" s="13" t="n"/>
    </row>
    <row r="1111">
      <c r="A1111" s="12" t="n"/>
      <c r="W1111" s="13" t="n"/>
      <c r="AB1111" s="13" t="n"/>
    </row>
    <row r="1112">
      <c r="A1112" s="12" t="n"/>
      <c r="W1112" s="13" t="n"/>
      <c r="AB1112" s="13" t="n"/>
    </row>
    <row r="1113">
      <c r="A1113" s="12" t="n"/>
      <c r="W1113" s="13" t="n"/>
      <c r="AB1113" s="13" t="n"/>
    </row>
    <row r="1114">
      <c r="A1114" s="12" t="n"/>
      <c r="W1114" s="13" t="n"/>
      <c r="AB1114" s="13" t="n"/>
    </row>
    <row r="1115">
      <c r="A1115" s="12" t="n"/>
      <c r="W1115" s="13" t="n"/>
      <c r="AB1115" s="13" t="n"/>
    </row>
    <row r="1116">
      <c r="A1116" s="12" t="n"/>
      <c r="W1116" s="13" t="n"/>
      <c r="AB1116" s="13" t="n"/>
    </row>
    <row r="1117">
      <c r="A1117" s="12" t="n"/>
      <c r="W1117" s="13" t="n"/>
      <c r="AB1117" s="13" t="n"/>
    </row>
    <row r="1118">
      <c r="A1118" s="12" t="n"/>
      <c r="W1118" s="13" t="n"/>
      <c r="AB1118" s="13" t="n"/>
    </row>
    <row r="1119">
      <c r="A1119" s="12" t="n"/>
      <c r="W1119" s="13" t="n"/>
      <c r="AB1119" s="13" t="n"/>
    </row>
    <row r="1120">
      <c r="A1120" s="12" t="n"/>
      <c r="W1120" s="13" t="n"/>
      <c r="AB1120" s="13" t="n"/>
    </row>
    <row r="1121">
      <c r="A1121" s="12" t="n"/>
      <c r="W1121" s="13" t="n"/>
      <c r="AB1121" s="13" t="n"/>
    </row>
    <row r="1122">
      <c r="A1122" s="12" t="n"/>
      <c r="W1122" s="13" t="n"/>
      <c r="AB1122" s="13" t="n"/>
    </row>
    <row r="1123">
      <c r="A1123" s="12" t="n"/>
      <c r="W1123" s="13" t="n"/>
      <c r="AB1123" s="13" t="n"/>
    </row>
    <row r="1124">
      <c r="A1124" s="12" t="n"/>
      <c r="W1124" s="13" t="n"/>
      <c r="AB1124" s="13" t="n"/>
    </row>
    <row r="1125">
      <c r="A1125" s="12" t="n"/>
      <c r="W1125" s="13" t="n"/>
      <c r="AB1125" s="13" t="n"/>
    </row>
    <row r="1126">
      <c r="A1126" s="12" t="n"/>
      <c r="W1126" s="13" t="n"/>
      <c r="AB1126" s="13" t="n"/>
    </row>
    <row r="1127">
      <c r="A1127" s="12" t="n"/>
      <c r="W1127" s="13" t="n"/>
      <c r="AB1127" s="13" t="n"/>
    </row>
    <row r="1128">
      <c r="A1128" s="12" t="n"/>
      <c r="W1128" s="13" t="n"/>
      <c r="AB1128" s="13" t="n"/>
    </row>
    <row r="1129">
      <c r="A1129" s="12" t="n"/>
      <c r="W1129" s="13" t="n"/>
      <c r="AB1129" s="13" t="n"/>
    </row>
    <row r="1130">
      <c r="A1130" s="12" t="n"/>
      <c r="W1130" s="13" t="n"/>
      <c r="AB1130" s="13" t="n"/>
    </row>
    <row r="1131">
      <c r="A1131" s="12" t="n"/>
      <c r="W1131" s="13" t="n"/>
      <c r="AB1131" s="13" t="n"/>
    </row>
    <row r="1132">
      <c r="A1132" s="12" t="n"/>
      <c r="W1132" s="13" t="n"/>
      <c r="AB1132" s="13" t="n"/>
    </row>
    <row r="1133">
      <c r="A1133" s="12" t="n"/>
      <c r="W1133" s="13" t="n"/>
      <c r="AB1133" s="13" t="n"/>
    </row>
    <row r="1134">
      <c r="A1134" s="12" t="n"/>
      <c r="W1134" s="13" t="n"/>
      <c r="AB1134" s="13" t="n"/>
    </row>
    <row r="1135">
      <c r="A1135" s="12" t="n"/>
      <c r="W1135" s="13" t="n"/>
      <c r="AB1135" s="13" t="n"/>
    </row>
    <row r="1136">
      <c r="A1136" s="12" t="n"/>
      <c r="W1136" s="13" t="n"/>
      <c r="AB1136" s="13" t="n"/>
    </row>
    <row r="1137">
      <c r="A1137" s="12" t="n"/>
      <c r="W1137" s="13" t="n"/>
      <c r="AB1137" s="13" t="n"/>
    </row>
    <row r="1138">
      <c r="A1138" s="12" t="n"/>
      <c r="W1138" s="13" t="n"/>
      <c r="AB1138" s="13" t="n"/>
    </row>
    <row r="1139">
      <c r="A1139" s="12" t="n"/>
      <c r="W1139" s="13" t="n"/>
      <c r="AB1139" s="13" t="n"/>
    </row>
    <row r="1140">
      <c r="A1140" s="12" t="n"/>
      <c r="W1140" s="13" t="n"/>
      <c r="AB1140" s="13" t="n"/>
    </row>
    <row r="1141">
      <c r="A1141" s="12" t="n"/>
      <c r="W1141" s="13" t="n"/>
      <c r="AB1141" s="13" t="n"/>
    </row>
    <row r="1142">
      <c r="A1142" s="12" t="n"/>
      <c r="W1142" s="13" t="n"/>
      <c r="AB1142" s="13" t="n"/>
    </row>
    <row r="1143">
      <c r="A1143" s="12" t="n"/>
      <c r="W1143" s="13" t="n"/>
      <c r="AB1143" s="13" t="n"/>
    </row>
    <row r="1144">
      <c r="A1144" s="12" t="n"/>
      <c r="W1144" s="13" t="n"/>
      <c r="AB1144" s="13" t="n"/>
    </row>
    <row r="1145">
      <c r="A1145" s="12" t="n"/>
      <c r="W1145" s="13" t="n"/>
      <c r="AB1145" s="13" t="n"/>
    </row>
    <row r="1146">
      <c r="A1146" s="12" t="n"/>
      <c r="W1146" s="13" t="n"/>
      <c r="AB1146" s="13" t="n"/>
    </row>
    <row r="1147">
      <c r="A1147" s="12" t="n"/>
      <c r="W1147" s="13" t="n"/>
      <c r="AB1147" s="13" t="n"/>
    </row>
    <row r="1148">
      <c r="A1148" s="12" t="n"/>
      <c r="W1148" s="13" t="n"/>
      <c r="AB1148" s="13" t="n"/>
    </row>
    <row r="1149">
      <c r="A1149" s="12" t="n"/>
      <c r="W1149" s="13" t="n"/>
      <c r="AB1149" s="13" t="n"/>
    </row>
    <row r="1150">
      <c r="A1150" s="12" t="n"/>
      <c r="W1150" s="13" t="n"/>
      <c r="AB1150" s="13" t="n"/>
    </row>
    <row r="1151">
      <c r="A1151" s="12" t="n"/>
      <c r="W1151" s="13" t="n"/>
      <c r="AB1151" s="13" t="n"/>
    </row>
    <row r="1152">
      <c r="A1152" s="12" t="n"/>
      <c r="W1152" s="13" t="n"/>
      <c r="AB1152" s="13" t="n"/>
    </row>
    <row r="1153">
      <c r="A1153" s="12" t="n"/>
      <c r="W1153" s="13" t="n"/>
      <c r="AB1153" s="13" t="n"/>
    </row>
    <row r="1154">
      <c r="A1154" s="12" t="n"/>
      <c r="W1154" s="13" t="n"/>
      <c r="AB1154" s="13" t="n"/>
    </row>
    <row r="1155">
      <c r="A1155" s="12" t="n"/>
      <c r="W1155" s="13" t="n"/>
      <c r="AB1155" s="13" t="n"/>
    </row>
    <row r="1156">
      <c r="A1156" s="12" t="n"/>
      <c r="W1156" s="13" t="n"/>
      <c r="AB1156" s="13" t="n"/>
    </row>
    <row r="1157">
      <c r="A1157" s="12" t="n"/>
      <c r="W1157" s="13" t="n"/>
      <c r="AB1157" s="13" t="n"/>
    </row>
    <row r="1158">
      <c r="A1158" s="12" t="n"/>
      <c r="W1158" s="13" t="n"/>
      <c r="AB1158" s="13" t="n"/>
    </row>
    <row r="1159">
      <c r="A1159" s="12" t="n"/>
      <c r="W1159" s="13" t="n"/>
      <c r="AB1159" s="13" t="n"/>
    </row>
    <row r="1160">
      <c r="A1160" s="12" t="n"/>
      <c r="W1160" s="13" t="n"/>
      <c r="AB1160" s="13" t="n"/>
    </row>
    <row r="1161">
      <c r="A1161" s="12" t="n"/>
      <c r="W1161" s="13" t="n"/>
      <c r="AB1161" s="13" t="n"/>
    </row>
    <row r="1162">
      <c r="A1162" s="12" t="n"/>
      <c r="W1162" s="13" t="n"/>
      <c r="AB1162" s="13" t="n"/>
    </row>
    <row r="1163">
      <c r="A1163" s="12" t="n"/>
      <c r="W1163" s="13" t="n"/>
      <c r="AB1163" s="13" t="n"/>
    </row>
    <row r="1164">
      <c r="A1164" s="12" t="n"/>
      <c r="W1164" s="13" t="n"/>
      <c r="AB1164" s="13" t="n"/>
    </row>
    <row r="1165">
      <c r="A1165" s="12" t="n"/>
      <c r="W1165" s="13" t="n"/>
      <c r="AB1165" s="13" t="n"/>
    </row>
    <row r="1166">
      <c r="A1166" s="12" t="n"/>
      <c r="W1166" s="13" t="n"/>
      <c r="AB1166" s="13" t="n"/>
    </row>
    <row r="1167">
      <c r="A1167" s="12" t="n"/>
      <c r="W1167" s="13" t="n"/>
      <c r="AB1167" s="13" t="n"/>
    </row>
    <row r="1168">
      <c r="A1168" s="12" t="n"/>
      <c r="W1168" s="13" t="n"/>
      <c r="AB1168" s="13" t="n"/>
    </row>
    <row r="1169">
      <c r="A1169" s="12" t="n"/>
      <c r="W1169" s="13" t="n"/>
      <c r="AB1169" s="13" t="n"/>
    </row>
    <row r="1170">
      <c r="A1170" s="12" t="n"/>
      <c r="W1170" s="13" t="n"/>
      <c r="AB1170" s="13" t="n"/>
    </row>
    <row r="1171">
      <c r="A1171" s="12" t="n"/>
      <c r="W1171" s="13" t="n"/>
      <c r="AB1171" s="13" t="n"/>
    </row>
    <row r="1172">
      <c r="A1172" s="12" t="n"/>
      <c r="W1172" s="13" t="n"/>
      <c r="AB1172" s="13" t="n"/>
    </row>
    <row r="1173">
      <c r="A1173" s="12" t="n"/>
      <c r="W1173" s="13" t="n"/>
      <c r="AB1173" s="13" t="n"/>
    </row>
    <row r="1174">
      <c r="A1174" s="12" t="n"/>
      <c r="W1174" s="13" t="n"/>
      <c r="AB1174" s="13" t="n"/>
    </row>
    <row r="1175">
      <c r="A1175" s="12" t="n"/>
      <c r="W1175" s="13" t="n"/>
      <c r="AB1175" s="13" t="n"/>
    </row>
    <row r="1176">
      <c r="A1176" s="12" t="n"/>
      <c r="W1176" s="13" t="n"/>
      <c r="AB1176" s="13" t="n"/>
    </row>
    <row r="1177">
      <c r="A1177" s="12" t="n"/>
      <c r="W1177" s="13" t="n"/>
      <c r="AB1177" s="13" t="n"/>
    </row>
    <row r="1178">
      <c r="A1178" s="12" t="n"/>
      <c r="W1178" s="13" t="n"/>
      <c r="AB1178" s="13" t="n"/>
    </row>
    <row r="1179">
      <c r="A1179" s="12" t="n"/>
      <c r="W1179" s="13" t="n"/>
      <c r="AB1179" s="13" t="n"/>
    </row>
    <row r="1180">
      <c r="A1180" s="12" t="n"/>
      <c r="W1180" s="13" t="n"/>
      <c r="AB1180" s="13" t="n"/>
    </row>
    <row r="1181">
      <c r="A1181" s="12" t="n"/>
      <c r="W1181" s="13" t="n"/>
      <c r="AB1181" s="13" t="n"/>
    </row>
    <row r="1182">
      <c r="A1182" s="12" t="n"/>
      <c r="W1182" s="13" t="n"/>
      <c r="AB1182" s="13" t="n"/>
    </row>
    <row r="1183">
      <c r="A1183" s="12" t="n"/>
      <c r="W1183" s="13" t="n"/>
      <c r="AB1183" s="13" t="n"/>
    </row>
    <row r="1184">
      <c r="A1184" s="12" t="n"/>
      <c r="W1184" s="13" t="n"/>
      <c r="AB1184" s="13" t="n"/>
    </row>
    <row r="1185">
      <c r="A1185" s="12" t="n"/>
      <c r="W1185" s="13" t="n"/>
      <c r="AB1185" s="13" t="n"/>
    </row>
    <row r="1186">
      <c r="A1186" s="12" t="n"/>
      <c r="W1186" s="13" t="n"/>
      <c r="AB1186" s="13" t="n"/>
    </row>
    <row r="1187">
      <c r="A1187" s="12" t="n"/>
      <c r="W1187" s="13" t="n"/>
      <c r="AB1187" s="13" t="n"/>
    </row>
    <row r="1188">
      <c r="A1188" s="12" t="n"/>
      <c r="W1188" s="13" t="n"/>
      <c r="AB1188" s="13" t="n"/>
    </row>
    <row r="1189">
      <c r="A1189" s="12" t="n"/>
      <c r="W1189" s="13" t="n"/>
      <c r="AB1189" s="13" t="n"/>
    </row>
    <row r="1190">
      <c r="A1190" s="12" t="n"/>
      <c r="W1190" s="13" t="n"/>
      <c r="AB1190" s="13" t="n"/>
    </row>
    <row r="1191">
      <c r="A1191" s="12" t="n"/>
      <c r="W1191" s="13" t="n"/>
      <c r="AB1191" s="13" t="n"/>
    </row>
    <row r="1192">
      <c r="A1192" s="12" t="n"/>
      <c r="W1192" s="13" t="n"/>
      <c r="AB1192" s="13" t="n"/>
    </row>
    <row r="1193">
      <c r="A1193" s="12" t="n"/>
      <c r="W1193" s="13" t="n"/>
      <c r="AB1193" s="13" t="n"/>
    </row>
    <row r="1194">
      <c r="A1194" s="12" t="n"/>
      <c r="W1194" s="13" t="n"/>
      <c r="AB1194" s="13" t="n"/>
    </row>
    <row r="1195">
      <c r="A1195" s="12" t="n"/>
      <c r="W1195" s="13" t="n"/>
      <c r="AB1195" s="13" t="n"/>
    </row>
    <row r="1196">
      <c r="A1196" s="12" t="n"/>
      <c r="W1196" s="13" t="n"/>
      <c r="AB1196" s="13" t="n"/>
    </row>
    <row r="1197">
      <c r="A1197" s="12" t="n"/>
      <c r="W1197" s="13" t="n"/>
      <c r="AB1197" s="13" t="n"/>
    </row>
    <row r="1198">
      <c r="A1198" s="12" t="n"/>
      <c r="W1198" s="13" t="n"/>
      <c r="AB1198" s="13" t="n"/>
    </row>
    <row r="1199">
      <c r="A1199" s="12" t="n"/>
      <c r="W1199" s="13" t="n"/>
      <c r="AB1199" s="13" t="n"/>
    </row>
    <row r="1200">
      <c r="A1200" s="12" t="n"/>
      <c r="W1200" s="13" t="n"/>
      <c r="AB1200" s="13" t="n"/>
    </row>
    <row r="1201">
      <c r="A1201" s="12" t="n"/>
      <c r="W1201" s="13" t="n"/>
      <c r="AB1201" s="13" t="n"/>
    </row>
    <row r="1202">
      <c r="A1202" s="12" t="n"/>
      <c r="W1202" s="13" t="n"/>
      <c r="AB1202" s="13" t="n"/>
    </row>
    <row r="1203">
      <c r="A1203" s="12" t="n"/>
      <c r="W1203" s="13" t="n"/>
      <c r="AB1203" s="13" t="n"/>
    </row>
    <row r="1204">
      <c r="A1204" s="12" t="n"/>
      <c r="W1204" s="13" t="n"/>
      <c r="AB1204" s="13" t="n"/>
    </row>
    <row r="1205">
      <c r="A1205" s="12" t="n"/>
      <c r="W1205" s="13" t="n"/>
      <c r="AB1205" s="13" t="n"/>
    </row>
    <row r="1206">
      <c r="A1206" s="12" t="n"/>
      <c r="W1206" s="13" t="n"/>
      <c r="AB1206" s="13" t="n"/>
    </row>
    <row r="1207">
      <c r="A1207" s="12" t="n"/>
      <c r="W1207" s="13" t="n"/>
      <c r="AB1207" s="13" t="n"/>
    </row>
    <row r="1208">
      <c r="A1208" s="12" t="n"/>
      <c r="W1208" s="13" t="n"/>
      <c r="AB1208" s="13" t="n"/>
    </row>
    <row r="1209">
      <c r="A1209" s="12" t="n"/>
      <c r="W1209" s="13" t="n"/>
      <c r="AB1209" s="13" t="n"/>
    </row>
    <row r="1210">
      <c r="A1210" s="12" t="n"/>
      <c r="W1210" s="13" t="n"/>
      <c r="AB1210" s="13" t="n"/>
    </row>
    <row r="1211">
      <c r="A1211" s="12" t="n"/>
      <c r="W1211" s="13" t="n"/>
      <c r="AB1211" s="13" t="n"/>
    </row>
    <row r="1212">
      <c r="A1212" s="12" t="n"/>
      <c r="W1212" s="13" t="n"/>
      <c r="AB1212" s="13" t="n"/>
    </row>
    <row r="1213">
      <c r="A1213" s="12" t="n"/>
      <c r="W1213" s="13" t="n"/>
      <c r="AB1213" s="13" t="n"/>
    </row>
    <row r="1214">
      <c r="A1214" s="12" t="n"/>
      <c r="W1214" s="13" t="n"/>
      <c r="AB1214" s="13" t="n"/>
    </row>
    <row r="1215">
      <c r="A1215" s="12" t="n"/>
      <c r="W1215" s="13" t="n"/>
      <c r="AB1215" s="13" t="n"/>
    </row>
    <row r="1216">
      <c r="A1216" s="12" t="n"/>
      <c r="W1216" s="13" t="n"/>
      <c r="AB1216" s="13" t="n"/>
    </row>
    <row r="1217">
      <c r="A1217" s="12" t="n"/>
      <c r="W1217" s="13" t="n"/>
      <c r="AB1217" s="13" t="n"/>
    </row>
    <row r="1218">
      <c r="A1218" s="12" t="n"/>
      <c r="W1218" s="13" t="n"/>
      <c r="AB1218" s="13" t="n"/>
    </row>
    <row r="1219">
      <c r="A1219" s="12" t="n"/>
      <c r="W1219" s="13" t="n"/>
      <c r="AB1219" s="13" t="n"/>
    </row>
    <row r="1220">
      <c r="A1220" s="12" t="n"/>
      <c r="W1220" s="13" t="n"/>
      <c r="AB1220" s="13" t="n"/>
    </row>
    <row r="1221">
      <c r="A1221" s="12" t="n"/>
      <c r="W1221" s="13" t="n"/>
      <c r="AB1221" s="13" t="n"/>
    </row>
    <row r="1222">
      <c r="A1222" s="12" t="n"/>
      <c r="W1222" s="13" t="n"/>
      <c r="AB1222" s="13" t="n"/>
    </row>
    <row r="1223">
      <c r="A1223" s="12" t="n"/>
      <c r="W1223" s="13" t="n"/>
      <c r="AB1223" s="13" t="n"/>
    </row>
    <row r="1224">
      <c r="A1224" s="12" t="n"/>
      <c r="W1224" s="13" t="n"/>
      <c r="AB1224" s="13" t="n"/>
    </row>
    <row r="1225">
      <c r="A1225" s="12" t="n"/>
      <c r="W1225" s="13" t="n"/>
      <c r="AB1225" s="13" t="n"/>
    </row>
    <row r="1226">
      <c r="A1226" s="12" t="n"/>
      <c r="W1226" s="13" t="n"/>
      <c r="AB1226" s="13" t="n"/>
    </row>
    <row r="1227">
      <c r="A1227" s="12" t="n"/>
      <c r="W1227" s="13" t="n"/>
      <c r="AB1227" s="13" t="n"/>
    </row>
    <row r="1228">
      <c r="A1228" s="12" t="n"/>
      <c r="W1228" s="13" t="n"/>
      <c r="AB1228" s="13" t="n"/>
    </row>
    <row r="1229">
      <c r="A1229" s="12" t="n"/>
      <c r="W1229" s="13" t="n"/>
      <c r="AB1229" s="13" t="n"/>
    </row>
    <row r="1230">
      <c r="A1230" s="12" t="n"/>
      <c r="W1230" s="13" t="n"/>
      <c r="AB1230" s="13" t="n"/>
    </row>
    <row r="1231">
      <c r="A1231" s="12" t="n"/>
      <c r="W1231" s="13" t="n"/>
      <c r="AB1231" s="13" t="n"/>
    </row>
    <row r="1232">
      <c r="A1232" s="12" t="n"/>
      <c r="W1232" s="13" t="n"/>
      <c r="AB1232" s="13" t="n"/>
    </row>
    <row r="1233">
      <c r="A1233" s="12" t="n"/>
      <c r="W1233" s="13" t="n"/>
      <c r="AB1233" s="13" t="n"/>
    </row>
    <row r="1234">
      <c r="A1234" s="12" t="n"/>
      <c r="W1234" s="13" t="n"/>
      <c r="AB1234" s="13" t="n"/>
    </row>
    <row r="1235">
      <c r="A1235" s="12" t="n"/>
      <c r="W1235" s="13" t="n"/>
      <c r="AB1235" s="13" t="n"/>
    </row>
    <row r="1236">
      <c r="A1236" s="12" t="n"/>
      <c r="W1236" s="13" t="n"/>
      <c r="AB1236" s="13" t="n"/>
    </row>
    <row r="1237">
      <c r="A1237" s="12" t="n"/>
      <c r="W1237" s="13" t="n"/>
      <c r="AB1237" s="13" t="n"/>
    </row>
    <row r="1238">
      <c r="A1238" s="12" t="n"/>
      <c r="W1238" s="13" t="n"/>
      <c r="AB1238" s="13" t="n"/>
    </row>
    <row r="1239">
      <c r="A1239" s="12" t="n"/>
      <c r="W1239" s="13" t="n"/>
      <c r="AB1239" s="13" t="n"/>
    </row>
    <row r="1240">
      <c r="A1240" s="12" t="n"/>
      <c r="W1240" s="13" t="n"/>
      <c r="AB1240" s="13" t="n"/>
    </row>
    <row r="1241">
      <c r="A1241" s="12" t="n"/>
      <c r="W1241" s="13" t="n"/>
      <c r="AB1241" s="13" t="n"/>
    </row>
    <row r="1242">
      <c r="A1242" s="12" t="n"/>
      <c r="W1242" s="13" t="n"/>
      <c r="AB1242" s="13" t="n"/>
    </row>
    <row r="1243">
      <c r="A1243" s="12" t="n"/>
      <c r="W1243" s="13" t="n"/>
      <c r="AB1243" s="13" t="n"/>
    </row>
    <row r="1244">
      <c r="A1244" s="12" t="n"/>
      <c r="W1244" s="13" t="n"/>
      <c r="AB1244" s="13" t="n"/>
    </row>
    <row r="1245">
      <c r="A1245" s="12" t="n"/>
      <c r="W1245" s="13" t="n"/>
      <c r="AB1245" s="13" t="n"/>
    </row>
    <row r="1246">
      <c r="A1246" s="12" t="n"/>
      <c r="W1246" s="13" t="n"/>
      <c r="AB1246" s="13" t="n"/>
    </row>
    <row r="1247">
      <c r="A1247" s="12" t="n"/>
      <c r="W1247" s="13" t="n"/>
      <c r="AB1247" s="13" t="n"/>
    </row>
    <row r="1248">
      <c r="A1248" s="12" t="n"/>
      <c r="W1248" s="13" t="n"/>
      <c r="AB1248" s="13" t="n"/>
    </row>
    <row r="1249">
      <c r="A1249" s="12" t="n"/>
      <c r="W1249" s="13" t="n"/>
      <c r="AB1249" s="13" t="n"/>
    </row>
    <row r="1250">
      <c r="A1250" s="12" t="n"/>
      <c r="W1250" s="13" t="n"/>
      <c r="AB1250" s="13" t="n"/>
    </row>
    <row r="1251">
      <c r="A1251" s="12" t="n"/>
      <c r="W1251" s="13" t="n"/>
      <c r="AB1251" s="13" t="n"/>
    </row>
    <row r="1252">
      <c r="A1252" s="12" t="n"/>
      <c r="W1252" s="13" t="n"/>
      <c r="AB1252" s="13" t="n"/>
    </row>
    <row r="1253">
      <c r="A1253" s="12" t="n"/>
      <c r="W1253" s="13" t="n"/>
      <c r="AB1253" s="13" t="n"/>
    </row>
    <row r="1254">
      <c r="A1254" s="12" t="n"/>
      <c r="W1254" s="13" t="n"/>
      <c r="AB1254" s="13" t="n"/>
    </row>
    <row r="1255">
      <c r="A1255" s="12" t="n"/>
      <c r="W1255" s="13" t="n"/>
      <c r="AB1255" s="13" t="n"/>
    </row>
    <row r="1256">
      <c r="A1256" s="12" t="n"/>
      <c r="W1256" s="13" t="n"/>
      <c r="AB1256" s="13" t="n"/>
    </row>
    <row r="1257">
      <c r="A1257" s="12" t="n"/>
      <c r="W1257" s="13" t="n"/>
      <c r="AB1257" s="13" t="n"/>
    </row>
    <row r="1258">
      <c r="A1258" s="12" t="n"/>
      <c r="W1258" s="13" t="n"/>
      <c r="AB1258" s="13" t="n"/>
    </row>
    <row r="1259">
      <c r="A1259" s="12" t="n"/>
      <c r="W1259" s="13" t="n"/>
      <c r="AB1259" s="13" t="n"/>
    </row>
    <row r="1260">
      <c r="A1260" s="12" t="n"/>
      <c r="W1260" s="13" t="n"/>
      <c r="AB1260" s="13" t="n"/>
    </row>
    <row r="1261">
      <c r="A1261" s="12" t="n"/>
      <c r="W1261" s="13" t="n"/>
      <c r="AB1261" s="13" t="n"/>
    </row>
    <row r="1262">
      <c r="A1262" s="12" t="n"/>
      <c r="W1262" s="13" t="n"/>
      <c r="AB1262" s="13" t="n"/>
    </row>
    <row r="1263">
      <c r="A1263" s="12" t="n"/>
      <c r="W1263" s="13" t="n"/>
      <c r="AB1263" s="13" t="n"/>
    </row>
    <row r="1264">
      <c r="A1264" s="12" t="n"/>
      <c r="W1264" s="13" t="n"/>
      <c r="AB1264" s="13" t="n"/>
    </row>
    <row r="1265">
      <c r="A1265" s="12" t="n"/>
      <c r="W1265" s="13" t="n"/>
      <c r="AB1265" s="13" t="n"/>
    </row>
    <row r="1266">
      <c r="A1266" s="12" t="n"/>
      <c r="W1266" s="13" t="n"/>
      <c r="AB1266" s="13" t="n"/>
    </row>
    <row r="1267">
      <c r="A1267" s="12" t="n"/>
      <c r="W1267" s="13" t="n"/>
      <c r="AB1267" s="13" t="n"/>
    </row>
    <row r="1268">
      <c r="A1268" s="12" t="n"/>
      <c r="W1268" s="13" t="n"/>
      <c r="AB1268" s="13" t="n"/>
    </row>
    <row r="1269">
      <c r="A1269" s="12" t="n"/>
      <c r="W1269" s="13" t="n"/>
      <c r="AB1269" s="13" t="n"/>
    </row>
    <row r="1270">
      <c r="A1270" s="12" t="n"/>
      <c r="W1270" s="13" t="n"/>
      <c r="AB1270" s="13" t="n"/>
    </row>
    <row r="1271">
      <c r="A1271" s="12" t="n"/>
      <c r="W1271" s="13" t="n"/>
      <c r="AB1271" s="13" t="n"/>
    </row>
    <row r="1272">
      <c r="A1272" s="12" t="n"/>
      <c r="W1272" s="13" t="n"/>
      <c r="AB1272" s="13" t="n"/>
    </row>
    <row r="1273">
      <c r="A1273" s="12" t="n"/>
      <c r="W1273" s="13" t="n"/>
      <c r="AB1273" s="13" t="n"/>
    </row>
    <row r="1274">
      <c r="A1274" s="12" t="n"/>
      <c r="W1274" s="13" t="n"/>
      <c r="AB1274" s="13" t="n"/>
    </row>
    <row r="1275">
      <c r="A1275" s="12" t="n"/>
      <c r="W1275" s="13" t="n"/>
      <c r="AB1275" s="13" t="n"/>
    </row>
    <row r="1276">
      <c r="A1276" s="12" t="n"/>
      <c r="W1276" s="13" t="n"/>
      <c r="AB1276" s="13" t="n"/>
    </row>
    <row r="1277">
      <c r="A1277" s="12" t="n"/>
      <c r="W1277" s="13" t="n"/>
      <c r="AB1277" s="13" t="n"/>
    </row>
    <row r="1278">
      <c r="A1278" s="12" t="n"/>
      <c r="W1278" s="13" t="n"/>
      <c r="AB1278" s="13" t="n"/>
    </row>
    <row r="1279">
      <c r="A1279" s="12" t="n"/>
      <c r="W1279" s="13" t="n"/>
      <c r="AB1279" s="13" t="n"/>
    </row>
    <row r="1280">
      <c r="A1280" s="12" t="n"/>
      <c r="W1280" s="13" t="n"/>
      <c r="AB1280" s="13" t="n"/>
    </row>
    <row r="1281">
      <c r="A1281" s="12" t="n"/>
      <c r="W1281" s="13" t="n"/>
      <c r="AB1281" s="13" t="n"/>
    </row>
    <row r="1282">
      <c r="A1282" s="12" t="n"/>
      <c r="W1282" s="13" t="n"/>
      <c r="AB1282" s="13" t="n"/>
    </row>
    <row r="1283">
      <c r="A1283" s="12" t="n"/>
      <c r="W1283" s="13" t="n"/>
      <c r="AB1283" s="13" t="n"/>
    </row>
    <row r="1284">
      <c r="A1284" s="12" t="n"/>
      <c r="W1284" s="13" t="n"/>
      <c r="AB1284" s="13" t="n"/>
    </row>
    <row r="1285">
      <c r="A1285" s="12" t="n"/>
      <c r="W1285" s="13" t="n"/>
      <c r="AB1285" s="13" t="n"/>
    </row>
    <row r="1286">
      <c r="A1286" s="12" t="n"/>
      <c r="W1286" s="13" t="n"/>
      <c r="AB1286" s="13" t="n"/>
    </row>
    <row r="1287">
      <c r="A1287" s="12" t="n"/>
      <c r="W1287" s="13" t="n"/>
      <c r="AB1287" s="13" t="n"/>
    </row>
    <row r="1288">
      <c r="A1288" s="12" t="n"/>
      <c r="W1288" s="13" t="n"/>
      <c r="AB1288" s="13" t="n"/>
    </row>
    <row r="1289">
      <c r="A1289" s="12" t="n"/>
      <c r="W1289" s="13" t="n"/>
      <c r="AB1289" s="13" t="n"/>
    </row>
    <row r="1290">
      <c r="A1290" s="12" t="n"/>
      <c r="W1290" s="13" t="n"/>
      <c r="AB1290" s="13" t="n"/>
    </row>
    <row r="1291">
      <c r="A1291" s="12" t="n"/>
      <c r="W1291" s="13" t="n"/>
      <c r="AB1291" s="13" t="n"/>
    </row>
    <row r="1292">
      <c r="A1292" s="12" t="n"/>
      <c r="W1292" s="13" t="n"/>
      <c r="AB1292" s="13" t="n"/>
    </row>
    <row r="1293">
      <c r="A1293" s="12" t="n"/>
      <c r="W1293" s="13" t="n"/>
      <c r="AB1293" s="13" t="n"/>
    </row>
    <row r="1294">
      <c r="A1294" s="12" t="n"/>
      <c r="W1294" s="13" t="n"/>
      <c r="AB1294" s="13" t="n"/>
    </row>
    <row r="1295">
      <c r="A1295" s="12" t="n"/>
      <c r="W1295" s="13" t="n"/>
      <c r="AB1295" s="13" t="n"/>
    </row>
    <row r="1296">
      <c r="A1296" s="12" t="n"/>
      <c r="W1296" s="13" t="n"/>
      <c r="AB1296" s="13" t="n"/>
    </row>
    <row r="1297">
      <c r="A1297" s="12" t="n"/>
      <c r="W1297" s="13" t="n"/>
      <c r="AB1297" s="13" t="n"/>
    </row>
    <row r="1298">
      <c r="A1298" s="12" t="n"/>
      <c r="W1298" s="13" t="n"/>
      <c r="AB1298" s="13" t="n"/>
    </row>
    <row r="1299">
      <c r="A1299" s="12" t="n"/>
      <c r="W1299" s="13" t="n"/>
      <c r="AB1299" s="13" t="n"/>
    </row>
    <row r="1300">
      <c r="A1300" s="12" t="n"/>
      <c r="W1300" s="13" t="n"/>
      <c r="AB1300" s="13" t="n"/>
    </row>
    <row r="1301">
      <c r="A1301" s="12" t="n"/>
      <c r="W1301" s="13" t="n"/>
      <c r="AB1301" s="13" t="n"/>
    </row>
    <row r="1302">
      <c r="A1302" s="12" t="n"/>
      <c r="W1302" s="13" t="n"/>
      <c r="AB1302" s="13" t="n"/>
    </row>
    <row r="1303">
      <c r="A1303" s="12" t="n"/>
      <c r="W1303" s="13" t="n"/>
      <c r="AB1303" s="13" t="n"/>
    </row>
    <row r="1304">
      <c r="A1304" s="12" t="n"/>
      <c r="W1304" s="13" t="n"/>
      <c r="AB1304" s="13" t="n"/>
    </row>
    <row r="1305">
      <c r="A1305" s="12" t="n"/>
      <c r="W1305" s="13" t="n"/>
      <c r="AB1305" s="13" t="n"/>
    </row>
    <row r="1306">
      <c r="A1306" s="12" t="n"/>
      <c r="W1306" s="13" t="n"/>
      <c r="AB1306" s="13" t="n"/>
    </row>
    <row r="1307">
      <c r="A1307" s="12" t="n"/>
      <c r="W1307" s="13" t="n"/>
      <c r="AB1307" s="13" t="n"/>
    </row>
    <row r="1308">
      <c r="A1308" s="12" t="n"/>
      <c r="W1308" s="13" t="n"/>
      <c r="AB1308" s="13" t="n"/>
    </row>
    <row r="1309">
      <c r="A1309" s="12" t="n"/>
      <c r="W1309" s="13" t="n"/>
      <c r="AB1309" s="13" t="n"/>
    </row>
    <row r="1310">
      <c r="A1310" s="12" t="n"/>
      <c r="W1310" s="13" t="n"/>
      <c r="AB1310" s="13" t="n"/>
    </row>
    <row r="1311">
      <c r="A1311" s="12" t="n"/>
      <c r="W1311" s="13" t="n"/>
      <c r="AB1311" s="13" t="n"/>
    </row>
    <row r="1312">
      <c r="A1312" s="12" t="n"/>
      <c r="W1312" s="13" t="n"/>
      <c r="AB1312" s="13" t="n"/>
    </row>
    <row r="1313">
      <c r="A1313" s="12" t="n"/>
      <c r="W1313" s="13" t="n"/>
      <c r="AB1313" s="13" t="n"/>
    </row>
    <row r="1314">
      <c r="A1314" s="12" t="n"/>
      <c r="W1314" s="13" t="n"/>
      <c r="AB1314" s="13" t="n"/>
    </row>
    <row r="1315">
      <c r="A1315" s="12" t="n"/>
      <c r="W1315" s="13" t="n"/>
      <c r="AB1315" s="13" t="n"/>
    </row>
    <row r="1316">
      <c r="A1316" s="12" t="n"/>
      <c r="W1316" s="13" t="n"/>
      <c r="AB1316" s="13" t="n"/>
    </row>
    <row r="1317">
      <c r="A1317" s="12" t="n"/>
      <c r="W1317" s="13" t="n"/>
      <c r="AB1317" s="13" t="n"/>
    </row>
    <row r="1318">
      <c r="A1318" s="12" t="n"/>
      <c r="W1318" s="13" t="n"/>
      <c r="AB1318" s="13" t="n"/>
    </row>
    <row r="1319">
      <c r="A1319" s="12" t="n"/>
      <c r="W1319" s="13" t="n"/>
      <c r="AB1319" s="13" t="n"/>
    </row>
    <row r="1320">
      <c r="A1320" s="12" t="n"/>
      <c r="W1320" s="13" t="n"/>
      <c r="AB1320" s="13" t="n"/>
    </row>
    <row r="1321">
      <c r="A1321" s="12" t="n"/>
      <c r="W1321" s="13" t="n"/>
      <c r="AB1321" s="13" t="n"/>
    </row>
    <row r="1322">
      <c r="A1322" s="12" t="n"/>
      <c r="W1322" s="13" t="n"/>
      <c r="AB1322" s="13" t="n"/>
    </row>
    <row r="1323">
      <c r="A1323" s="12" t="n"/>
      <c r="W1323" s="13" t="n"/>
      <c r="AB1323" s="13" t="n"/>
    </row>
    <row r="1324">
      <c r="A1324" s="12" t="n"/>
      <c r="W1324" s="13" t="n"/>
      <c r="AB1324" s="13" t="n"/>
    </row>
    <row r="1325">
      <c r="A1325" s="12" t="n"/>
      <c r="W1325" s="13" t="n"/>
      <c r="AB1325" s="13" t="n"/>
    </row>
    <row r="1326">
      <c r="A1326" s="12" t="n"/>
      <c r="W1326" s="13" t="n"/>
      <c r="AB1326" s="13" t="n"/>
    </row>
    <row r="1327">
      <c r="A1327" s="12" t="n"/>
      <c r="W1327" s="13" t="n"/>
      <c r="AB1327" s="13" t="n"/>
    </row>
    <row r="1328">
      <c r="A1328" s="12" t="n"/>
      <c r="W1328" s="13" t="n"/>
      <c r="AB1328" s="13" t="n"/>
    </row>
    <row r="1329">
      <c r="A1329" s="12" t="n"/>
      <c r="W1329" s="13" t="n"/>
      <c r="AB1329" s="13" t="n"/>
    </row>
    <row r="1330">
      <c r="A1330" s="12" t="n"/>
      <c r="W1330" s="13" t="n"/>
      <c r="AB1330" s="13" t="n"/>
    </row>
    <row r="1331">
      <c r="A1331" s="12" t="n"/>
      <c r="W1331" s="13" t="n"/>
      <c r="AB1331" s="13" t="n"/>
    </row>
    <row r="1332">
      <c r="A1332" s="12" t="n"/>
      <c r="W1332" s="13" t="n"/>
      <c r="AB1332" s="13" t="n"/>
    </row>
    <row r="1333">
      <c r="A1333" s="12" t="n"/>
      <c r="W1333" s="13" t="n"/>
      <c r="AB1333" s="13" t="n"/>
    </row>
    <row r="1334">
      <c r="A1334" s="12" t="n"/>
      <c r="W1334" s="13" t="n"/>
      <c r="AB1334" s="13" t="n"/>
    </row>
    <row r="1335">
      <c r="A1335" s="12" t="n"/>
      <c r="W1335" s="13" t="n"/>
      <c r="AB1335" s="13" t="n"/>
    </row>
    <row r="1336">
      <c r="A1336" s="12" t="n"/>
      <c r="W1336" s="13" t="n"/>
      <c r="AB1336" s="13" t="n"/>
    </row>
    <row r="1337">
      <c r="A1337" s="12" t="n"/>
      <c r="W1337" s="13" t="n"/>
      <c r="AB1337" s="13" t="n"/>
    </row>
    <row r="1338">
      <c r="A1338" s="12" t="n"/>
      <c r="W1338" s="13" t="n"/>
      <c r="AB1338" s="13" t="n"/>
    </row>
    <row r="1339">
      <c r="A1339" s="12" t="n"/>
      <c r="W1339" s="13" t="n"/>
      <c r="AB1339" s="13" t="n"/>
    </row>
    <row r="1340">
      <c r="A1340" s="12" t="n"/>
      <c r="W1340" s="13" t="n"/>
      <c r="AB1340" s="13" t="n"/>
    </row>
    <row r="1341">
      <c r="A1341" s="12" t="n"/>
      <c r="W1341" s="13" t="n"/>
      <c r="AB1341" s="13" t="n"/>
    </row>
    <row r="1342">
      <c r="A1342" s="12" t="n"/>
      <c r="W1342" s="13" t="n"/>
      <c r="AB1342" s="13" t="n"/>
    </row>
    <row r="1343">
      <c r="A1343" s="12" t="n"/>
      <c r="W1343" s="13" t="n"/>
      <c r="AB1343" s="13" t="n"/>
    </row>
    <row r="1344">
      <c r="A1344" s="12" t="n"/>
      <c r="W1344" s="13" t="n"/>
      <c r="AB1344" s="13" t="n"/>
    </row>
    <row r="1345">
      <c r="A1345" s="12" t="n"/>
      <c r="W1345" s="13" t="n"/>
      <c r="AB1345" s="13" t="n"/>
    </row>
    <row r="1346">
      <c r="A1346" s="12" t="n"/>
      <c r="W1346" s="13" t="n"/>
      <c r="AB1346" s="13" t="n"/>
    </row>
    <row r="1347">
      <c r="A1347" s="12" t="n"/>
      <c r="W1347" s="13" t="n"/>
      <c r="AB1347" s="13" t="n"/>
    </row>
    <row r="1348">
      <c r="A1348" s="12" t="n"/>
      <c r="W1348" s="13" t="n"/>
      <c r="AB1348" s="13" t="n"/>
    </row>
    <row r="1349">
      <c r="A1349" s="12" t="n"/>
      <c r="W1349" s="13" t="n"/>
      <c r="AB1349" s="13" t="n"/>
    </row>
    <row r="1350">
      <c r="A1350" s="12" t="n"/>
      <c r="W1350" s="13" t="n"/>
      <c r="AB1350" s="13" t="n"/>
    </row>
    <row r="1351">
      <c r="A1351" s="12" t="n"/>
      <c r="W1351" s="13" t="n"/>
      <c r="AB1351" s="13" t="n"/>
    </row>
    <row r="1352">
      <c r="A1352" s="12" t="n"/>
      <c r="W1352" s="13" t="n"/>
      <c r="AB1352" s="13" t="n"/>
    </row>
    <row r="1353">
      <c r="A1353" s="12" t="n"/>
      <c r="W1353" s="13" t="n"/>
      <c r="AB1353" s="13" t="n"/>
    </row>
    <row r="1354">
      <c r="A1354" s="12" t="n"/>
      <c r="W1354" s="13" t="n"/>
      <c r="AB1354" s="13" t="n"/>
    </row>
    <row r="1355">
      <c r="A1355" s="12" t="n"/>
      <c r="W1355" s="13" t="n"/>
      <c r="AB1355" s="13" t="n"/>
    </row>
    <row r="1356">
      <c r="A1356" s="12" t="n"/>
      <c r="W1356" s="13" t="n"/>
      <c r="AB1356" s="13" t="n"/>
    </row>
    <row r="1357">
      <c r="A1357" s="12" t="n"/>
      <c r="W1357" s="13" t="n"/>
      <c r="AB1357" s="13" t="n"/>
    </row>
    <row r="1358">
      <c r="A1358" s="12" t="n"/>
      <c r="W1358" s="13" t="n"/>
      <c r="AB1358" s="13" t="n"/>
    </row>
    <row r="1359">
      <c r="A1359" s="12" t="n"/>
      <c r="W1359" s="13" t="n"/>
      <c r="AB1359" s="13" t="n"/>
    </row>
    <row r="1360">
      <c r="A1360" s="12" t="n"/>
      <c r="W1360" s="13" t="n"/>
      <c r="AB1360" s="13" t="n"/>
    </row>
    <row r="1361">
      <c r="A1361" s="12" t="n"/>
      <c r="W1361" s="13" t="n"/>
      <c r="AB1361" s="13" t="n"/>
    </row>
    <row r="1362">
      <c r="A1362" s="12" t="n"/>
      <c r="W1362" s="13" t="n"/>
      <c r="AB1362" s="13" t="n"/>
    </row>
    <row r="1363">
      <c r="A1363" s="12" t="n"/>
      <c r="W1363" s="13" t="n"/>
      <c r="AB1363" s="13" t="n"/>
    </row>
    <row r="1364">
      <c r="A1364" s="12" t="n"/>
      <c r="W1364" s="13" t="n"/>
      <c r="AB1364" s="13" t="n"/>
    </row>
    <row r="1365">
      <c r="A1365" s="12" t="n"/>
      <c r="W1365" s="13" t="n"/>
      <c r="AB1365" s="13" t="n"/>
    </row>
    <row r="1366">
      <c r="A1366" s="12" t="n"/>
      <c r="W1366" s="13" t="n"/>
      <c r="AB1366" s="13" t="n"/>
    </row>
    <row r="1367">
      <c r="A1367" s="12" t="n"/>
      <c r="W1367" s="13" t="n"/>
      <c r="AB1367" s="13" t="n"/>
    </row>
    <row r="1368">
      <c r="A1368" s="12" t="n"/>
      <c r="W1368" s="13" t="n"/>
      <c r="AB1368" s="13" t="n"/>
    </row>
    <row r="1369">
      <c r="A1369" s="12" t="n"/>
      <c r="W1369" s="13" t="n"/>
      <c r="AB1369" s="13" t="n"/>
    </row>
    <row r="1370">
      <c r="A1370" s="12" t="n"/>
      <c r="W1370" s="13" t="n"/>
      <c r="AB1370" s="13" t="n"/>
    </row>
    <row r="1371">
      <c r="A1371" s="12" t="n"/>
      <c r="W1371" s="13" t="n"/>
      <c r="AB1371" s="13" t="n"/>
    </row>
    <row r="1372">
      <c r="A1372" s="12" t="n"/>
      <c r="W1372" s="13" t="n"/>
      <c r="AB1372" s="13" t="n"/>
    </row>
    <row r="1373">
      <c r="A1373" s="12" t="n"/>
      <c r="W1373" s="13" t="n"/>
      <c r="AB1373" s="13" t="n"/>
    </row>
    <row r="1374">
      <c r="A1374" s="12" t="n"/>
      <c r="W1374" s="13" t="n"/>
      <c r="AB1374" s="13" t="n"/>
    </row>
    <row r="1375">
      <c r="A1375" s="12" t="n"/>
      <c r="W1375" s="13" t="n"/>
      <c r="AB1375" s="13" t="n"/>
    </row>
    <row r="1376">
      <c r="A1376" s="12" t="n"/>
      <c r="W1376" s="13" t="n"/>
      <c r="AB1376" s="13" t="n"/>
    </row>
    <row r="1377">
      <c r="A1377" s="12" t="n"/>
      <c r="W1377" s="13" t="n"/>
      <c r="AB1377" s="13" t="n"/>
    </row>
    <row r="1378">
      <c r="A1378" s="12" t="n"/>
      <c r="W1378" s="13" t="n"/>
      <c r="AB1378" s="13" t="n"/>
    </row>
    <row r="1379">
      <c r="A1379" s="12" t="n"/>
      <c r="W1379" s="13" t="n"/>
      <c r="AB1379" s="13" t="n"/>
    </row>
    <row r="1380">
      <c r="A1380" s="12" t="n"/>
      <c r="W1380" s="13" t="n"/>
      <c r="AB1380" s="13" t="n"/>
    </row>
    <row r="1381">
      <c r="A1381" s="12" t="n"/>
      <c r="W1381" s="13" t="n"/>
      <c r="AB1381" s="13" t="n"/>
    </row>
    <row r="1382">
      <c r="A1382" s="12" t="n"/>
      <c r="W1382" s="13" t="n"/>
      <c r="AB1382" s="13" t="n"/>
    </row>
    <row r="1383">
      <c r="A1383" s="12" t="n"/>
      <c r="W1383" s="13" t="n"/>
      <c r="AB1383" s="13" t="n"/>
    </row>
    <row r="1384">
      <c r="A1384" s="12" t="n"/>
      <c r="W1384" s="13" t="n"/>
      <c r="AB1384" s="13" t="n"/>
    </row>
    <row r="1385">
      <c r="A1385" s="12" t="n"/>
      <c r="W1385" s="13" t="n"/>
      <c r="AB1385" s="13" t="n"/>
    </row>
    <row r="1386">
      <c r="A1386" s="12" t="n"/>
      <c r="W1386" s="13" t="n"/>
      <c r="AB1386" s="13" t="n"/>
    </row>
    <row r="1387">
      <c r="A1387" s="12" t="n"/>
      <c r="W1387" s="13" t="n"/>
      <c r="AB1387" s="13" t="n"/>
    </row>
    <row r="1388">
      <c r="A1388" s="12" t="n"/>
      <c r="W1388" s="13" t="n"/>
      <c r="AB1388" s="13" t="n"/>
    </row>
    <row r="1389">
      <c r="A1389" s="12" t="n"/>
      <c r="W1389" s="13" t="n"/>
      <c r="AB1389" s="13" t="n"/>
    </row>
    <row r="1390">
      <c r="A1390" s="12" t="n"/>
      <c r="W1390" s="13" t="n"/>
      <c r="AB1390" s="13" t="n"/>
    </row>
    <row r="1391">
      <c r="A1391" s="12" t="n"/>
      <c r="W1391" s="13" t="n"/>
      <c r="AB1391" s="13" t="n"/>
    </row>
    <row r="1392">
      <c r="A1392" s="12" t="n"/>
      <c r="W1392" s="13" t="n"/>
      <c r="AB1392" s="13" t="n"/>
    </row>
    <row r="1393">
      <c r="A1393" s="12" t="n"/>
      <c r="W1393" s="13" t="n"/>
      <c r="AB1393" s="13" t="n"/>
    </row>
    <row r="1394">
      <c r="A1394" s="12" t="n"/>
      <c r="W1394" s="13" t="n"/>
      <c r="AB1394" s="13" t="n"/>
    </row>
    <row r="1395">
      <c r="A1395" s="12" t="n"/>
      <c r="W1395" s="13" t="n"/>
      <c r="AB1395" s="13" t="n"/>
    </row>
    <row r="1396">
      <c r="A1396" s="12" t="n"/>
      <c r="W1396" s="13" t="n"/>
      <c r="AB1396" s="13" t="n"/>
    </row>
    <row r="1397">
      <c r="A1397" s="12" t="n"/>
      <c r="W1397" s="13" t="n"/>
      <c r="AB1397" s="13" t="n"/>
    </row>
    <row r="1398">
      <c r="A1398" s="12" t="n"/>
      <c r="W1398" s="13" t="n"/>
      <c r="AB1398" s="13" t="n"/>
    </row>
    <row r="1399">
      <c r="A1399" s="12" t="n"/>
      <c r="W1399" s="13" t="n"/>
      <c r="AB1399" s="13" t="n"/>
    </row>
    <row r="1400">
      <c r="A1400" s="12" t="n"/>
      <c r="W1400" s="13" t="n"/>
      <c r="AB1400" s="13" t="n"/>
    </row>
    <row r="1401">
      <c r="A1401" s="12" t="n"/>
      <c r="W1401" s="13" t="n"/>
      <c r="AB1401" s="13" t="n"/>
    </row>
    <row r="1402">
      <c r="A1402" s="12" t="n"/>
      <c r="W1402" s="13" t="n"/>
      <c r="AB1402" s="13" t="n"/>
    </row>
    <row r="1403">
      <c r="A1403" s="12" t="n"/>
      <c r="W1403" s="13" t="n"/>
      <c r="AB1403" s="13" t="n"/>
    </row>
    <row r="1404">
      <c r="A1404" s="12" t="n"/>
      <c r="W1404" s="13" t="n"/>
      <c r="AB1404" s="13" t="n"/>
    </row>
    <row r="1405">
      <c r="A1405" s="12" t="n"/>
      <c r="W1405" s="13" t="n"/>
      <c r="AB1405" s="13" t="n"/>
    </row>
    <row r="1406">
      <c r="A1406" s="12" t="n"/>
      <c r="W1406" s="13" t="n"/>
      <c r="AB1406" s="13" t="n"/>
    </row>
    <row r="1407">
      <c r="A1407" s="12" t="n"/>
      <c r="W1407" s="13" t="n"/>
      <c r="AB1407" s="13" t="n"/>
    </row>
    <row r="1408">
      <c r="A1408" s="12" t="n"/>
      <c r="W1408" s="13" t="n"/>
      <c r="AB1408" s="13" t="n"/>
    </row>
    <row r="1409">
      <c r="A1409" s="12" t="n"/>
      <c r="W1409" s="13" t="n"/>
      <c r="AB1409" s="13" t="n"/>
    </row>
    <row r="1410">
      <c r="A1410" s="12" t="n"/>
      <c r="W1410" s="13" t="n"/>
      <c r="AB1410" s="13" t="n"/>
    </row>
    <row r="1411">
      <c r="A1411" s="12" t="n"/>
      <c r="W1411" s="13" t="n"/>
      <c r="AB1411" s="13" t="n"/>
    </row>
    <row r="1412">
      <c r="A1412" s="12" t="n"/>
      <c r="W1412" s="13" t="n"/>
      <c r="AB1412" s="13" t="n"/>
    </row>
    <row r="1413">
      <c r="A1413" s="12" t="n"/>
      <c r="W1413" s="13" t="n"/>
      <c r="AB1413" s="13" t="n"/>
    </row>
    <row r="1414">
      <c r="A1414" s="12" t="n"/>
      <c r="W1414" s="13" t="n"/>
      <c r="AB1414" s="13" t="n"/>
    </row>
    <row r="1415">
      <c r="A1415" s="12" t="n"/>
      <c r="W1415" s="13" t="n"/>
      <c r="AB1415" s="13" t="n"/>
    </row>
    <row r="1416">
      <c r="A1416" s="12" t="n"/>
      <c r="W1416" s="13" t="n"/>
      <c r="AB1416" s="13" t="n"/>
    </row>
    <row r="1417">
      <c r="A1417" s="12" t="n"/>
      <c r="W1417" s="13" t="n"/>
      <c r="AB1417" s="13" t="n"/>
    </row>
    <row r="1418">
      <c r="A1418" s="12" t="n"/>
      <c r="W1418" s="13" t="n"/>
      <c r="AB1418" s="13" t="n"/>
    </row>
    <row r="1419">
      <c r="A1419" s="12" t="n"/>
      <c r="W1419" s="13" t="n"/>
      <c r="AB1419" s="13" t="n"/>
    </row>
    <row r="1420">
      <c r="A1420" s="12" t="n"/>
      <c r="W1420" s="13" t="n"/>
      <c r="AB1420" s="13" t="n"/>
    </row>
    <row r="1421">
      <c r="A1421" s="12" t="n"/>
      <c r="W1421" s="13" t="n"/>
      <c r="AB1421" s="13" t="n"/>
    </row>
    <row r="1422">
      <c r="A1422" s="12" t="n"/>
      <c r="W1422" s="13" t="n"/>
      <c r="AB1422" s="13" t="n"/>
    </row>
    <row r="1423">
      <c r="A1423" s="12" t="n"/>
      <c r="W1423" s="13" t="n"/>
      <c r="AB1423" s="13" t="n"/>
    </row>
    <row r="1424">
      <c r="A1424" s="12" t="n"/>
      <c r="W1424" s="13" t="n"/>
      <c r="AB1424" s="13" t="n"/>
    </row>
    <row r="1425">
      <c r="A1425" s="12" t="n"/>
      <c r="W1425" s="13" t="n"/>
      <c r="AB1425" s="13" t="n"/>
    </row>
    <row r="1426">
      <c r="A1426" s="12" t="n"/>
      <c r="W1426" s="13" t="n"/>
      <c r="AB1426" s="13" t="n"/>
    </row>
    <row r="1427">
      <c r="A1427" s="12" t="n"/>
      <c r="W1427" s="13" t="n"/>
      <c r="AB1427" s="13" t="n"/>
    </row>
    <row r="1428">
      <c r="A1428" s="12" t="n"/>
      <c r="W1428" s="13" t="n"/>
      <c r="AB1428" s="13" t="n"/>
    </row>
    <row r="1429">
      <c r="A1429" s="12" t="n"/>
      <c r="W1429" s="13" t="n"/>
      <c r="AB1429" s="13" t="n"/>
    </row>
    <row r="1430">
      <c r="A1430" s="12" t="n"/>
      <c r="W1430" s="13" t="n"/>
      <c r="AB1430" s="13" t="n"/>
    </row>
    <row r="1431">
      <c r="A1431" s="12" t="n"/>
      <c r="W1431" s="13" t="n"/>
      <c r="AB1431" s="13" t="n"/>
    </row>
    <row r="1432">
      <c r="A1432" s="12" t="n"/>
      <c r="W1432" s="13" t="n"/>
      <c r="AB1432" s="13" t="n"/>
    </row>
    <row r="1433">
      <c r="A1433" s="12" t="n"/>
      <c r="W1433" s="13" t="n"/>
      <c r="AB1433" s="13" t="n"/>
    </row>
    <row r="1434">
      <c r="A1434" s="12" t="n"/>
      <c r="W1434" s="13" t="n"/>
      <c r="AB1434" s="13" t="n"/>
    </row>
    <row r="1435">
      <c r="A1435" s="12" t="n"/>
      <c r="W1435" s="13" t="n"/>
      <c r="AB1435" s="13" t="n"/>
    </row>
    <row r="1436">
      <c r="A1436" s="12" t="n"/>
      <c r="W1436" s="13" t="n"/>
      <c r="AB1436" s="13" t="n"/>
    </row>
    <row r="1437">
      <c r="A1437" s="12" t="n"/>
      <c r="W1437" s="13" t="n"/>
      <c r="AB1437" s="13" t="n"/>
    </row>
    <row r="1438">
      <c r="A1438" s="12" t="n"/>
      <c r="W1438" s="13" t="n"/>
      <c r="AB1438" s="13" t="n"/>
    </row>
    <row r="1439">
      <c r="A1439" s="12" t="n"/>
      <c r="W1439" s="13" t="n"/>
      <c r="AB1439" s="13" t="n"/>
    </row>
    <row r="1440">
      <c r="A1440" s="12" t="n"/>
      <c r="W1440" s="13" t="n"/>
      <c r="AB1440" s="13" t="n"/>
    </row>
    <row r="1441">
      <c r="A1441" s="12" t="n"/>
      <c r="W1441" s="13" t="n"/>
      <c r="AB1441" s="13" t="n"/>
    </row>
    <row r="1442">
      <c r="A1442" s="12" t="n"/>
      <c r="W1442" s="13" t="n"/>
      <c r="AB1442" s="13" t="n"/>
    </row>
    <row r="1443">
      <c r="A1443" s="12" t="n"/>
      <c r="W1443" s="13" t="n"/>
      <c r="AB1443" s="13" t="n"/>
    </row>
    <row r="1444">
      <c r="A1444" s="12" t="n"/>
      <c r="W1444" s="13" t="n"/>
      <c r="AB1444" s="13" t="n"/>
    </row>
    <row r="1445">
      <c r="A1445" s="12" t="n"/>
      <c r="W1445" s="13" t="n"/>
      <c r="AB1445" s="13" t="n"/>
    </row>
    <row r="1446">
      <c r="A1446" s="12" t="n"/>
      <c r="W1446" s="13" t="n"/>
      <c r="AB1446" s="13" t="n"/>
    </row>
    <row r="1447">
      <c r="A1447" s="12" t="n"/>
      <c r="W1447" s="13" t="n"/>
      <c r="AB1447" s="13" t="n"/>
    </row>
    <row r="1448">
      <c r="A1448" s="12" t="n"/>
      <c r="W1448" s="13" t="n"/>
      <c r="AB1448" s="13" t="n"/>
    </row>
    <row r="1449">
      <c r="A1449" s="12" t="n"/>
      <c r="W1449" s="13" t="n"/>
      <c r="AB1449" s="13" t="n"/>
    </row>
    <row r="1450">
      <c r="A1450" s="12" t="n"/>
      <c r="W1450" s="13" t="n"/>
      <c r="AB1450" s="13" t="n"/>
    </row>
    <row r="1451">
      <c r="A1451" s="12" t="n"/>
      <c r="W1451" s="13" t="n"/>
      <c r="AB1451" s="13" t="n"/>
    </row>
    <row r="1452">
      <c r="A1452" s="12" t="n"/>
      <c r="W1452" s="13" t="n"/>
      <c r="AB1452" s="13" t="n"/>
    </row>
    <row r="1453">
      <c r="A1453" s="12" t="n"/>
      <c r="W1453" s="13" t="n"/>
      <c r="AB1453" s="13" t="n"/>
    </row>
    <row r="1454">
      <c r="A1454" s="12" t="n"/>
      <c r="W1454" s="13" t="n"/>
      <c r="AB1454" s="13" t="n"/>
    </row>
    <row r="1455">
      <c r="A1455" s="12" t="n"/>
      <c r="W1455" s="13" t="n"/>
      <c r="AB1455" s="13" t="n"/>
    </row>
    <row r="1456">
      <c r="A1456" s="12" t="n"/>
      <c r="W1456" s="13" t="n"/>
      <c r="AB1456" s="13" t="n"/>
    </row>
    <row r="1457">
      <c r="A1457" s="12" t="n"/>
      <c r="W1457" s="13" t="n"/>
      <c r="AB1457" s="13" t="n"/>
    </row>
    <row r="1458">
      <c r="A1458" s="12" t="n"/>
      <c r="W1458" s="13" t="n"/>
      <c r="AB1458" s="13" t="n"/>
    </row>
    <row r="1459">
      <c r="A1459" s="12" t="n"/>
      <c r="W1459" s="13" t="n"/>
      <c r="AB1459" s="13" t="n"/>
    </row>
    <row r="1460">
      <c r="A1460" s="12" t="n"/>
      <c r="W1460" s="13" t="n"/>
      <c r="AB1460" s="13" t="n"/>
    </row>
    <row r="1461">
      <c r="A1461" s="12" t="n"/>
      <c r="W1461" s="13" t="n"/>
      <c r="AB1461" s="13" t="n"/>
    </row>
    <row r="1462">
      <c r="A1462" s="12" t="n"/>
      <c r="W1462" s="13" t="n"/>
      <c r="AB1462" s="13" t="n"/>
    </row>
    <row r="1463">
      <c r="A1463" s="12" t="n"/>
      <c r="W1463" s="13" t="n"/>
      <c r="AB1463" s="13" t="n"/>
    </row>
    <row r="1464">
      <c r="A1464" s="12" t="n"/>
      <c r="W1464" s="13" t="n"/>
      <c r="AB1464" s="13" t="n"/>
    </row>
    <row r="1465">
      <c r="A1465" s="12" t="n"/>
      <c r="W1465" s="13" t="n"/>
      <c r="AB1465" s="13" t="n"/>
    </row>
    <row r="1466">
      <c r="A1466" s="12" t="n"/>
      <c r="W1466" s="13" t="n"/>
      <c r="AB1466" s="13" t="n"/>
    </row>
    <row r="1467">
      <c r="A1467" s="12" t="n"/>
      <c r="W1467" s="13" t="n"/>
      <c r="AB1467" s="13" t="n"/>
    </row>
    <row r="1468">
      <c r="A1468" s="12" t="n"/>
      <c r="W1468" s="13" t="n"/>
      <c r="AB1468" s="13" t="n"/>
    </row>
    <row r="1469">
      <c r="A1469" s="12" t="n"/>
      <c r="W1469" s="13" t="n"/>
      <c r="AB1469" s="13" t="n"/>
    </row>
    <row r="1470">
      <c r="A1470" s="12" t="n"/>
      <c r="W1470" s="13" t="n"/>
      <c r="AB1470" s="13" t="n"/>
    </row>
    <row r="1471">
      <c r="A1471" s="12" t="n"/>
      <c r="W1471" s="13" t="n"/>
      <c r="AB1471" s="13" t="n"/>
    </row>
    <row r="1472">
      <c r="A1472" s="12" t="n"/>
      <c r="W1472" s="13" t="n"/>
      <c r="AB1472" s="13" t="n"/>
    </row>
    <row r="1473">
      <c r="A1473" s="12" t="n"/>
      <c r="W1473" s="13" t="n"/>
      <c r="AB1473" s="13" t="n"/>
    </row>
    <row r="1474">
      <c r="A1474" s="12" t="n"/>
      <c r="W1474" s="13" t="n"/>
      <c r="AB1474" s="13" t="n"/>
    </row>
    <row r="1475">
      <c r="A1475" s="12" t="n"/>
      <c r="W1475" s="13" t="n"/>
      <c r="AB1475" s="13" t="n"/>
    </row>
    <row r="1476">
      <c r="A1476" s="12" t="n"/>
      <c r="W1476" s="13" t="n"/>
      <c r="AB1476" s="13" t="n"/>
    </row>
    <row r="1477">
      <c r="A1477" s="12" t="n"/>
      <c r="W1477" s="13" t="n"/>
      <c r="AB1477" s="13" t="n"/>
    </row>
    <row r="1478">
      <c r="A1478" s="12" t="n"/>
      <c r="W1478" s="13" t="n"/>
      <c r="AB1478" s="13" t="n"/>
    </row>
    <row r="1479">
      <c r="A1479" s="12" t="n"/>
      <c r="W1479" s="13" t="n"/>
      <c r="AB1479" s="13" t="n"/>
    </row>
    <row r="1480">
      <c r="A1480" s="12" t="n"/>
      <c r="W1480" s="13" t="n"/>
      <c r="AB1480" s="13" t="n"/>
    </row>
    <row r="1481">
      <c r="A1481" s="12" t="n"/>
      <c r="W1481" s="13" t="n"/>
      <c r="AB1481" s="13" t="n"/>
    </row>
    <row r="1482">
      <c r="A1482" s="12" t="n"/>
      <c r="W1482" s="13" t="n"/>
      <c r="AB1482" s="13" t="n"/>
    </row>
    <row r="1483">
      <c r="A1483" s="12" t="n"/>
      <c r="W1483" s="13" t="n"/>
      <c r="AB1483" s="13" t="n"/>
    </row>
    <row r="1484">
      <c r="A1484" s="12" t="n"/>
      <c r="W1484" s="13" t="n"/>
      <c r="AB1484" s="13" t="n"/>
    </row>
    <row r="1485">
      <c r="A1485" s="12" t="n"/>
      <c r="W1485" s="13" t="n"/>
      <c r="AB1485" s="13" t="n"/>
    </row>
    <row r="1486">
      <c r="A1486" s="12" t="n"/>
      <c r="W1486" s="13" t="n"/>
      <c r="AB1486" s="13" t="n"/>
    </row>
    <row r="1487">
      <c r="A1487" s="12" t="n"/>
      <c r="W1487" s="13" t="n"/>
      <c r="AB1487" s="13" t="n"/>
    </row>
    <row r="1488">
      <c r="A1488" s="12" t="n"/>
      <c r="W1488" s="13" t="n"/>
      <c r="AB1488" s="13" t="n"/>
    </row>
    <row r="1489">
      <c r="A1489" s="12" t="n"/>
      <c r="W1489" s="13" t="n"/>
      <c r="AB1489" s="13" t="n"/>
    </row>
    <row r="1490">
      <c r="A1490" s="12" t="n"/>
      <c r="W1490" s="13" t="n"/>
      <c r="AB1490" s="13" t="n"/>
    </row>
    <row r="1491">
      <c r="A1491" s="12" t="n"/>
      <c r="W1491" s="13" t="n"/>
      <c r="AB1491" s="13" t="n"/>
    </row>
    <row r="1492">
      <c r="A1492" s="12" t="n"/>
      <c r="W1492" s="13" t="n"/>
      <c r="AB1492" s="13" t="n"/>
    </row>
    <row r="1493">
      <c r="A1493" s="12" t="n"/>
      <c r="W1493" s="13" t="n"/>
      <c r="AB1493" s="13" t="n"/>
    </row>
    <row r="1494">
      <c r="A1494" s="12" t="n"/>
      <c r="W1494" s="13" t="n"/>
      <c r="AB1494" s="13" t="n"/>
    </row>
    <row r="1495">
      <c r="A1495" s="12" t="n"/>
      <c r="W1495" s="13" t="n"/>
      <c r="AB1495" s="13" t="n"/>
    </row>
    <row r="1496">
      <c r="A1496" s="12" t="n"/>
      <c r="W1496" s="13" t="n"/>
      <c r="AB1496" s="13" t="n"/>
    </row>
    <row r="1497">
      <c r="A1497" s="12" t="n"/>
      <c r="W1497" s="13" t="n"/>
      <c r="AB1497" s="13" t="n"/>
    </row>
    <row r="1498">
      <c r="A1498" s="12" t="n"/>
      <c r="W1498" s="13" t="n"/>
      <c r="AB1498" s="13" t="n"/>
    </row>
    <row r="1499">
      <c r="A1499" s="12" t="n"/>
      <c r="W1499" s="13" t="n"/>
      <c r="AB1499" s="13" t="n"/>
    </row>
    <row r="1500">
      <c r="A1500" s="12" t="n"/>
      <c r="W1500" s="13" t="n"/>
      <c r="AB1500" s="13" t="n"/>
    </row>
    <row r="1501">
      <c r="A1501" s="12" t="n"/>
      <c r="W1501" s="13" t="n"/>
      <c r="AB1501" s="13" t="n"/>
    </row>
    <row r="1502">
      <c r="A1502" s="12" t="n"/>
      <c r="W1502" s="13" t="n"/>
      <c r="AB1502" s="13" t="n"/>
    </row>
    <row r="1503">
      <c r="A1503" s="12" t="n"/>
      <c r="W1503" s="13" t="n"/>
      <c r="AB1503" s="13" t="n"/>
    </row>
    <row r="1504">
      <c r="A1504" s="12" t="n"/>
      <c r="W1504" s="13" t="n"/>
      <c r="AB1504" s="13" t="n"/>
    </row>
    <row r="1505">
      <c r="A1505" s="12" t="n"/>
      <c r="W1505" s="13" t="n"/>
      <c r="AB1505" s="13" t="n"/>
    </row>
    <row r="1506">
      <c r="A1506" s="12" t="n"/>
      <c r="W1506" s="13" t="n"/>
      <c r="AB1506" s="13" t="n"/>
    </row>
    <row r="1507">
      <c r="A1507" s="12" t="n"/>
      <c r="W1507" s="13" t="n"/>
      <c r="AB1507" s="13" t="n"/>
    </row>
    <row r="1508">
      <c r="A1508" s="12" t="n"/>
      <c r="W1508" s="13" t="n"/>
      <c r="AB1508" s="13" t="n"/>
    </row>
    <row r="1509">
      <c r="A1509" s="12" t="n"/>
      <c r="W1509" s="13" t="n"/>
      <c r="AB1509" s="13" t="n"/>
    </row>
    <row r="1510">
      <c r="A1510" s="12" t="n"/>
      <c r="W1510" s="13" t="n"/>
      <c r="AB1510" s="13" t="n"/>
    </row>
    <row r="1511">
      <c r="A1511" s="12" t="n"/>
      <c r="W1511" s="13" t="n"/>
      <c r="AB1511" s="13" t="n"/>
    </row>
    <row r="1512">
      <c r="A1512" s="12" t="n"/>
      <c r="W1512" s="13" t="n"/>
      <c r="AB1512" s="13" t="n"/>
    </row>
    <row r="1513">
      <c r="A1513" s="12" t="n"/>
      <c r="W1513" s="13" t="n"/>
      <c r="AB1513" s="13" t="n"/>
    </row>
    <row r="1514">
      <c r="A1514" s="12" t="n"/>
      <c r="W1514" s="13" t="n"/>
      <c r="AB1514" s="13" t="n"/>
    </row>
    <row r="1515">
      <c r="A1515" s="12" t="n"/>
      <c r="W1515" s="13" t="n"/>
      <c r="AB1515" s="13" t="n"/>
    </row>
    <row r="1516">
      <c r="A1516" s="12" t="n"/>
      <c r="W1516" s="13" t="n"/>
      <c r="AB1516" s="13" t="n"/>
    </row>
    <row r="1517">
      <c r="A1517" s="12" t="n"/>
      <c r="W1517" s="13" t="n"/>
      <c r="AB1517" s="13" t="n"/>
    </row>
    <row r="1518">
      <c r="A1518" s="12" t="n"/>
      <c r="W1518" s="13" t="n"/>
      <c r="AB1518" s="13" t="n"/>
    </row>
    <row r="1519">
      <c r="A1519" s="12" t="n"/>
      <c r="W1519" s="13" t="n"/>
      <c r="AB1519" s="13" t="n"/>
    </row>
    <row r="1520">
      <c r="A1520" s="12" t="n"/>
      <c r="W1520" s="13" t="n"/>
      <c r="AB1520" s="13" t="n"/>
    </row>
    <row r="1521">
      <c r="A1521" s="12" t="n"/>
      <c r="W1521" s="13" t="n"/>
      <c r="AB1521" s="13" t="n"/>
    </row>
    <row r="1522">
      <c r="A1522" s="12" t="n"/>
      <c r="W1522" s="13" t="n"/>
      <c r="AB1522" s="13" t="n"/>
    </row>
    <row r="1523">
      <c r="A1523" s="12" t="n"/>
      <c r="W1523" s="13" t="n"/>
      <c r="AB1523" s="13" t="n"/>
    </row>
    <row r="1524">
      <c r="A1524" s="12" t="n"/>
      <c r="W1524" s="13" t="n"/>
      <c r="AB1524" s="13" t="n"/>
    </row>
    <row r="1525">
      <c r="A1525" s="12" t="n"/>
      <c r="W1525" s="13" t="n"/>
      <c r="AB1525" s="13" t="n"/>
    </row>
    <row r="1526">
      <c r="A1526" s="12" t="n"/>
      <c r="W1526" s="13" t="n"/>
      <c r="AB1526" s="13" t="n"/>
    </row>
    <row r="1527">
      <c r="A1527" s="12" t="n"/>
      <c r="W1527" s="13" t="n"/>
      <c r="AB1527" s="13" t="n"/>
    </row>
    <row r="1528">
      <c r="A1528" s="12" t="n"/>
      <c r="W1528" s="13" t="n"/>
      <c r="AB1528" s="13" t="n"/>
    </row>
    <row r="1529">
      <c r="A1529" s="12" t="n"/>
      <c r="W1529" s="13" t="n"/>
      <c r="AB1529" s="13" t="n"/>
    </row>
    <row r="1530">
      <c r="A1530" s="12" t="n"/>
      <c r="W1530" s="13" t="n"/>
      <c r="AB1530" s="13" t="n"/>
    </row>
    <row r="1531">
      <c r="A1531" s="12" t="n"/>
      <c r="W1531" s="13" t="n"/>
      <c r="AB1531" s="13" t="n"/>
    </row>
    <row r="1532">
      <c r="A1532" s="12" t="n"/>
      <c r="W1532" s="13" t="n"/>
      <c r="AB1532" s="13" t="n"/>
    </row>
    <row r="1533">
      <c r="A1533" s="12" t="n"/>
      <c r="W1533" s="13" t="n"/>
      <c r="AB1533" s="13" t="n"/>
    </row>
    <row r="1534">
      <c r="A1534" s="12" t="n"/>
      <c r="W1534" s="13" t="n"/>
      <c r="AB1534" s="13" t="n"/>
    </row>
    <row r="1535">
      <c r="A1535" s="12" t="n"/>
      <c r="W1535" s="13" t="n"/>
      <c r="AB1535" s="13" t="n"/>
    </row>
    <row r="1536">
      <c r="A1536" s="12" t="n"/>
      <c r="W1536" s="13" t="n"/>
      <c r="AB1536" s="13" t="n"/>
    </row>
    <row r="1537">
      <c r="A1537" s="12" t="n"/>
      <c r="W1537" s="13" t="n"/>
      <c r="AB1537" s="13" t="n"/>
    </row>
    <row r="1538">
      <c r="A1538" s="12" t="n"/>
      <c r="W1538" s="13" t="n"/>
      <c r="AB1538" s="13" t="n"/>
    </row>
    <row r="1539">
      <c r="A1539" s="12" t="n"/>
      <c r="W1539" s="13" t="n"/>
      <c r="AB1539" s="13" t="n"/>
    </row>
    <row r="1540">
      <c r="A1540" s="12" t="n"/>
      <c r="W1540" s="13" t="n"/>
      <c r="AB1540" s="13" t="n"/>
    </row>
    <row r="1541">
      <c r="A1541" s="12" t="n"/>
      <c r="W1541" s="13" t="n"/>
      <c r="AB1541" s="13" t="n"/>
    </row>
    <row r="1542">
      <c r="A1542" s="12" t="n"/>
      <c r="W1542" s="13" t="n"/>
      <c r="AB1542" s="13" t="n"/>
    </row>
    <row r="1543">
      <c r="A1543" s="12" t="n"/>
      <c r="W1543" s="13" t="n"/>
      <c r="AB1543" s="13" t="n"/>
    </row>
    <row r="1544">
      <c r="A1544" s="12" t="n"/>
      <c r="W1544" s="13" t="n"/>
      <c r="AB1544" s="13" t="n"/>
    </row>
    <row r="1545">
      <c r="A1545" s="12" t="n"/>
      <c r="W1545" s="13" t="n"/>
      <c r="AB1545" s="13" t="n"/>
    </row>
    <row r="1546">
      <c r="A1546" s="12" t="n"/>
      <c r="W1546" s="13" t="n"/>
      <c r="AB1546" s="13" t="n"/>
    </row>
    <row r="1547">
      <c r="A1547" s="12" t="n"/>
      <c r="W1547" s="13" t="n"/>
      <c r="AB1547" s="13" t="n"/>
    </row>
    <row r="1548">
      <c r="A1548" s="12" t="n"/>
      <c r="W1548" s="13" t="n"/>
      <c r="AB1548" s="13" t="n"/>
    </row>
    <row r="1549">
      <c r="A1549" s="12" t="n"/>
      <c r="W1549" s="13" t="n"/>
      <c r="AB1549" s="13" t="n"/>
    </row>
    <row r="1550">
      <c r="A1550" s="12" t="n"/>
      <c r="W1550" s="13" t="n"/>
      <c r="AB1550" s="13" t="n"/>
    </row>
    <row r="1551">
      <c r="A1551" s="12" t="n"/>
      <c r="W1551" s="13" t="n"/>
      <c r="AB1551" s="13" t="n"/>
    </row>
    <row r="1552">
      <c r="A1552" s="12" t="n"/>
      <c r="W1552" s="13" t="n"/>
      <c r="AB1552" s="13" t="n"/>
    </row>
    <row r="1553">
      <c r="A1553" s="12" t="n"/>
      <c r="W1553" s="13" t="n"/>
      <c r="AB1553" s="13" t="n"/>
    </row>
    <row r="1554">
      <c r="A1554" s="12" t="n"/>
      <c r="W1554" s="13" t="n"/>
      <c r="AB1554" s="13" t="n"/>
    </row>
    <row r="1555">
      <c r="A1555" s="12" t="n"/>
      <c r="W1555" s="13" t="n"/>
      <c r="AB1555" s="13" t="n"/>
    </row>
    <row r="1556">
      <c r="A1556" s="12" t="n"/>
      <c r="W1556" s="13" t="n"/>
      <c r="AB1556" s="13" t="n"/>
    </row>
    <row r="1557">
      <c r="A1557" s="12" t="n"/>
      <c r="W1557" s="13" t="n"/>
      <c r="AB1557" s="13" t="n"/>
    </row>
    <row r="1558">
      <c r="A1558" s="12" t="n"/>
      <c r="W1558" s="13" t="n"/>
      <c r="AB1558" s="13" t="n"/>
    </row>
    <row r="1559">
      <c r="A1559" s="12" t="n"/>
      <c r="W1559" s="13" t="n"/>
      <c r="AB1559" s="13" t="n"/>
    </row>
    <row r="1560">
      <c r="A1560" s="12" t="n"/>
      <c r="W1560" s="13" t="n"/>
      <c r="AB1560" s="13" t="n"/>
    </row>
    <row r="1561">
      <c r="A1561" s="12" t="n"/>
      <c r="W1561" s="13" t="n"/>
      <c r="AB1561" s="13" t="n"/>
    </row>
    <row r="1562">
      <c r="A1562" s="12" t="n"/>
      <c r="W1562" s="13" t="n"/>
      <c r="AB1562" s="13" t="n"/>
    </row>
    <row r="1563">
      <c r="A1563" s="12" t="n"/>
      <c r="W1563" s="13" t="n"/>
      <c r="AB1563" s="13" t="n"/>
    </row>
    <row r="1564">
      <c r="A1564" s="12" t="n"/>
      <c r="W1564" s="13" t="n"/>
      <c r="AB1564" s="13" t="n"/>
    </row>
    <row r="1565">
      <c r="A1565" s="12" t="n"/>
      <c r="W1565" s="13" t="n"/>
      <c r="AB1565" s="13" t="n"/>
    </row>
    <row r="1566">
      <c r="A1566" s="12" t="n"/>
      <c r="W1566" s="13" t="n"/>
      <c r="AB1566" s="13" t="n"/>
    </row>
    <row r="1567">
      <c r="A1567" s="12" t="n"/>
      <c r="W1567" s="13" t="n"/>
      <c r="AB1567" s="13" t="n"/>
    </row>
    <row r="1568">
      <c r="A1568" s="12" t="n"/>
      <c r="W1568" s="13" t="n"/>
      <c r="AB1568" s="13" t="n"/>
    </row>
    <row r="1569">
      <c r="A1569" s="12" t="n"/>
      <c r="W1569" s="13" t="n"/>
      <c r="AB1569" s="13" t="n"/>
    </row>
    <row r="1570">
      <c r="A1570" s="12" t="n"/>
      <c r="W1570" s="13" t="n"/>
      <c r="AB1570" s="13" t="n"/>
    </row>
    <row r="1571">
      <c r="A1571" s="12" t="n"/>
      <c r="W1571" s="13" t="n"/>
      <c r="AB1571" s="13" t="n"/>
    </row>
    <row r="1572">
      <c r="A1572" s="12" t="n"/>
      <c r="W1572" s="13" t="n"/>
      <c r="AB1572" s="13" t="n"/>
    </row>
    <row r="1573">
      <c r="A1573" s="12" t="n"/>
      <c r="W1573" s="13" t="n"/>
      <c r="AB1573" s="13" t="n"/>
    </row>
    <row r="1574">
      <c r="A1574" s="12" t="n"/>
      <c r="W1574" s="13" t="n"/>
      <c r="AB1574" s="13" t="n"/>
    </row>
    <row r="1575">
      <c r="A1575" s="12" t="n"/>
      <c r="W1575" s="13" t="n"/>
      <c r="AB1575" s="13" t="n"/>
    </row>
    <row r="1576">
      <c r="A1576" s="12" t="n"/>
      <c r="W1576" s="13" t="n"/>
      <c r="AB1576" s="13" t="n"/>
    </row>
    <row r="1577">
      <c r="A1577" s="12" t="n"/>
      <c r="W1577" s="13" t="n"/>
      <c r="AB1577" s="13" t="n"/>
    </row>
    <row r="1578">
      <c r="A1578" s="12" t="n"/>
      <c r="W1578" s="13" t="n"/>
      <c r="AB1578" s="13" t="n"/>
    </row>
    <row r="1579">
      <c r="A1579" s="12" t="n"/>
      <c r="W1579" s="13" t="n"/>
      <c r="AB1579" s="13" t="n"/>
    </row>
    <row r="1580">
      <c r="A1580" s="12" t="n"/>
      <c r="W1580" s="13" t="n"/>
      <c r="AB1580" s="13" t="n"/>
    </row>
    <row r="1581">
      <c r="A1581" s="12" t="n"/>
      <c r="W1581" s="13" t="n"/>
      <c r="AB1581" s="13" t="n"/>
    </row>
    <row r="1582">
      <c r="A1582" s="12" t="n"/>
      <c r="W1582" s="13" t="n"/>
      <c r="AB1582" s="13" t="n"/>
    </row>
    <row r="1583">
      <c r="A1583" s="12" t="n"/>
      <c r="W1583" s="13" t="n"/>
      <c r="AB1583" s="13" t="n"/>
    </row>
    <row r="1584">
      <c r="A1584" s="12" t="n"/>
      <c r="W1584" s="13" t="n"/>
      <c r="AB1584" s="13" t="n"/>
    </row>
    <row r="1585">
      <c r="A1585" s="12" t="n"/>
      <c r="W1585" s="13" t="n"/>
      <c r="AB1585" s="13" t="n"/>
    </row>
    <row r="1586">
      <c r="A1586" s="12" t="n"/>
      <c r="W1586" s="13" t="n"/>
      <c r="AB1586" s="13" t="n"/>
    </row>
    <row r="1587">
      <c r="A1587" s="12" t="n"/>
      <c r="W1587" s="13" t="n"/>
      <c r="AB1587" s="13" t="n"/>
    </row>
    <row r="1588">
      <c r="A1588" s="12" t="n"/>
      <c r="W1588" s="13" t="n"/>
      <c r="AB1588" s="13" t="n"/>
    </row>
    <row r="1589">
      <c r="A1589" s="12" t="n"/>
      <c r="W1589" s="13" t="n"/>
      <c r="AB1589" s="13" t="n"/>
    </row>
    <row r="1590">
      <c r="A1590" s="12" t="n"/>
      <c r="W1590" s="13" t="n"/>
      <c r="AB1590" s="13" t="n"/>
    </row>
    <row r="1591">
      <c r="A1591" s="12" t="n"/>
      <c r="W1591" s="13" t="n"/>
      <c r="AB1591" s="13" t="n"/>
    </row>
    <row r="1592">
      <c r="A1592" s="12" t="n"/>
      <c r="W1592" s="13" t="n"/>
      <c r="AB1592" s="13" t="n"/>
    </row>
    <row r="1593">
      <c r="A1593" s="12" t="n"/>
      <c r="W1593" s="13" t="n"/>
      <c r="AB1593" s="13" t="n"/>
    </row>
    <row r="1594">
      <c r="A1594" s="12" t="n"/>
      <c r="W1594" s="13" t="n"/>
      <c r="AB1594" s="13" t="n"/>
    </row>
    <row r="1595">
      <c r="A1595" s="12" t="n"/>
      <c r="W1595" s="13" t="n"/>
      <c r="AB1595" s="13" t="n"/>
    </row>
    <row r="1596">
      <c r="A1596" s="12" t="n"/>
      <c r="W1596" s="13" t="n"/>
      <c r="AB1596" s="13" t="n"/>
    </row>
    <row r="1597">
      <c r="A1597" s="12" t="n"/>
      <c r="W1597" s="13" t="n"/>
      <c r="AB1597" s="13" t="n"/>
    </row>
    <row r="1598">
      <c r="A1598" s="12" t="n"/>
      <c r="W1598" s="13" t="n"/>
      <c r="AB1598" s="13" t="n"/>
    </row>
    <row r="1599">
      <c r="A1599" s="12" t="n"/>
      <c r="W1599" s="13" t="n"/>
      <c r="AB1599" s="13" t="n"/>
    </row>
    <row r="1600">
      <c r="A1600" s="12" t="n"/>
      <c r="W1600" s="13" t="n"/>
      <c r="AB1600" s="13" t="n"/>
    </row>
    <row r="1601">
      <c r="A1601" s="12" t="n"/>
      <c r="W1601" s="13" t="n"/>
      <c r="AB1601" s="13" t="n"/>
    </row>
    <row r="1602">
      <c r="A1602" s="12" t="n"/>
      <c r="W1602" s="13" t="n"/>
      <c r="AB1602" s="13" t="n"/>
    </row>
    <row r="1603">
      <c r="A1603" s="12" t="n"/>
      <c r="W1603" s="13" t="n"/>
      <c r="AB1603" s="13" t="n"/>
    </row>
    <row r="1604">
      <c r="A1604" s="12" t="n"/>
      <c r="W1604" s="13" t="n"/>
      <c r="AB1604" s="13" t="n"/>
    </row>
    <row r="1605">
      <c r="A1605" s="12" t="n"/>
      <c r="W1605" s="13" t="n"/>
      <c r="AB1605" s="13" t="n"/>
    </row>
    <row r="1606">
      <c r="A1606" s="12" t="n"/>
      <c r="W1606" s="13" t="n"/>
      <c r="AB1606" s="13" t="n"/>
    </row>
    <row r="1607">
      <c r="A1607" s="12" t="n"/>
      <c r="W1607" s="13" t="n"/>
      <c r="AB1607" s="13" t="n"/>
    </row>
    <row r="1608">
      <c r="A1608" s="12" t="n"/>
      <c r="W1608" s="13" t="n"/>
      <c r="AB1608" s="13" t="n"/>
    </row>
    <row r="1609">
      <c r="A1609" s="12" t="n"/>
      <c r="W1609" s="13" t="n"/>
      <c r="AB1609" s="13" t="n"/>
    </row>
    <row r="1610">
      <c r="A1610" s="12" t="n"/>
      <c r="W1610" s="13" t="n"/>
      <c r="AB1610" s="13" t="n"/>
    </row>
    <row r="1611">
      <c r="A1611" s="12" t="n"/>
      <c r="W1611" s="13" t="n"/>
      <c r="AB1611" s="13" t="n"/>
    </row>
    <row r="1612">
      <c r="A1612" s="12" t="n"/>
      <c r="W1612" s="13" t="n"/>
      <c r="AB1612" s="13" t="n"/>
    </row>
    <row r="1613">
      <c r="A1613" s="12" t="n"/>
      <c r="W1613" s="13" t="n"/>
      <c r="AB1613" s="13" t="n"/>
    </row>
    <row r="1614">
      <c r="A1614" s="12" t="n"/>
      <c r="W1614" s="13" t="n"/>
      <c r="AB1614" s="13" t="n"/>
    </row>
    <row r="1615">
      <c r="A1615" s="12" t="n"/>
      <c r="W1615" s="13" t="n"/>
      <c r="AB1615" s="13" t="n"/>
    </row>
    <row r="1616">
      <c r="A1616" s="12" t="n"/>
      <c r="W1616" s="13" t="n"/>
      <c r="AB1616" s="13" t="n"/>
    </row>
    <row r="1617">
      <c r="A1617" s="12" t="n"/>
      <c r="W1617" s="13" t="n"/>
      <c r="AB1617" s="13" t="n"/>
    </row>
    <row r="1618">
      <c r="A1618" s="12" t="n"/>
      <c r="W1618" s="13" t="n"/>
      <c r="AB1618" s="13" t="n"/>
    </row>
    <row r="1619">
      <c r="A1619" s="12" t="n"/>
      <c r="W1619" s="13" t="n"/>
      <c r="AB1619" s="13" t="n"/>
    </row>
    <row r="1620">
      <c r="A1620" s="12" t="n"/>
      <c r="W1620" s="13" t="n"/>
      <c r="AB1620" s="13" t="n"/>
    </row>
    <row r="1621">
      <c r="A1621" s="12" t="n"/>
      <c r="W1621" s="13" t="n"/>
      <c r="AB1621" s="13" t="n"/>
    </row>
    <row r="1622">
      <c r="A1622" s="12" t="n"/>
      <c r="W1622" s="13" t="n"/>
      <c r="AB1622" s="13" t="n"/>
    </row>
    <row r="1623">
      <c r="A1623" s="12" t="n"/>
      <c r="W1623" s="13" t="n"/>
      <c r="AB1623" s="13" t="n"/>
    </row>
    <row r="1624">
      <c r="A1624" s="12" t="n"/>
      <c r="W1624" s="13" t="n"/>
      <c r="AB1624" s="13" t="n"/>
    </row>
    <row r="1625">
      <c r="A1625" s="12" t="n"/>
      <c r="W1625" s="13" t="n"/>
      <c r="AB1625" s="13" t="n"/>
    </row>
    <row r="1626">
      <c r="A1626" s="12" t="n"/>
      <c r="W1626" s="13" t="n"/>
      <c r="AB1626" s="13" t="n"/>
    </row>
    <row r="1627">
      <c r="A1627" s="12" t="n"/>
      <c r="W1627" s="13" t="n"/>
      <c r="AB1627" s="13" t="n"/>
    </row>
    <row r="1628">
      <c r="A1628" s="12" t="n"/>
      <c r="W1628" s="13" t="n"/>
      <c r="AB1628" s="13" t="n"/>
    </row>
    <row r="1629">
      <c r="A1629" s="12" t="n"/>
      <c r="W1629" s="13" t="n"/>
      <c r="AB1629" s="13" t="n"/>
    </row>
    <row r="1630">
      <c r="A1630" s="12" t="n"/>
      <c r="W1630" s="13" t="n"/>
      <c r="AB1630" s="13" t="n"/>
    </row>
    <row r="1631">
      <c r="A1631" s="12" t="n"/>
      <c r="W1631" s="13" t="n"/>
      <c r="AB1631" s="13" t="n"/>
    </row>
    <row r="1632">
      <c r="A1632" s="12" t="n"/>
      <c r="W1632" s="13" t="n"/>
      <c r="AB1632" s="13" t="n"/>
    </row>
    <row r="1633">
      <c r="A1633" s="12" t="n"/>
      <c r="W1633" s="13" t="n"/>
      <c r="AB1633" s="13" t="n"/>
    </row>
    <row r="1634">
      <c r="A1634" s="12" t="n"/>
      <c r="W1634" s="13" t="n"/>
      <c r="AB1634" s="13" t="n"/>
    </row>
    <row r="1635">
      <c r="A1635" s="12" t="n"/>
      <c r="W1635" s="13" t="n"/>
      <c r="AB1635" s="13" t="n"/>
    </row>
    <row r="1636">
      <c r="A1636" s="12" t="n"/>
      <c r="W1636" s="13" t="n"/>
      <c r="AB1636" s="13" t="n"/>
    </row>
    <row r="1637">
      <c r="A1637" s="12" t="n"/>
      <c r="W1637" s="13" t="n"/>
      <c r="AB1637" s="13" t="n"/>
    </row>
    <row r="1638">
      <c r="A1638" s="12" t="n"/>
      <c r="W1638" s="13" t="n"/>
      <c r="AB1638" s="13" t="n"/>
    </row>
    <row r="1639">
      <c r="A1639" s="12" t="n"/>
      <c r="W1639" s="13" t="n"/>
      <c r="AB1639" s="13" t="n"/>
    </row>
    <row r="1640">
      <c r="A1640" s="12" t="n"/>
      <c r="W1640" s="13" t="n"/>
      <c r="AB1640" s="13" t="n"/>
    </row>
    <row r="1641">
      <c r="A1641" s="12" t="n"/>
      <c r="W1641" s="13" t="n"/>
      <c r="AB1641" s="13" t="n"/>
    </row>
    <row r="1642">
      <c r="A1642" s="12" t="n"/>
      <c r="W1642" s="13" t="n"/>
      <c r="AB1642" s="13" t="n"/>
    </row>
    <row r="1643">
      <c r="A1643" s="12" t="n"/>
      <c r="W1643" s="13" t="n"/>
      <c r="AB1643" s="13" t="n"/>
    </row>
    <row r="1644">
      <c r="A1644" s="12" t="n"/>
      <c r="W1644" s="13" t="n"/>
      <c r="AB1644" s="13" t="n"/>
    </row>
    <row r="1645">
      <c r="A1645" s="12" t="n"/>
      <c r="W1645" s="13" t="n"/>
      <c r="AB1645" s="13" t="n"/>
    </row>
    <row r="1646">
      <c r="A1646" s="12" t="n"/>
      <c r="W1646" s="13" t="n"/>
      <c r="AB1646" s="13" t="n"/>
    </row>
    <row r="1647">
      <c r="A1647" s="12" t="n"/>
      <c r="W1647" s="13" t="n"/>
      <c r="AB1647" s="13" t="n"/>
    </row>
    <row r="1648">
      <c r="A1648" s="12" t="n"/>
      <c r="W1648" s="13" t="n"/>
      <c r="AB1648" s="13" t="n"/>
    </row>
    <row r="1649">
      <c r="A1649" s="12" t="n"/>
      <c r="W1649" s="13" t="n"/>
      <c r="AB1649" s="13" t="n"/>
    </row>
    <row r="1650">
      <c r="A1650" s="12" t="n"/>
      <c r="W1650" s="13" t="n"/>
      <c r="AB1650" s="13" t="n"/>
    </row>
    <row r="1651">
      <c r="A1651" s="12" t="n"/>
      <c r="W1651" s="13" t="n"/>
      <c r="AB1651" s="13" t="n"/>
    </row>
    <row r="1652">
      <c r="A1652" s="12" t="n"/>
      <c r="W1652" s="13" t="n"/>
      <c r="AB1652" s="13" t="n"/>
    </row>
    <row r="1653">
      <c r="A1653" s="12" t="n"/>
      <c r="W1653" s="13" t="n"/>
      <c r="AB1653" s="13" t="n"/>
    </row>
    <row r="1654">
      <c r="A1654" s="12" t="n"/>
      <c r="W1654" s="13" t="n"/>
      <c r="AB1654" s="13" t="n"/>
    </row>
    <row r="1655">
      <c r="A1655" s="12" t="n"/>
      <c r="W1655" s="13" t="n"/>
      <c r="AB1655" s="13" t="n"/>
    </row>
    <row r="1656">
      <c r="A1656" s="12" t="n"/>
      <c r="W1656" s="13" t="n"/>
      <c r="AB1656" s="13" t="n"/>
    </row>
    <row r="1657">
      <c r="A1657" s="12" t="n"/>
      <c r="W1657" s="13" t="n"/>
      <c r="AB1657" s="13" t="n"/>
    </row>
    <row r="1658">
      <c r="A1658" s="12" t="n"/>
      <c r="W1658" s="13" t="n"/>
      <c r="AB1658" s="13" t="n"/>
    </row>
    <row r="1659">
      <c r="A1659" s="12" t="n"/>
      <c r="W1659" s="13" t="n"/>
      <c r="AB1659" s="13" t="n"/>
    </row>
    <row r="1660">
      <c r="A1660" s="12" t="n"/>
      <c r="W1660" s="13" t="n"/>
      <c r="AB1660" s="13" t="n"/>
    </row>
    <row r="1661">
      <c r="A1661" s="12" t="n"/>
      <c r="W1661" s="13" t="n"/>
      <c r="AB1661" s="13" t="n"/>
    </row>
    <row r="1662">
      <c r="A1662" s="12" t="n"/>
      <c r="W1662" s="13" t="n"/>
      <c r="AB1662" s="13" t="n"/>
    </row>
    <row r="1663">
      <c r="A1663" s="12" t="n"/>
      <c r="W1663" s="13" t="n"/>
      <c r="AB1663" s="13" t="n"/>
    </row>
    <row r="1664">
      <c r="A1664" s="12" t="n"/>
      <c r="W1664" s="13" t="n"/>
      <c r="AB1664" s="13" t="n"/>
    </row>
    <row r="1665">
      <c r="A1665" s="12" t="n"/>
      <c r="W1665" s="13" t="n"/>
      <c r="AB1665" s="13" t="n"/>
    </row>
    <row r="1666">
      <c r="A1666" s="12" t="n"/>
      <c r="W1666" s="13" t="n"/>
      <c r="AB1666" s="13" t="n"/>
    </row>
    <row r="1667">
      <c r="A1667" s="12" t="n"/>
      <c r="W1667" s="13" t="n"/>
      <c r="AB1667" s="13" t="n"/>
    </row>
    <row r="1668">
      <c r="A1668" s="12" t="n"/>
      <c r="W1668" s="13" t="n"/>
      <c r="AB1668" s="13" t="n"/>
    </row>
    <row r="1669">
      <c r="A1669" s="12" t="n"/>
      <c r="W1669" s="13" t="n"/>
      <c r="AB1669" s="13" t="n"/>
    </row>
    <row r="1670">
      <c r="A1670" s="12" t="n"/>
      <c r="W1670" s="13" t="n"/>
      <c r="AB1670" s="13" t="n"/>
    </row>
    <row r="1671">
      <c r="A1671" s="12" t="n"/>
      <c r="W1671" s="13" t="n"/>
      <c r="AB1671" s="13" t="n"/>
    </row>
    <row r="1672">
      <c r="A1672" s="12" t="n"/>
      <c r="W1672" s="13" t="n"/>
      <c r="AB1672" s="13" t="n"/>
    </row>
    <row r="1673">
      <c r="A1673" s="12" t="n"/>
      <c r="W1673" s="13" t="n"/>
      <c r="AB1673" s="13" t="n"/>
    </row>
    <row r="1674">
      <c r="A1674" s="12" t="n"/>
      <c r="W1674" s="13" t="n"/>
      <c r="AB1674" s="13" t="n"/>
    </row>
    <row r="1675">
      <c r="A1675" s="12" t="n"/>
      <c r="W1675" s="13" t="n"/>
      <c r="AB1675" s="13" t="n"/>
    </row>
    <row r="1676">
      <c r="A1676" s="12" t="n"/>
      <c r="W1676" s="13" t="n"/>
      <c r="AB1676" s="13" t="n"/>
    </row>
    <row r="1677">
      <c r="A1677" s="12" t="n"/>
      <c r="W1677" s="13" t="n"/>
      <c r="AB1677" s="13" t="n"/>
    </row>
    <row r="1678">
      <c r="A1678" s="12" t="n"/>
      <c r="W1678" s="13" t="n"/>
      <c r="AB1678" s="13" t="n"/>
    </row>
    <row r="1679">
      <c r="A1679" s="12" t="n"/>
      <c r="W1679" s="13" t="n"/>
      <c r="AB1679" s="13" t="n"/>
    </row>
    <row r="1680">
      <c r="A1680" s="12" t="n"/>
      <c r="W1680" s="13" t="n"/>
      <c r="AB1680" s="13" t="n"/>
    </row>
    <row r="1681">
      <c r="A1681" s="12" t="n"/>
      <c r="W1681" s="13" t="n"/>
      <c r="AB1681" s="13" t="n"/>
    </row>
    <row r="1682">
      <c r="A1682" s="12" t="n"/>
      <c r="W1682" s="13" t="n"/>
      <c r="AB1682" s="13" t="n"/>
    </row>
    <row r="1683">
      <c r="A1683" s="12" t="n"/>
      <c r="W1683" s="13" t="n"/>
      <c r="AB1683" s="13" t="n"/>
    </row>
    <row r="1684">
      <c r="A1684" s="12" t="n"/>
      <c r="W1684" s="13" t="n"/>
      <c r="AB1684" s="13" t="n"/>
    </row>
    <row r="1685">
      <c r="A1685" s="12" t="n"/>
      <c r="W1685" s="13" t="n"/>
      <c r="AB1685" s="13" t="n"/>
    </row>
    <row r="1686">
      <c r="A1686" s="12" t="n"/>
      <c r="W1686" s="13" t="n"/>
      <c r="AB1686" s="13" t="n"/>
    </row>
    <row r="1687">
      <c r="A1687" s="12" t="n"/>
      <c r="W1687" s="13" t="n"/>
      <c r="AB1687" s="13" t="n"/>
    </row>
    <row r="1688">
      <c r="A1688" s="12" t="n"/>
      <c r="W1688" s="13" t="n"/>
      <c r="AB1688" s="13" t="n"/>
    </row>
    <row r="1689">
      <c r="A1689" s="12" t="n"/>
      <c r="W1689" s="13" t="n"/>
      <c r="AB1689" s="13" t="n"/>
    </row>
    <row r="1690">
      <c r="A1690" s="12" t="n"/>
      <c r="W1690" s="13" t="n"/>
      <c r="AB1690" s="13" t="n"/>
    </row>
    <row r="1691">
      <c r="A1691" s="12" t="n"/>
      <c r="W1691" s="13" t="n"/>
      <c r="AB1691" s="13" t="n"/>
    </row>
    <row r="1692">
      <c r="A1692" s="12" t="n"/>
      <c r="W1692" s="13" t="n"/>
      <c r="AB1692" s="13" t="n"/>
    </row>
    <row r="1693">
      <c r="A1693" s="12" t="n"/>
      <c r="W1693" s="13" t="n"/>
      <c r="AB1693" s="13" t="n"/>
    </row>
    <row r="1694">
      <c r="A1694" s="12" t="n"/>
      <c r="W1694" s="13" t="n"/>
      <c r="AB1694" s="13" t="n"/>
    </row>
    <row r="1695">
      <c r="A1695" s="12" t="n"/>
      <c r="W1695" s="13" t="n"/>
      <c r="AB1695" s="13" t="n"/>
    </row>
    <row r="1696">
      <c r="A1696" s="12" t="n"/>
      <c r="W1696" s="13" t="n"/>
      <c r="AB1696" s="13" t="n"/>
    </row>
    <row r="1697">
      <c r="A1697" s="12" t="n"/>
      <c r="W1697" s="13" t="n"/>
      <c r="AB1697" s="13" t="n"/>
    </row>
    <row r="1698">
      <c r="A1698" s="12" t="n"/>
      <c r="W1698" s="13" t="n"/>
      <c r="AB1698" s="13" t="n"/>
    </row>
    <row r="1699">
      <c r="A1699" s="12" t="n"/>
      <c r="W1699" s="13" t="n"/>
      <c r="AB1699" s="13" t="n"/>
    </row>
    <row r="1700">
      <c r="A1700" s="12" t="n"/>
      <c r="W1700" s="13" t="n"/>
      <c r="AB1700" s="13" t="n"/>
    </row>
    <row r="1701">
      <c r="A1701" s="12" t="n"/>
      <c r="W1701" s="13" t="n"/>
      <c r="AB1701" s="13" t="n"/>
    </row>
    <row r="1702">
      <c r="A1702" s="12" t="n"/>
      <c r="W1702" s="13" t="n"/>
      <c r="AB1702" s="13" t="n"/>
    </row>
    <row r="1703">
      <c r="A1703" s="12" t="n"/>
      <c r="W1703" s="13" t="n"/>
      <c r="AB1703" s="13" t="n"/>
    </row>
    <row r="1704">
      <c r="A1704" s="12" t="n"/>
      <c r="W1704" s="13" t="n"/>
      <c r="AB1704" s="13" t="n"/>
    </row>
    <row r="1705">
      <c r="A1705" s="12" t="n"/>
      <c r="W1705" s="13" t="n"/>
      <c r="AB1705" s="13" t="n"/>
    </row>
    <row r="1706">
      <c r="A1706" s="12" t="n"/>
      <c r="W1706" s="13" t="n"/>
      <c r="AB1706" s="13" t="n"/>
    </row>
    <row r="1707">
      <c r="A1707" s="12" t="n"/>
      <c r="W1707" s="13" t="n"/>
      <c r="AB1707" s="13" t="n"/>
    </row>
    <row r="1708">
      <c r="A1708" s="12" t="n"/>
      <c r="W1708" s="13" t="n"/>
      <c r="AB1708" s="13" t="n"/>
    </row>
    <row r="1709">
      <c r="A1709" s="12" t="n"/>
      <c r="W1709" s="13" t="n"/>
      <c r="AB1709" s="13" t="n"/>
    </row>
    <row r="1710">
      <c r="A1710" s="12" t="n"/>
      <c r="W1710" s="13" t="n"/>
      <c r="AB1710" s="13" t="n"/>
    </row>
    <row r="1711">
      <c r="A1711" s="12" t="n"/>
      <c r="W1711" s="13" t="n"/>
      <c r="AB1711" s="13" t="n"/>
    </row>
    <row r="1712">
      <c r="A1712" s="12" t="n"/>
      <c r="W1712" s="13" t="n"/>
      <c r="AB1712" s="13" t="n"/>
    </row>
    <row r="1713">
      <c r="A1713" s="12" t="n"/>
      <c r="W1713" s="13" t="n"/>
      <c r="AB1713" s="13" t="n"/>
    </row>
    <row r="1714">
      <c r="A1714" s="12" t="n"/>
      <c r="W1714" s="13" t="n"/>
      <c r="AB1714" s="13" t="n"/>
    </row>
    <row r="1715">
      <c r="A1715" s="12" t="n"/>
      <c r="W1715" s="13" t="n"/>
      <c r="AB1715" s="13" t="n"/>
    </row>
    <row r="1716">
      <c r="A1716" s="12" t="n"/>
      <c r="W1716" s="13" t="n"/>
      <c r="AB1716" s="13" t="n"/>
    </row>
    <row r="1717">
      <c r="A1717" s="12" t="n"/>
      <c r="W1717" s="13" t="n"/>
      <c r="AB1717" s="13" t="n"/>
    </row>
    <row r="1718">
      <c r="A1718" s="12" t="n"/>
      <c r="W1718" s="13" t="n"/>
      <c r="AB1718" s="13" t="n"/>
    </row>
    <row r="1719">
      <c r="A1719" s="12" t="n"/>
      <c r="W1719" s="13" t="n"/>
      <c r="AB1719" s="13" t="n"/>
    </row>
    <row r="1720">
      <c r="A1720" s="12" t="n"/>
      <c r="W1720" s="13" t="n"/>
      <c r="AB1720" s="13" t="n"/>
    </row>
    <row r="1721">
      <c r="A1721" s="12" t="n"/>
      <c r="W1721" s="13" t="n"/>
      <c r="AB1721" s="13" t="n"/>
    </row>
    <row r="1722">
      <c r="A1722" s="12" t="n"/>
      <c r="W1722" s="13" t="n"/>
      <c r="AB1722" s="13" t="n"/>
    </row>
    <row r="1723">
      <c r="A1723" s="12" t="n"/>
      <c r="W1723" s="13" t="n"/>
      <c r="AB1723" s="13" t="n"/>
    </row>
    <row r="1724">
      <c r="A1724" s="12" t="n"/>
      <c r="W1724" s="13" t="n"/>
      <c r="AB1724" s="13" t="n"/>
    </row>
    <row r="1725">
      <c r="A1725" s="12" t="n"/>
      <c r="W1725" s="13" t="n"/>
      <c r="AB1725" s="13" t="n"/>
    </row>
    <row r="1726">
      <c r="A1726" s="12" t="n"/>
      <c r="W1726" s="13" t="n"/>
      <c r="AB1726" s="13" t="n"/>
    </row>
    <row r="1727">
      <c r="A1727" s="12" t="n"/>
      <c r="W1727" s="13" t="n"/>
      <c r="AB1727" s="13" t="n"/>
    </row>
    <row r="1728">
      <c r="A1728" s="12" t="n"/>
      <c r="W1728" s="13" t="n"/>
      <c r="AB1728" s="13" t="n"/>
    </row>
    <row r="1729">
      <c r="A1729" s="12" t="n"/>
      <c r="W1729" s="13" t="n"/>
      <c r="AB1729" s="13" t="n"/>
    </row>
    <row r="1730">
      <c r="A1730" s="12" t="n"/>
      <c r="W1730" s="13" t="n"/>
      <c r="AB1730" s="13" t="n"/>
    </row>
    <row r="1731">
      <c r="A1731" s="12" t="n"/>
      <c r="W1731" s="13" t="n"/>
      <c r="AB1731" s="13" t="n"/>
    </row>
    <row r="1732">
      <c r="A1732" s="12" t="n"/>
      <c r="W1732" s="13" t="n"/>
      <c r="AB1732" s="13" t="n"/>
    </row>
    <row r="1733">
      <c r="A1733" s="12" t="n"/>
      <c r="W1733" s="13" t="n"/>
      <c r="AB1733" s="13" t="n"/>
    </row>
    <row r="1734">
      <c r="A1734" s="12" t="n"/>
      <c r="W1734" s="13" t="n"/>
      <c r="AB1734" s="13" t="n"/>
    </row>
    <row r="1735">
      <c r="A1735" s="12" t="n"/>
      <c r="W1735" s="13" t="n"/>
      <c r="AB1735" s="13" t="n"/>
    </row>
    <row r="1736">
      <c r="A1736" s="12" t="n"/>
      <c r="W1736" s="13" t="n"/>
      <c r="AB1736" s="13" t="n"/>
    </row>
    <row r="1737">
      <c r="A1737" s="12" t="n"/>
      <c r="W1737" s="13" t="n"/>
      <c r="AB1737" s="13" t="n"/>
    </row>
    <row r="1738">
      <c r="A1738" s="12" t="n"/>
      <c r="W1738" s="13" t="n"/>
      <c r="AB1738" s="13" t="n"/>
    </row>
    <row r="1739">
      <c r="A1739" s="12" t="n"/>
      <c r="W1739" s="13" t="n"/>
      <c r="AB1739" s="13" t="n"/>
    </row>
    <row r="1740">
      <c r="A1740" s="12" t="n"/>
      <c r="W1740" s="13" t="n"/>
      <c r="AB1740" s="13" t="n"/>
    </row>
    <row r="1741">
      <c r="A1741" s="12" t="n"/>
      <c r="W1741" s="13" t="n"/>
      <c r="AB1741" s="13" t="n"/>
    </row>
    <row r="1742">
      <c r="A1742" s="12" t="n"/>
      <c r="W1742" s="13" t="n"/>
      <c r="AB1742" s="13" t="n"/>
    </row>
    <row r="1743">
      <c r="A1743" s="12" t="n"/>
      <c r="W1743" s="13" t="n"/>
      <c r="AB1743" s="13" t="n"/>
    </row>
    <row r="1744">
      <c r="A1744" s="12" t="n"/>
      <c r="W1744" s="13" t="n"/>
      <c r="AB1744" s="13" t="n"/>
    </row>
    <row r="1745">
      <c r="A1745" s="12" t="n"/>
      <c r="W1745" s="13" t="n"/>
      <c r="AB1745" s="13" t="n"/>
    </row>
    <row r="1746">
      <c r="A1746" s="12" t="n"/>
      <c r="W1746" s="13" t="n"/>
      <c r="AB1746" s="13" t="n"/>
    </row>
    <row r="1747">
      <c r="A1747" s="12" t="n"/>
      <c r="W1747" s="13" t="n"/>
      <c r="AB1747" s="13" t="n"/>
    </row>
    <row r="1748">
      <c r="A1748" s="12" t="n"/>
      <c r="W1748" s="13" t="n"/>
      <c r="AB1748" s="13" t="n"/>
    </row>
    <row r="1749">
      <c r="A1749" s="12" t="n"/>
      <c r="W1749" s="13" t="n"/>
      <c r="AB1749" s="13" t="n"/>
    </row>
    <row r="1750">
      <c r="A1750" s="12" t="n"/>
      <c r="W1750" s="13" t="n"/>
      <c r="AB1750" s="13" t="n"/>
    </row>
    <row r="1751">
      <c r="A1751" s="12" t="n"/>
      <c r="W1751" s="13" t="n"/>
      <c r="AB1751" s="13" t="n"/>
    </row>
    <row r="1752">
      <c r="A1752" s="12" t="n"/>
      <c r="W1752" s="13" t="n"/>
      <c r="AB1752" s="13" t="n"/>
    </row>
    <row r="1753">
      <c r="A1753" s="12" t="n"/>
      <c r="W1753" s="13" t="n"/>
      <c r="AB1753" s="13" t="n"/>
    </row>
    <row r="1754">
      <c r="A1754" s="12" t="n"/>
      <c r="W1754" s="13" t="n"/>
      <c r="AB1754" s="13" t="n"/>
    </row>
    <row r="1755">
      <c r="A1755" s="12" t="n"/>
      <c r="W1755" s="13" t="n"/>
      <c r="AB1755" s="13" t="n"/>
    </row>
    <row r="1756">
      <c r="A1756" s="12" t="n"/>
      <c r="W1756" s="13" t="n"/>
      <c r="AB1756" s="13" t="n"/>
    </row>
    <row r="1757">
      <c r="A1757" s="12" t="n"/>
      <c r="W1757" s="13" t="n"/>
      <c r="AB1757" s="13" t="n"/>
    </row>
    <row r="1758">
      <c r="A1758" s="12" t="n"/>
      <c r="W1758" s="13" t="n"/>
      <c r="AB1758" s="13" t="n"/>
    </row>
    <row r="1759">
      <c r="A1759" s="12" t="n"/>
      <c r="W1759" s="13" t="n"/>
      <c r="AB1759" s="13" t="n"/>
    </row>
    <row r="1760">
      <c r="A1760" s="12" t="n"/>
      <c r="W1760" s="13" t="n"/>
      <c r="AB1760" s="13" t="n"/>
    </row>
    <row r="1761">
      <c r="A1761" s="12" t="n"/>
      <c r="W1761" s="13" t="n"/>
      <c r="AB1761" s="13" t="n"/>
    </row>
    <row r="1762">
      <c r="A1762" s="12" t="n"/>
      <c r="W1762" s="13" t="n"/>
      <c r="AB1762" s="13" t="n"/>
    </row>
    <row r="1763">
      <c r="A1763" s="12" t="n"/>
      <c r="W1763" s="13" t="n"/>
      <c r="AB1763" s="13" t="n"/>
    </row>
    <row r="1764">
      <c r="A1764" s="12" t="n"/>
      <c r="W1764" s="13" t="n"/>
      <c r="AB1764" s="13" t="n"/>
    </row>
    <row r="1765">
      <c r="A1765" s="12" t="n"/>
      <c r="W1765" s="13" t="n"/>
      <c r="AB1765" s="13" t="n"/>
    </row>
    <row r="1766">
      <c r="A1766" s="12" t="n"/>
      <c r="W1766" s="13" t="n"/>
      <c r="AB1766" s="13" t="n"/>
    </row>
    <row r="1767">
      <c r="A1767" s="12" t="n"/>
      <c r="W1767" s="13" t="n"/>
      <c r="AB1767" s="13" t="n"/>
    </row>
    <row r="1768">
      <c r="A1768" s="12" t="n"/>
      <c r="W1768" s="13" t="n"/>
      <c r="AB1768" s="13" t="n"/>
    </row>
    <row r="1769">
      <c r="A1769" s="12" t="n"/>
      <c r="W1769" s="13" t="n"/>
      <c r="AB1769" s="13" t="n"/>
    </row>
    <row r="1770">
      <c r="A1770" s="12" t="n"/>
      <c r="W1770" s="13" t="n"/>
      <c r="AB1770" s="13" t="n"/>
    </row>
    <row r="1771">
      <c r="A1771" s="12" t="n"/>
      <c r="W1771" s="13" t="n"/>
      <c r="AB1771" s="13" t="n"/>
    </row>
    <row r="1772">
      <c r="A1772" s="12" t="n"/>
      <c r="W1772" s="13" t="n"/>
      <c r="AB1772" s="13" t="n"/>
    </row>
    <row r="1773">
      <c r="A1773" s="12" t="n"/>
      <c r="W1773" s="13" t="n"/>
      <c r="AB1773" s="13" t="n"/>
    </row>
    <row r="1774">
      <c r="A1774" s="12" t="n"/>
      <c r="W1774" s="13" t="n"/>
      <c r="AB1774" s="13" t="n"/>
    </row>
    <row r="1775">
      <c r="A1775" s="12" t="n"/>
      <c r="W1775" s="13" t="n"/>
      <c r="AB1775" s="13" t="n"/>
    </row>
    <row r="1776">
      <c r="A1776" s="12" t="n"/>
      <c r="W1776" s="13" t="n"/>
      <c r="AB1776" s="13" t="n"/>
    </row>
    <row r="1777">
      <c r="A1777" s="12" t="n"/>
      <c r="W1777" s="13" t="n"/>
      <c r="AB1777" s="13" t="n"/>
    </row>
    <row r="1778">
      <c r="A1778" s="12" t="n"/>
      <c r="W1778" s="13" t="n"/>
      <c r="AB1778" s="13" t="n"/>
    </row>
    <row r="1779">
      <c r="A1779" s="12" t="n"/>
      <c r="W1779" s="13" t="n"/>
      <c r="AB1779" s="13" t="n"/>
    </row>
    <row r="1780">
      <c r="A1780" s="12" t="n"/>
      <c r="W1780" s="13" t="n"/>
      <c r="AB1780" s="13" t="n"/>
    </row>
    <row r="1781">
      <c r="A1781" s="12" t="n"/>
      <c r="W1781" s="13" t="n"/>
      <c r="AB1781" s="13" t="n"/>
    </row>
    <row r="1782">
      <c r="A1782" s="12" t="n"/>
      <c r="W1782" s="13" t="n"/>
      <c r="AB1782" s="13" t="n"/>
    </row>
    <row r="1783">
      <c r="A1783" s="12" t="n"/>
      <c r="W1783" s="13" t="n"/>
      <c r="AB1783" s="13" t="n"/>
    </row>
    <row r="1784">
      <c r="A1784" s="12" t="n"/>
      <c r="W1784" s="13" t="n"/>
      <c r="AB1784" s="13" t="n"/>
    </row>
    <row r="1785">
      <c r="A1785" s="12" t="n"/>
      <c r="W1785" s="13" t="n"/>
      <c r="AB1785" s="13" t="n"/>
    </row>
    <row r="1786">
      <c r="A1786" s="12" t="n"/>
      <c r="W1786" s="13" t="n"/>
      <c r="AB1786" s="13" t="n"/>
    </row>
    <row r="1787">
      <c r="A1787" s="12" t="n"/>
      <c r="W1787" s="13" t="n"/>
      <c r="AB1787" s="13" t="n"/>
    </row>
    <row r="1788">
      <c r="A1788" s="12" t="n"/>
      <c r="W1788" s="13" t="n"/>
      <c r="AB1788" s="13" t="n"/>
    </row>
    <row r="1789">
      <c r="A1789" s="12" t="n"/>
      <c r="W1789" s="13" t="n"/>
      <c r="AB1789" s="13" t="n"/>
    </row>
    <row r="1790">
      <c r="A1790" s="12" t="n"/>
      <c r="W1790" s="13" t="n"/>
      <c r="AB1790" s="13" t="n"/>
    </row>
    <row r="1791">
      <c r="A1791" s="12" t="n"/>
      <c r="W1791" s="13" t="n"/>
      <c r="AB1791" s="13" t="n"/>
    </row>
    <row r="1792">
      <c r="A1792" s="12" t="n"/>
      <c r="W1792" s="13" t="n"/>
      <c r="AB1792" s="13" t="n"/>
    </row>
    <row r="1793">
      <c r="A1793" s="12" t="n"/>
      <c r="W1793" s="13" t="n"/>
      <c r="AB1793" s="13" t="n"/>
    </row>
    <row r="1794">
      <c r="A1794" s="12" t="n"/>
      <c r="W1794" s="13" t="n"/>
      <c r="AB1794" s="13" t="n"/>
    </row>
    <row r="1795">
      <c r="A1795" s="12" t="n"/>
      <c r="W1795" s="13" t="n"/>
      <c r="AB1795" s="13" t="n"/>
    </row>
    <row r="1796">
      <c r="A1796" s="12" t="n"/>
      <c r="W1796" s="13" t="n"/>
      <c r="AB1796" s="13" t="n"/>
    </row>
    <row r="1797">
      <c r="A1797" s="12" t="n"/>
      <c r="W1797" s="13" t="n"/>
      <c r="AB1797" s="13" t="n"/>
    </row>
    <row r="1798">
      <c r="A1798" s="12" t="n"/>
      <c r="W1798" s="13" t="n"/>
      <c r="AB1798" s="13" t="n"/>
    </row>
    <row r="1799">
      <c r="A1799" s="12" t="n"/>
      <c r="W1799" s="13" t="n"/>
      <c r="AB1799" s="13" t="n"/>
    </row>
    <row r="1800">
      <c r="A1800" s="12" t="n"/>
      <c r="W1800" s="13" t="n"/>
      <c r="AB1800" s="13" t="n"/>
    </row>
    <row r="1801">
      <c r="A1801" s="12" t="n"/>
      <c r="W1801" s="13" t="n"/>
      <c r="AB1801" s="13" t="n"/>
    </row>
    <row r="1802">
      <c r="A1802" s="12" t="n"/>
      <c r="W1802" s="13" t="n"/>
      <c r="AB1802" s="13" t="n"/>
    </row>
    <row r="1803">
      <c r="A1803" s="12" t="n"/>
      <c r="W1803" s="13" t="n"/>
      <c r="AB1803" s="13" t="n"/>
    </row>
    <row r="1804">
      <c r="A1804" s="12" t="n"/>
      <c r="W1804" s="13" t="n"/>
      <c r="AB1804" s="13" t="n"/>
    </row>
    <row r="1805">
      <c r="A1805" s="12" t="n"/>
      <c r="W1805" s="13" t="n"/>
      <c r="AB1805" s="13" t="n"/>
    </row>
    <row r="1806">
      <c r="A1806" s="12" t="n"/>
      <c r="W1806" s="13" t="n"/>
      <c r="AB1806" s="13" t="n"/>
    </row>
    <row r="1807">
      <c r="A1807" s="12" t="n"/>
      <c r="W1807" s="13" t="n"/>
      <c r="AB1807" s="13" t="n"/>
    </row>
    <row r="1808">
      <c r="A1808" s="12" t="n"/>
      <c r="W1808" s="13" t="n"/>
      <c r="AB1808" s="13" t="n"/>
    </row>
    <row r="1809">
      <c r="A1809" s="12" t="n"/>
      <c r="W1809" s="13" t="n"/>
      <c r="AB1809" s="13" t="n"/>
    </row>
    <row r="1810">
      <c r="A1810" s="12" t="n"/>
      <c r="W1810" s="13" t="n"/>
      <c r="AB1810" s="13" t="n"/>
    </row>
    <row r="1811">
      <c r="A1811" s="12" t="n"/>
      <c r="W1811" s="13" t="n"/>
      <c r="AB1811" s="13" t="n"/>
    </row>
    <row r="1812">
      <c r="A1812" s="12" t="n"/>
      <c r="W1812" s="13" t="n"/>
      <c r="AB1812" s="13" t="n"/>
    </row>
    <row r="1813">
      <c r="A1813" s="12" t="n"/>
      <c r="W1813" s="13" t="n"/>
      <c r="AB1813" s="13" t="n"/>
    </row>
    <row r="1814">
      <c r="A1814" s="12" t="n"/>
      <c r="W1814" s="13" t="n"/>
      <c r="AB1814" s="13" t="n"/>
    </row>
    <row r="1815">
      <c r="A1815" s="12" t="n"/>
      <c r="W1815" s="13" t="n"/>
      <c r="AB1815" s="13" t="n"/>
    </row>
    <row r="1816">
      <c r="A1816" s="12" t="n"/>
      <c r="W1816" s="13" t="n"/>
      <c r="AB1816" s="13" t="n"/>
    </row>
    <row r="1817">
      <c r="A1817" s="12" t="n"/>
      <c r="W1817" s="13" t="n"/>
      <c r="AB1817" s="13" t="n"/>
    </row>
    <row r="1818">
      <c r="A1818" s="12" t="n"/>
      <c r="W1818" s="13" t="n"/>
      <c r="AB1818" s="13" t="n"/>
    </row>
    <row r="1819">
      <c r="A1819" s="12" t="n"/>
      <c r="W1819" s="13" t="n"/>
      <c r="AB1819" s="13" t="n"/>
    </row>
    <row r="1820">
      <c r="A1820" s="12" t="n"/>
      <c r="W1820" s="13" t="n"/>
      <c r="AB1820" s="13" t="n"/>
    </row>
    <row r="1821">
      <c r="A1821" s="12" t="n"/>
      <c r="W1821" s="13" t="n"/>
      <c r="AB1821" s="13" t="n"/>
    </row>
    <row r="1822">
      <c r="A1822" s="12" t="n"/>
      <c r="W1822" s="13" t="n"/>
      <c r="AB1822" s="13" t="n"/>
    </row>
    <row r="1823">
      <c r="A1823" s="12" t="n"/>
      <c r="W1823" s="13" t="n"/>
      <c r="AB1823" s="13" t="n"/>
    </row>
    <row r="1824">
      <c r="A1824" s="12" t="n"/>
      <c r="W1824" s="13" t="n"/>
      <c r="AB1824" s="13" t="n"/>
    </row>
    <row r="1825">
      <c r="A1825" s="12" t="n"/>
      <c r="W1825" s="13" t="n"/>
      <c r="AB1825" s="13" t="n"/>
    </row>
    <row r="1826">
      <c r="A1826" s="12" t="n"/>
      <c r="W1826" s="13" t="n"/>
      <c r="AB1826" s="13" t="n"/>
    </row>
    <row r="1827">
      <c r="A1827" s="12" t="n"/>
      <c r="W1827" s="13" t="n"/>
      <c r="AB1827" s="13" t="n"/>
    </row>
    <row r="1828">
      <c r="A1828" s="12" t="n"/>
      <c r="W1828" s="13" t="n"/>
      <c r="AB1828" s="13" t="n"/>
    </row>
    <row r="1829">
      <c r="A1829" s="12" t="n"/>
      <c r="W1829" s="13" t="n"/>
      <c r="AB1829" s="13" t="n"/>
    </row>
    <row r="1830">
      <c r="A1830" s="12" t="n"/>
      <c r="W1830" s="13" t="n"/>
      <c r="AB1830" s="13" t="n"/>
    </row>
    <row r="1831">
      <c r="A1831" s="12" t="n"/>
      <c r="W1831" s="13" t="n"/>
      <c r="AB1831" s="13" t="n"/>
    </row>
    <row r="1832">
      <c r="A1832" s="12" t="n"/>
      <c r="W1832" s="13" t="n"/>
      <c r="AB1832" s="13" t="n"/>
    </row>
    <row r="1833">
      <c r="A1833" s="12" t="n"/>
      <c r="W1833" s="13" t="n"/>
      <c r="AB1833" s="13" t="n"/>
    </row>
    <row r="1834">
      <c r="A1834" s="12" t="n"/>
      <c r="W1834" s="13" t="n"/>
      <c r="AB1834" s="13" t="n"/>
    </row>
    <row r="1835">
      <c r="A1835" s="12" t="n"/>
      <c r="W1835" s="13" t="n"/>
      <c r="AB1835" s="13" t="n"/>
    </row>
    <row r="1836">
      <c r="A1836" s="12" t="n"/>
      <c r="W1836" s="13" t="n"/>
      <c r="AB1836" s="13" t="n"/>
    </row>
    <row r="1837">
      <c r="A1837" s="12" t="n"/>
      <c r="W1837" s="13" t="n"/>
      <c r="AB1837" s="13" t="n"/>
    </row>
    <row r="1838">
      <c r="A1838" s="12" t="n"/>
      <c r="W1838" s="13" t="n"/>
      <c r="AB1838" s="13" t="n"/>
    </row>
    <row r="1839">
      <c r="A1839" s="12" t="n"/>
      <c r="W1839" s="13" t="n"/>
      <c r="AB1839" s="13" t="n"/>
    </row>
    <row r="1840">
      <c r="A1840" s="12" t="n"/>
      <c r="W1840" s="13" t="n"/>
      <c r="AB1840" s="13" t="n"/>
    </row>
    <row r="1841">
      <c r="A1841" s="12" t="n"/>
      <c r="W1841" s="13" t="n"/>
      <c r="AB1841" s="13" t="n"/>
    </row>
    <row r="1842">
      <c r="A1842" s="12" t="n"/>
      <c r="W1842" s="13" t="n"/>
      <c r="AB1842" s="13" t="n"/>
    </row>
    <row r="1843">
      <c r="A1843" s="12" t="n"/>
      <c r="W1843" s="13" t="n"/>
      <c r="AB1843" s="13" t="n"/>
    </row>
    <row r="1844">
      <c r="A1844" s="12" t="n"/>
      <c r="W1844" s="13" t="n"/>
      <c r="AB1844" s="13" t="n"/>
    </row>
    <row r="1845">
      <c r="A1845" s="12" t="n"/>
      <c r="W1845" s="13" t="n"/>
      <c r="AB1845" s="13" t="n"/>
    </row>
    <row r="1846">
      <c r="A1846" s="12" t="n"/>
      <c r="W1846" s="13" t="n"/>
      <c r="AB1846" s="13" t="n"/>
    </row>
    <row r="1847">
      <c r="A1847" s="12" t="n"/>
      <c r="W1847" s="13" t="n"/>
      <c r="AB1847" s="13" t="n"/>
    </row>
    <row r="1848">
      <c r="A1848" s="12" t="n"/>
      <c r="W1848" s="13" t="n"/>
      <c r="AB1848" s="13" t="n"/>
    </row>
    <row r="1849">
      <c r="A1849" s="12" t="n"/>
      <c r="W1849" s="13" t="n"/>
      <c r="AB1849" s="13" t="n"/>
    </row>
    <row r="1850">
      <c r="A1850" s="12" t="n"/>
      <c r="W1850" s="13" t="n"/>
      <c r="AB1850" s="13" t="n"/>
    </row>
    <row r="1851">
      <c r="A1851" s="12" t="n"/>
      <c r="W1851" s="13" t="n"/>
      <c r="AB1851" s="13" t="n"/>
    </row>
    <row r="1852">
      <c r="A1852" s="12" t="n"/>
      <c r="W1852" s="13" t="n"/>
      <c r="AB1852" s="13" t="n"/>
    </row>
    <row r="1853">
      <c r="A1853" s="12" t="n"/>
      <c r="W1853" s="13" t="n"/>
      <c r="AB1853" s="13" t="n"/>
    </row>
    <row r="1854">
      <c r="A1854" s="12" t="n"/>
      <c r="W1854" s="13" t="n"/>
      <c r="AB1854" s="13" t="n"/>
    </row>
    <row r="1855">
      <c r="A1855" s="12" t="n"/>
      <c r="W1855" s="13" t="n"/>
      <c r="AB1855" s="13" t="n"/>
    </row>
    <row r="1856">
      <c r="A1856" s="12" t="n"/>
      <c r="W1856" s="13" t="n"/>
      <c r="AB1856" s="13" t="n"/>
    </row>
    <row r="1857">
      <c r="A1857" s="12" t="n"/>
      <c r="W1857" s="13" t="n"/>
      <c r="AB1857" s="13" t="n"/>
    </row>
    <row r="1858">
      <c r="A1858" s="12" t="n"/>
      <c r="W1858" s="13" t="n"/>
      <c r="AB1858" s="13" t="n"/>
    </row>
    <row r="1859">
      <c r="A1859" s="12" t="n"/>
      <c r="W1859" s="13" t="n"/>
      <c r="AB1859" s="13" t="n"/>
    </row>
    <row r="1860">
      <c r="A1860" s="12" t="n"/>
      <c r="W1860" s="13" t="n"/>
      <c r="AB1860" s="13" t="n"/>
    </row>
    <row r="1861">
      <c r="A1861" s="12" t="n"/>
      <c r="W1861" s="13" t="n"/>
      <c r="AB1861" s="13" t="n"/>
    </row>
    <row r="1862">
      <c r="A1862" s="12" t="n"/>
      <c r="W1862" s="13" t="n"/>
      <c r="AB1862" s="13" t="n"/>
    </row>
    <row r="1863">
      <c r="A1863" s="12" t="n"/>
      <c r="W1863" s="13" t="n"/>
      <c r="AB1863" s="13" t="n"/>
    </row>
    <row r="1864">
      <c r="A1864" s="12" t="n"/>
      <c r="W1864" s="13" t="n"/>
      <c r="AB1864" s="13" t="n"/>
    </row>
    <row r="1865">
      <c r="A1865" s="12" t="n"/>
      <c r="W1865" s="13" t="n"/>
      <c r="AB1865" s="13" t="n"/>
    </row>
    <row r="1866">
      <c r="A1866" s="12" t="n"/>
      <c r="W1866" s="13" t="n"/>
      <c r="AB1866" s="13" t="n"/>
    </row>
    <row r="1867">
      <c r="A1867" s="12" t="n"/>
      <c r="W1867" s="13" t="n"/>
      <c r="AB1867" s="13" t="n"/>
    </row>
    <row r="1868">
      <c r="A1868" s="12" t="n"/>
      <c r="W1868" s="13" t="n"/>
      <c r="AB1868" s="13" t="n"/>
    </row>
    <row r="1869">
      <c r="A1869" s="12" t="n"/>
      <c r="W1869" s="13" t="n"/>
      <c r="AB1869" s="13" t="n"/>
    </row>
    <row r="1870">
      <c r="A1870" s="12" t="n"/>
      <c r="W1870" s="13" t="n"/>
      <c r="AB1870" s="13" t="n"/>
    </row>
    <row r="1871">
      <c r="A1871" s="12" t="n"/>
      <c r="W1871" s="13" t="n"/>
      <c r="AB1871" s="13" t="n"/>
    </row>
    <row r="1872">
      <c r="A1872" s="12" t="n"/>
      <c r="W1872" s="13" t="n"/>
      <c r="AB1872" s="13" t="n"/>
    </row>
    <row r="1873">
      <c r="A1873" s="12" t="n"/>
      <c r="W1873" s="13" t="n"/>
      <c r="AB1873" s="13" t="n"/>
    </row>
    <row r="1874">
      <c r="A1874" s="12" t="n"/>
      <c r="W1874" s="13" t="n"/>
      <c r="AB1874" s="13" t="n"/>
    </row>
    <row r="1875">
      <c r="A1875" s="12" t="n"/>
      <c r="W1875" s="13" t="n"/>
      <c r="AB1875" s="13" t="n"/>
    </row>
    <row r="1876">
      <c r="A1876" s="12" t="n"/>
      <c r="W1876" s="13" t="n"/>
      <c r="AB1876" s="13" t="n"/>
    </row>
    <row r="1877">
      <c r="A1877" s="12" t="n"/>
      <c r="W1877" s="13" t="n"/>
      <c r="AB1877" s="13" t="n"/>
    </row>
    <row r="1878">
      <c r="A1878" s="12" t="n"/>
      <c r="W1878" s="13" t="n"/>
      <c r="AB1878" s="13" t="n"/>
    </row>
    <row r="1879">
      <c r="A1879" s="12" t="n"/>
      <c r="W1879" s="13" t="n"/>
      <c r="AB1879" s="13" t="n"/>
    </row>
    <row r="1880">
      <c r="A1880" s="12" t="n"/>
      <c r="W1880" s="13" t="n"/>
      <c r="AB1880" s="13" t="n"/>
    </row>
    <row r="1881">
      <c r="A1881" s="12" t="n"/>
      <c r="W1881" s="13" t="n"/>
      <c r="AB1881" s="13" t="n"/>
    </row>
    <row r="1882">
      <c r="A1882" s="12" t="n"/>
      <c r="W1882" s="13" t="n"/>
      <c r="AB1882" s="13" t="n"/>
    </row>
    <row r="1883">
      <c r="A1883" s="12" t="n"/>
      <c r="W1883" s="13" t="n"/>
      <c r="AB1883" s="13" t="n"/>
    </row>
    <row r="1884">
      <c r="A1884" s="12" t="n"/>
      <c r="W1884" s="13" t="n"/>
      <c r="AB1884" s="13" t="n"/>
    </row>
    <row r="1885">
      <c r="A1885" s="12" t="n"/>
      <c r="W1885" s="13" t="n"/>
      <c r="AB1885" s="13" t="n"/>
    </row>
    <row r="1886">
      <c r="A1886" s="12" t="n"/>
      <c r="W1886" s="13" t="n"/>
      <c r="AB1886" s="13" t="n"/>
    </row>
    <row r="1887">
      <c r="A1887" s="12" t="n"/>
      <c r="W1887" s="13" t="n"/>
      <c r="AB1887" s="13" t="n"/>
    </row>
    <row r="1888">
      <c r="A1888" s="12" t="n"/>
      <c r="W1888" s="13" t="n"/>
      <c r="AB1888" s="13" t="n"/>
    </row>
    <row r="1889">
      <c r="A1889" s="12" t="n"/>
      <c r="W1889" s="13" t="n"/>
      <c r="AB1889" s="13" t="n"/>
    </row>
    <row r="1890">
      <c r="A1890" s="12" t="n"/>
      <c r="W1890" s="13" t="n"/>
      <c r="AB1890" s="13" t="n"/>
    </row>
    <row r="1891">
      <c r="A1891" s="12" t="n"/>
      <c r="W1891" s="13" t="n"/>
      <c r="AB1891" s="13" t="n"/>
    </row>
    <row r="1892">
      <c r="A1892" s="12" t="n"/>
      <c r="W1892" s="13" t="n"/>
      <c r="AB1892" s="13" t="n"/>
    </row>
    <row r="1893">
      <c r="A1893" s="12" t="n"/>
      <c r="W1893" s="13" t="n"/>
      <c r="AB1893" s="13" t="n"/>
    </row>
    <row r="1894">
      <c r="A1894" s="12" t="n"/>
      <c r="W1894" s="13" t="n"/>
      <c r="AB1894" s="13" t="n"/>
    </row>
    <row r="1895">
      <c r="A1895" s="12" t="n"/>
      <c r="W1895" s="13" t="n"/>
      <c r="AB1895" s="13" t="n"/>
    </row>
    <row r="1896">
      <c r="A1896" s="12" t="n"/>
      <c r="W1896" s="13" t="n"/>
      <c r="AB1896" s="13" t="n"/>
    </row>
    <row r="1897">
      <c r="A1897" s="12" t="n"/>
      <c r="W1897" s="13" t="n"/>
      <c r="AB1897" s="13" t="n"/>
    </row>
    <row r="1898">
      <c r="A1898" s="12" t="n"/>
      <c r="W1898" s="13" t="n"/>
      <c r="AB1898" s="13" t="n"/>
    </row>
    <row r="1899">
      <c r="A1899" s="12" t="n"/>
      <c r="W1899" s="13" t="n"/>
      <c r="AB1899" s="13" t="n"/>
    </row>
    <row r="1900">
      <c r="A1900" s="12" t="n"/>
      <c r="W1900" s="13" t="n"/>
      <c r="AB1900" s="13" t="n"/>
    </row>
    <row r="1901">
      <c r="A1901" s="12" t="n"/>
      <c r="W1901" s="13" t="n"/>
      <c r="AB1901" s="13" t="n"/>
    </row>
    <row r="1902">
      <c r="A1902" s="12" t="n"/>
      <c r="W1902" s="13" t="n"/>
      <c r="AB1902" s="13" t="n"/>
    </row>
    <row r="1903">
      <c r="A1903" s="12" t="n"/>
      <c r="W1903" s="13" t="n"/>
      <c r="AB1903" s="13" t="n"/>
    </row>
    <row r="1904">
      <c r="A1904" s="12" t="n"/>
      <c r="W1904" s="13" t="n"/>
      <c r="AB1904" s="13" t="n"/>
    </row>
    <row r="1905">
      <c r="A1905" s="12" t="n"/>
      <c r="W1905" s="13" t="n"/>
      <c r="AB1905" s="13" t="n"/>
    </row>
    <row r="1906">
      <c r="A1906" s="12" t="n"/>
      <c r="W1906" s="13" t="n"/>
      <c r="AB1906" s="13" t="n"/>
    </row>
    <row r="1907">
      <c r="A1907" s="12" t="n"/>
      <c r="W1907" s="13" t="n"/>
      <c r="AB1907" s="13" t="n"/>
    </row>
    <row r="1908">
      <c r="A1908" s="12" t="n"/>
      <c r="W1908" s="13" t="n"/>
      <c r="AB1908" s="13" t="n"/>
    </row>
    <row r="1909">
      <c r="A1909" s="12" t="n"/>
      <c r="W1909" s="13" t="n"/>
      <c r="AB1909" s="13" t="n"/>
    </row>
    <row r="1910">
      <c r="A1910" s="12" t="n"/>
      <c r="W1910" s="13" t="n"/>
      <c r="AB1910" s="13" t="n"/>
    </row>
    <row r="1911">
      <c r="A1911" s="12" t="n"/>
      <c r="W1911" s="13" t="n"/>
      <c r="AB1911" s="13" t="n"/>
    </row>
    <row r="1912">
      <c r="A1912" s="12" t="n"/>
      <c r="W1912" s="13" t="n"/>
      <c r="AB1912" s="13" t="n"/>
    </row>
    <row r="1913">
      <c r="A1913" s="12" t="n"/>
      <c r="W1913" s="13" t="n"/>
      <c r="AB1913" s="13" t="n"/>
    </row>
    <row r="1914">
      <c r="A1914" s="12" t="n"/>
      <c r="W1914" s="13" t="n"/>
      <c r="AB1914" s="13" t="n"/>
    </row>
    <row r="1915">
      <c r="A1915" s="12" t="n"/>
      <c r="W1915" s="13" t="n"/>
      <c r="AB1915" s="13" t="n"/>
    </row>
    <row r="1916">
      <c r="A1916" s="12" t="n"/>
      <c r="W1916" s="13" t="n"/>
      <c r="AB1916" s="13" t="n"/>
    </row>
    <row r="1917">
      <c r="A1917" s="12" t="n"/>
      <c r="W1917" s="13" t="n"/>
      <c r="AB1917" s="13" t="n"/>
    </row>
    <row r="1918">
      <c r="A1918" s="12" t="n"/>
      <c r="W1918" s="13" t="n"/>
      <c r="AB1918" s="13" t="n"/>
    </row>
    <row r="1919">
      <c r="A1919" s="12" t="n"/>
      <c r="W1919" s="13" t="n"/>
      <c r="AB1919" s="13" t="n"/>
    </row>
    <row r="1920">
      <c r="A1920" s="12" t="n"/>
      <c r="W1920" s="13" t="n"/>
      <c r="AB1920" s="13" t="n"/>
    </row>
    <row r="1921">
      <c r="A1921" s="12" t="n"/>
      <c r="W1921" s="13" t="n"/>
      <c r="AB1921" s="13" t="n"/>
    </row>
    <row r="1922">
      <c r="A1922" s="12" t="n"/>
      <c r="W1922" s="13" t="n"/>
      <c r="AB1922" s="13" t="n"/>
    </row>
    <row r="1923">
      <c r="A1923" s="12" t="n"/>
      <c r="W1923" s="13" t="n"/>
      <c r="AB1923" s="13" t="n"/>
    </row>
    <row r="1924">
      <c r="A1924" s="12" t="n"/>
      <c r="W1924" s="13" t="n"/>
      <c r="AB1924" s="13" t="n"/>
    </row>
    <row r="1925">
      <c r="A1925" s="12" t="n"/>
      <c r="W1925" s="13" t="n"/>
      <c r="AB1925" s="13" t="n"/>
    </row>
    <row r="1926">
      <c r="A1926" s="12" t="n"/>
      <c r="W1926" s="13" t="n"/>
      <c r="AB1926" s="13" t="n"/>
    </row>
    <row r="1927">
      <c r="A1927" s="12" t="n"/>
      <c r="W1927" s="13" t="n"/>
      <c r="AB1927" s="13" t="n"/>
    </row>
    <row r="1928">
      <c r="A1928" s="12" t="n"/>
      <c r="W1928" s="13" t="n"/>
      <c r="AB1928" s="13" t="n"/>
    </row>
    <row r="1929">
      <c r="A1929" s="12" t="n"/>
      <c r="W1929" s="13" t="n"/>
      <c r="AB1929" s="13" t="n"/>
    </row>
    <row r="1930">
      <c r="A1930" s="12" t="n"/>
      <c r="W1930" s="13" t="n"/>
      <c r="AB1930" s="13" t="n"/>
    </row>
    <row r="1931">
      <c r="A1931" s="12" t="n"/>
      <c r="W1931" s="13" t="n"/>
      <c r="AB1931" s="13" t="n"/>
    </row>
    <row r="1932">
      <c r="A1932" s="12" t="n"/>
      <c r="W1932" s="13" t="n"/>
      <c r="AB1932" s="13" t="n"/>
    </row>
    <row r="1933">
      <c r="A1933" s="12" t="n"/>
      <c r="W1933" s="13" t="n"/>
      <c r="AB1933" s="13" t="n"/>
    </row>
    <row r="1934">
      <c r="A1934" s="12" t="n"/>
      <c r="W1934" s="13" t="n"/>
      <c r="AB1934" s="13" t="n"/>
    </row>
    <row r="1935">
      <c r="A1935" s="12" t="n"/>
      <c r="W1935" s="13" t="n"/>
      <c r="AB1935" s="13" t="n"/>
    </row>
    <row r="1936">
      <c r="A1936" s="12" t="n"/>
      <c r="W1936" s="13" t="n"/>
      <c r="AB1936" s="13" t="n"/>
    </row>
    <row r="1937">
      <c r="A1937" s="12" t="n"/>
      <c r="W1937" s="13" t="n"/>
      <c r="AB1937" s="13" t="n"/>
    </row>
    <row r="1938">
      <c r="A1938" s="12" t="n"/>
      <c r="W1938" s="13" t="n"/>
      <c r="AB1938" s="13" t="n"/>
    </row>
    <row r="1939">
      <c r="A1939" s="12" t="n"/>
      <c r="W1939" s="13" t="n"/>
      <c r="AB1939" s="13" t="n"/>
    </row>
    <row r="1940">
      <c r="A1940" s="12" t="n"/>
      <c r="W1940" s="13" t="n"/>
      <c r="AB1940" s="13" t="n"/>
    </row>
    <row r="1941">
      <c r="A1941" s="12" t="n"/>
      <c r="W1941" s="13" t="n"/>
      <c r="AB1941" s="13" t="n"/>
    </row>
    <row r="1942">
      <c r="A1942" s="12" t="n"/>
      <c r="W1942" s="13" t="n"/>
      <c r="AB1942" s="13" t="n"/>
    </row>
    <row r="1943">
      <c r="A1943" s="12" t="n"/>
      <c r="W1943" s="13" t="n"/>
      <c r="AB1943" s="13" t="n"/>
    </row>
    <row r="1944">
      <c r="A1944" s="12" t="n"/>
      <c r="W1944" s="13" t="n"/>
      <c r="AB1944" s="13" t="n"/>
    </row>
    <row r="1945">
      <c r="A1945" s="12" t="n"/>
      <c r="W1945" s="13" t="n"/>
      <c r="AB1945" s="13" t="n"/>
    </row>
    <row r="1946">
      <c r="A1946" s="12" t="n"/>
      <c r="W1946" s="13" t="n"/>
      <c r="AB1946" s="13" t="n"/>
    </row>
    <row r="1947">
      <c r="A1947" s="12" t="n"/>
      <c r="W1947" s="13" t="n"/>
      <c r="AB1947" s="13" t="n"/>
    </row>
    <row r="1948">
      <c r="A1948" s="12" t="n"/>
      <c r="W1948" s="13" t="n"/>
      <c r="AB1948" s="13" t="n"/>
    </row>
    <row r="1949">
      <c r="A1949" s="12" t="n"/>
      <c r="W1949" s="13" t="n"/>
      <c r="AB1949" s="13" t="n"/>
    </row>
    <row r="1950">
      <c r="A1950" s="12" t="n"/>
      <c r="W1950" s="13" t="n"/>
      <c r="AB1950" s="13" t="n"/>
    </row>
    <row r="1951">
      <c r="A1951" s="12" t="n"/>
      <c r="W1951" s="13" t="n"/>
      <c r="AB1951" s="13" t="n"/>
    </row>
    <row r="1952">
      <c r="A1952" s="12" t="n"/>
      <c r="W1952" s="13" t="n"/>
      <c r="AB1952" s="13" t="n"/>
    </row>
    <row r="1953">
      <c r="A1953" s="12" t="n"/>
      <c r="W1953" s="13" t="n"/>
      <c r="AB1953" s="13" t="n"/>
    </row>
    <row r="1954">
      <c r="A1954" s="12" t="n"/>
      <c r="W1954" s="13" t="n"/>
      <c r="AB1954" s="13" t="n"/>
    </row>
    <row r="1955">
      <c r="A1955" s="12" t="n"/>
      <c r="W1955" s="13" t="n"/>
      <c r="AB1955" s="13" t="n"/>
    </row>
    <row r="1956">
      <c r="A1956" s="12" t="n"/>
      <c r="W1956" s="13" t="n"/>
      <c r="AB1956" s="13" t="n"/>
    </row>
    <row r="1957">
      <c r="A1957" s="12" t="n"/>
      <c r="W1957" s="13" t="n"/>
      <c r="AB1957" s="13" t="n"/>
    </row>
    <row r="1958">
      <c r="A1958" s="12" t="n"/>
      <c r="W1958" s="13" t="n"/>
      <c r="AB1958" s="13" t="n"/>
    </row>
    <row r="1959">
      <c r="A1959" s="12" t="n"/>
      <c r="W1959" s="13" t="n"/>
      <c r="AB1959" s="13" t="n"/>
    </row>
    <row r="1960">
      <c r="A1960" s="12" t="n"/>
      <c r="W1960" s="13" t="n"/>
      <c r="AB1960" s="13" t="n"/>
    </row>
    <row r="1961">
      <c r="A1961" s="12" t="n"/>
      <c r="W1961" s="13" t="n"/>
      <c r="AB1961" s="13" t="n"/>
    </row>
    <row r="1962">
      <c r="A1962" s="12" t="n"/>
      <c r="W1962" s="13" t="n"/>
      <c r="AB1962" s="13" t="n"/>
    </row>
    <row r="1963">
      <c r="A1963" s="12" t="n"/>
      <c r="W1963" s="13" t="n"/>
      <c r="AB1963" s="13" t="n"/>
    </row>
    <row r="1964">
      <c r="A1964" s="12" t="n"/>
      <c r="W1964" s="13" t="n"/>
      <c r="AB1964" s="13" t="n"/>
    </row>
    <row r="1965">
      <c r="A1965" s="12" t="n"/>
      <c r="W1965" s="13" t="n"/>
      <c r="AB1965" s="13" t="n"/>
    </row>
    <row r="1966">
      <c r="A1966" s="12" t="n"/>
      <c r="W1966" s="13" t="n"/>
      <c r="AB1966" s="13" t="n"/>
    </row>
    <row r="1967">
      <c r="A1967" s="12" t="n"/>
      <c r="W1967" s="13" t="n"/>
      <c r="AB1967" s="13" t="n"/>
    </row>
    <row r="1968">
      <c r="A1968" s="12" t="n"/>
      <c r="W1968" s="13" t="n"/>
      <c r="AB1968" s="13" t="n"/>
    </row>
    <row r="1969">
      <c r="A1969" s="12" t="n"/>
      <c r="W1969" s="13" t="n"/>
      <c r="AB1969" s="13" t="n"/>
    </row>
    <row r="1970">
      <c r="A1970" s="12" t="n"/>
      <c r="W1970" s="13" t="n"/>
      <c r="AB1970" s="13" t="n"/>
    </row>
    <row r="1971">
      <c r="A1971" s="12" t="n"/>
      <c r="W1971" s="13" t="n"/>
      <c r="AB1971" s="13" t="n"/>
    </row>
    <row r="1972">
      <c r="A1972" s="12" t="n"/>
      <c r="W1972" s="13" t="n"/>
      <c r="AB1972" s="13" t="n"/>
    </row>
    <row r="1973">
      <c r="A1973" s="12" t="n"/>
      <c r="W1973" s="13" t="n"/>
      <c r="AB1973" s="13" t="n"/>
    </row>
    <row r="1974">
      <c r="A1974" s="12" t="n"/>
      <c r="W1974" s="13" t="n"/>
      <c r="AB1974" s="13" t="n"/>
    </row>
    <row r="1975">
      <c r="A1975" s="12" t="n"/>
      <c r="W1975" s="13" t="n"/>
      <c r="AB1975" s="13" t="n"/>
    </row>
    <row r="1976">
      <c r="A1976" s="12" t="n"/>
      <c r="W1976" s="13" t="n"/>
      <c r="AB1976" s="13" t="n"/>
    </row>
    <row r="1977">
      <c r="A1977" s="12" t="n"/>
      <c r="W1977" s="13" t="n"/>
      <c r="AB1977" s="13" t="n"/>
    </row>
    <row r="1978">
      <c r="A1978" s="12" t="n"/>
      <c r="W1978" s="13" t="n"/>
      <c r="AB1978" s="13" t="n"/>
    </row>
    <row r="1979">
      <c r="A1979" s="12" t="n"/>
      <c r="W1979" s="13" t="n"/>
      <c r="AB1979" s="13" t="n"/>
    </row>
    <row r="1980">
      <c r="A1980" s="12" t="n"/>
      <c r="W1980" s="13" t="n"/>
      <c r="AB1980" s="13" t="n"/>
    </row>
    <row r="1981">
      <c r="A1981" s="12" t="n"/>
      <c r="W1981" s="13" t="n"/>
      <c r="AB1981" s="13" t="n"/>
    </row>
    <row r="1982">
      <c r="A1982" s="12" t="n"/>
      <c r="W1982" s="13" t="n"/>
      <c r="AB1982" s="13" t="n"/>
    </row>
    <row r="1983">
      <c r="A1983" s="12" t="n"/>
      <c r="W1983" s="13" t="n"/>
      <c r="AB1983" s="13" t="n"/>
    </row>
    <row r="1984">
      <c r="A1984" s="12" t="n"/>
      <c r="W1984" s="13" t="n"/>
      <c r="AB1984" s="13" t="n"/>
    </row>
    <row r="1985">
      <c r="A1985" s="12" t="n"/>
      <c r="W1985" s="13" t="n"/>
      <c r="AB1985" s="13" t="n"/>
    </row>
    <row r="1986">
      <c r="A1986" s="12" t="n"/>
      <c r="W1986" s="13" t="n"/>
      <c r="AB1986" s="13" t="n"/>
    </row>
    <row r="1987">
      <c r="A1987" s="12" t="n"/>
      <c r="W1987" s="13" t="n"/>
      <c r="AB1987" s="13" t="n"/>
    </row>
    <row r="1988">
      <c r="A1988" s="12" t="n"/>
      <c r="W1988" s="13" t="n"/>
      <c r="AB1988" s="13" t="n"/>
    </row>
    <row r="1989">
      <c r="A1989" s="12" t="n"/>
      <c r="W1989" s="13" t="n"/>
      <c r="AB1989" s="13" t="n"/>
    </row>
    <row r="1990">
      <c r="A1990" s="12" t="n"/>
      <c r="W1990" s="13" t="n"/>
      <c r="AB1990" s="13" t="n"/>
    </row>
    <row r="1991">
      <c r="A1991" s="12" t="n"/>
      <c r="W1991" s="13" t="n"/>
      <c r="AB1991" s="13" t="n"/>
    </row>
    <row r="1992">
      <c r="A1992" s="12" t="n"/>
      <c r="W1992" s="13" t="n"/>
      <c r="AB1992" s="13" t="n"/>
    </row>
    <row r="1993">
      <c r="A1993" s="12" t="n"/>
      <c r="W1993" s="13" t="n"/>
      <c r="AB1993" s="13" t="n"/>
    </row>
    <row r="1994">
      <c r="A1994" s="12" t="n"/>
      <c r="W1994" s="13" t="n"/>
      <c r="AB1994" s="13" t="n"/>
    </row>
    <row r="1995">
      <c r="A1995" s="12" t="n"/>
      <c r="W1995" s="13" t="n"/>
      <c r="AB1995" s="13" t="n"/>
    </row>
    <row r="1996">
      <c r="A1996" s="12" t="n"/>
      <c r="W1996" s="13" t="n"/>
      <c r="AB1996" s="13" t="n"/>
    </row>
    <row r="1997">
      <c r="A1997" s="12" t="n"/>
      <c r="W1997" s="13" t="n"/>
      <c r="AB1997" s="13" t="n"/>
    </row>
    <row r="1998">
      <c r="A1998" s="12" t="n"/>
      <c r="W1998" s="13" t="n"/>
      <c r="AB1998" s="13" t="n"/>
    </row>
    <row r="1999">
      <c r="A1999" s="12" t="n"/>
      <c r="W1999" s="13" t="n"/>
      <c r="AB1999" s="13" t="n"/>
    </row>
    <row r="2000">
      <c r="A2000" s="12" t="n"/>
      <c r="W2000" s="13" t="n"/>
      <c r="AB2000" s="13" t="n"/>
    </row>
    <row r="2001">
      <c r="A2001" s="12" t="n"/>
      <c r="W2001" s="13" t="n"/>
      <c r="AB2001" s="13" t="n"/>
    </row>
    <row r="2002">
      <c r="A2002" s="12" t="n"/>
      <c r="W2002" s="13" t="n"/>
      <c r="AB2002" s="13" t="n"/>
    </row>
    <row r="2003">
      <c r="A2003" s="12" t="n"/>
      <c r="W2003" s="13" t="n"/>
      <c r="AB2003" s="13" t="n"/>
    </row>
    <row r="2004">
      <c r="A2004" s="12" t="n"/>
      <c r="W2004" s="13" t="n"/>
      <c r="AB2004" s="13" t="n"/>
    </row>
    <row r="2005">
      <c r="A2005" s="12" t="n"/>
      <c r="W2005" s="13" t="n"/>
      <c r="AB2005" s="13" t="n"/>
    </row>
  </sheetData>
  <mergeCells count="2">
    <mergeCell ref="A1:AE1"/>
    <mergeCell ref="A2:AE2"/>
  </mergeCells>
  <dataValidations count="2">
    <dataValidation sqref="B6:B2005" showDropDown="0" showInputMessage="0" showErrorMessage="0" allowBlank="1" type="list">
      <formula1>"AM,PM,NIGHT"</formula1>
    </dataValidation>
    <dataValidation sqref="H6:H2005 AA6:AA2005" showDropDown="0" showInputMessage="0" showErrorMessage="0" allowBlank="1" type="list">
      <formula1>"710,711,712,713,714,715,716,717,718"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ACC15"/>
    <outlinePr summaryBelow="1" summaryRight="1"/>
    <pageSetUpPr/>
  </sheetPr>
  <dimension ref="A1:Q40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50" customWidth="1" min="16" max="16"/>
    <col width="13" customWidth="1" min="17" max="17"/>
  </cols>
  <sheetData>
    <row r="1" ht="30" customHeight="1">
      <c r="A1" s="1" t="inlineStr">
        <is>
          <t>DAY BOARD  |  DUTY PERSONNEL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18" customHeight="1">
      <c r="A2" s="3" t="inlineStr">
        <is>
          <t>Filled in by the dashboard's Ops Room tab: one row per day. Blank SXO, OPS O, SDO and BDO = whoever has that ground duty planned in the departments' plans that day.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5">
      <c r="A5" s="14" t="inlineStr">
        <is>
          <t>Date</t>
        </is>
      </c>
      <c r="B5" s="14" t="inlineStr">
        <is>
          <t>SXO</t>
        </is>
      </c>
      <c r="C5" s="14" t="inlineStr">
        <is>
          <t>OPS O</t>
        </is>
      </c>
      <c r="D5" s="14" t="inlineStr">
        <is>
          <t>SDO</t>
        </is>
      </c>
      <c r="E5" s="14" t="inlineStr">
        <is>
          <t>BDO</t>
        </is>
      </c>
      <c r="F5" s="14" t="inlineStr">
        <is>
          <t>Safety</t>
        </is>
      </c>
      <c r="G5" s="14" t="inlineStr">
        <is>
          <t>Prefect</t>
        </is>
      </c>
      <c r="H5" s="14" t="inlineStr">
        <is>
          <t>Security</t>
        </is>
      </c>
      <c r="I5" s="14" t="inlineStr">
        <is>
          <t>Intel 1</t>
        </is>
      </c>
      <c r="J5" s="14" t="inlineStr">
        <is>
          <t>Intel 2</t>
        </is>
      </c>
      <c r="K5" s="14" t="inlineStr">
        <is>
          <t>DOB</t>
        </is>
      </c>
      <c r="L5" s="14" t="inlineStr">
        <is>
          <t>Oscar</t>
        </is>
      </c>
      <c r="M5" s="14" t="inlineStr">
        <is>
          <t>Echo</t>
        </is>
      </c>
      <c r="N5" s="14" t="inlineStr">
        <is>
          <t>Nov</t>
        </is>
      </c>
      <c r="O5" s="14" t="inlineStr">
        <is>
          <t>CODES</t>
        </is>
      </c>
      <c r="P5" s="14" t="inlineStr">
        <is>
          <t>Remarks</t>
        </is>
      </c>
      <c r="Q5" s="14" t="inlineStr">
        <is>
          <t>Standby Sets</t>
        </is>
      </c>
    </row>
    <row r="6">
      <c r="A6" s="15">
        <f>IF(DATE(PlanYear,1,1)+0&lt;=DATE(PlanYear+1,1,31),DATE(PlanYear,1,1)+0,"")</f>
        <v/>
      </c>
      <c r="B6" s="16" t="n"/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6" t="n"/>
      <c r="Q6" s="16" t="n"/>
    </row>
    <row r="7">
      <c r="A7" s="15">
        <f>IF(DATE(PlanYear,1,1)+1&lt;=DATE(PlanYear+1,1,31),DATE(PlanYear,1,1)+1,"")</f>
        <v/>
      </c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</row>
    <row r="8">
      <c r="A8" s="15">
        <f>IF(DATE(PlanYear,1,1)+2&lt;=DATE(PlanYear+1,1,31),DATE(PlanYear,1,1)+2,"")</f>
        <v/>
      </c>
      <c r="B8" s="16" t="n"/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</row>
    <row r="9">
      <c r="A9" s="15">
        <f>IF(DATE(PlanYear,1,1)+3&lt;=DATE(PlanYear+1,1,31),DATE(PlanYear,1,1)+3,"")</f>
        <v/>
      </c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</row>
    <row r="10">
      <c r="A10" s="15">
        <f>IF(DATE(PlanYear,1,1)+4&lt;=DATE(PlanYear+1,1,31),DATE(PlanYear,1,1)+4,"")</f>
        <v/>
      </c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</row>
    <row r="11">
      <c r="A11" s="15">
        <f>IF(DATE(PlanYear,1,1)+5&lt;=DATE(PlanYear+1,1,31),DATE(PlanYear,1,1)+5,"")</f>
        <v/>
      </c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</row>
    <row r="12">
      <c r="A12" s="15">
        <f>IF(DATE(PlanYear,1,1)+6&lt;=DATE(PlanYear+1,1,31),DATE(PlanYear,1,1)+6,"")</f>
        <v/>
      </c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</row>
    <row r="13">
      <c r="A13" s="15">
        <f>IF(DATE(PlanYear,1,1)+7&lt;=DATE(PlanYear+1,1,31),DATE(PlanYear,1,1)+7,"")</f>
        <v/>
      </c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</row>
    <row r="14">
      <c r="A14" s="15">
        <f>IF(DATE(PlanYear,1,1)+8&lt;=DATE(PlanYear+1,1,31),DATE(PlanYear,1,1)+8,"")</f>
        <v/>
      </c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</row>
    <row r="15">
      <c r="A15" s="15">
        <f>IF(DATE(PlanYear,1,1)+9&lt;=DATE(PlanYear+1,1,31),DATE(PlanYear,1,1)+9,"")</f>
        <v/>
      </c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</row>
    <row r="16">
      <c r="A16" s="15">
        <f>IF(DATE(PlanYear,1,1)+10&lt;=DATE(PlanYear+1,1,31),DATE(PlanYear,1,1)+10,"")</f>
        <v/>
      </c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</row>
    <row r="17">
      <c r="A17" s="15">
        <f>IF(DATE(PlanYear,1,1)+11&lt;=DATE(PlanYear+1,1,31),DATE(PlanYear,1,1)+11,"")</f>
        <v/>
      </c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</row>
    <row r="18">
      <c r="A18" s="15">
        <f>IF(DATE(PlanYear,1,1)+12&lt;=DATE(PlanYear+1,1,31),DATE(PlanYear,1,1)+12,"")</f>
        <v/>
      </c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</row>
    <row r="19">
      <c r="A19" s="15">
        <f>IF(DATE(PlanYear,1,1)+13&lt;=DATE(PlanYear+1,1,31),DATE(PlanYear,1,1)+13,"")</f>
        <v/>
      </c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</row>
    <row r="20">
      <c r="A20" s="15">
        <f>IF(DATE(PlanYear,1,1)+14&lt;=DATE(PlanYear+1,1,31),DATE(PlanYear,1,1)+14,"")</f>
        <v/>
      </c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</row>
    <row r="21">
      <c r="A21" s="15">
        <f>IF(DATE(PlanYear,1,1)+15&lt;=DATE(PlanYear+1,1,31),DATE(PlanYear,1,1)+15,"")</f>
        <v/>
      </c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</row>
    <row r="22">
      <c r="A22" s="15">
        <f>IF(DATE(PlanYear,1,1)+16&lt;=DATE(PlanYear+1,1,31),DATE(PlanYear,1,1)+16,"")</f>
        <v/>
      </c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</row>
    <row r="23">
      <c r="A23" s="15">
        <f>IF(DATE(PlanYear,1,1)+17&lt;=DATE(PlanYear+1,1,31),DATE(PlanYear,1,1)+17,"")</f>
        <v/>
      </c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</row>
    <row r="24">
      <c r="A24" s="15">
        <f>IF(DATE(PlanYear,1,1)+18&lt;=DATE(PlanYear+1,1,31),DATE(PlanYear,1,1)+18,"")</f>
        <v/>
      </c>
      <c r="B24" s="16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</row>
    <row r="25">
      <c r="A25" s="15">
        <f>IF(DATE(PlanYear,1,1)+19&lt;=DATE(PlanYear+1,1,31),DATE(PlanYear,1,1)+19,"")</f>
        <v/>
      </c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</row>
    <row r="26">
      <c r="A26" s="15">
        <f>IF(DATE(PlanYear,1,1)+20&lt;=DATE(PlanYear+1,1,31),DATE(PlanYear,1,1)+20,"")</f>
        <v/>
      </c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</row>
    <row r="27">
      <c r="A27" s="15">
        <f>IF(DATE(PlanYear,1,1)+21&lt;=DATE(PlanYear+1,1,31),DATE(PlanYear,1,1)+21,"")</f>
        <v/>
      </c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</row>
    <row r="28">
      <c r="A28" s="15">
        <f>IF(DATE(PlanYear,1,1)+22&lt;=DATE(PlanYear+1,1,31),DATE(PlanYear,1,1)+22,"")</f>
        <v/>
      </c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</row>
    <row r="29">
      <c r="A29" s="15">
        <f>IF(DATE(PlanYear,1,1)+23&lt;=DATE(PlanYear+1,1,31),DATE(PlanYear,1,1)+23,"")</f>
        <v/>
      </c>
      <c r="B29" s="16" t="n"/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</row>
    <row r="30">
      <c r="A30" s="15">
        <f>IF(DATE(PlanYear,1,1)+24&lt;=DATE(PlanYear+1,1,31),DATE(PlanYear,1,1)+24,"")</f>
        <v/>
      </c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</row>
    <row r="31">
      <c r="A31" s="15">
        <f>IF(DATE(PlanYear,1,1)+25&lt;=DATE(PlanYear+1,1,31),DATE(PlanYear,1,1)+25,"")</f>
        <v/>
      </c>
      <c r="B31" s="16" t="n"/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</row>
    <row r="32">
      <c r="A32" s="15">
        <f>IF(DATE(PlanYear,1,1)+26&lt;=DATE(PlanYear+1,1,31),DATE(PlanYear,1,1)+26,"")</f>
        <v/>
      </c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</row>
    <row r="33">
      <c r="A33" s="15">
        <f>IF(DATE(PlanYear,1,1)+27&lt;=DATE(PlanYear+1,1,31),DATE(PlanYear,1,1)+27,"")</f>
        <v/>
      </c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</row>
    <row r="34">
      <c r="A34" s="15">
        <f>IF(DATE(PlanYear,1,1)+28&lt;=DATE(PlanYear+1,1,31),DATE(PlanYear,1,1)+28,"")</f>
        <v/>
      </c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</row>
    <row r="35">
      <c r="A35" s="15">
        <f>IF(DATE(PlanYear,1,1)+29&lt;=DATE(PlanYear+1,1,31),DATE(PlanYear,1,1)+29,"")</f>
        <v/>
      </c>
      <c r="B35" s="16" t="n"/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</row>
    <row r="36">
      <c r="A36" s="15">
        <f>IF(DATE(PlanYear,1,1)+30&lt;=DATE(PlanYear+1,1,31),DATE(PlanYear,1,1)+30,"")</f>
        <v/>
      </c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</row>
    <row r="37">
      <c r="A37" s="15">
        <f>IF(DATE(PlanYear,1,1)+31&lt;=DATE(PlanYear+1,1,31),DATE(PlanYear,1,1)+31,"")</f>
        <v/>
      </c>
      <c r="B37" s="16" t="n"/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</row>
    <row r="38">
      <c r="A38" s="15">
        <f>IF(DATE(PlanYear,1,1)+32&lt;=DATE(PlanYear+1,1,31),DATE(PlanYear,1,1)+32,"")</f>
        <v/>
      </c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</row>
    <row r="39">
      <c r="A39" s="15">
        <f>IF(DATE(PlanYear,1,1)+33&lt;=DATE(PlanYear+1,1,31),DATE(PlanYear,1,1)+33,"")</f>
        <v/>
      </c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</row>
    <row r="40">
      <c r="A40" s="15">
        <f>IF(DATE(PlanYear,1,1)+34&lt;=DATE(PlanYear+1,1,31),DATE(PlanYear,1,1)+34,"")</f>
        <v/>
      </c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</row>
    <row r="41">
      <c r="A41" s="15">
        <f>IF(DATE(PlanYear,1,1)+35&lt;=DATE(PlanYear+1,1,31),DATE(PlanYear,1,1)+35,"")</f>
        <v/>
      </c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</row>
    <row r="42">
      <c r="A42" s="15">
        <f>IF(DATE(PlanYear,1,1)+36&lt;=DATE(PlanYear+1,1,31),DATE(PlanYear,1,1)+36,"")</f>
        <v/>
      </c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</row>
    <row r="43">
      <c r="A43" s="15">
        <f>IF(DATE(PlanYear,1,1)+37&lt;=DATE(PlanYear+1,1,31),DATE(PlanYear,1,1)+37,"")</f>
        <v/>
      </c>
      <c r="B43" s="16" t="n"/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</row>
    <row r="44">
      <c r="A44" s="15">
        <f>IF(DATE(PlanYear,1,1)+38&lt;=DATE(PlanYear+1,1,31),DATE(PlanYear,1,1)+38,"")</f>
        <v/>
      </c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</row>
    <row r="45">
      <c r="A45" s="15">
        <f>IF(DATE(PlanYear,1,1)+39&lt;=DATE(PlanYear+1,1,31),DATE(PlanYear,1,1)+39,"")</f>
        <v/>
      </c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</row>
    <row r="46">
      <c r="A46" s="15">
        <f>IF(DATE(PlanYear,1,1)+40&lt;=DATE(PlanYear+1,1,31),DATE(PlanYear,1,1)+40,"")</f>
        <v/>
      </c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</row>
    <row r="47">
      <c r="A47" s="15">
        <f>IF(DATE(PlanYear,1,1)+41&lt;=DATE(PlanYear+1,1,31),DATE(PlanYear,1,1)+41,"")</f>
        <v/>
      </c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</row>
    <row r="48">
      <c r="A48" s="15">
        <f>IF(DATE(PlanYear,1,1)+42&lt;=DATE(PlanYear+1,1,31),DATE(PlanYear,1,1)+42,"")</f>
        <v/>
      </c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</row>
    <row r="49">
      <c r="A49" s="15">
        <f>IF(DATE(PlanYear,1,1)+43&lt;=DATE(PlanYear+1,1,31),DATE(PlanYear,1,1)+43,"")</f>
        <v/>
      </c>
      <c r="B49" s="16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</row>
    <row r="50">
      <c r="A50" s="15">
        <f>IF(DATE(PlanYear,1,1)+44&lt;=DATE(PlanYear+1,1,31),DATE(PlanYear,1,1)+44,"")</f>
        <v/>
      </c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</row>
    <row r="51">
      <c r="A51" s="15">
        <f>IF(DATE(PlanYear,1,1)+45&lt;=DATE(PlanYear+1,1,31),DATE(PlanYear,1,1)+45,"")</f>
        <v/>
      </c>
      <c r="B51" s="16" t="n"/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</row>
    <row r="52">
      <c r="A52" s="15">
        <f>IF(DATE(PlanYear,1,1)+46&lt;=DATE(PlanYear+1,1,31),DATE(PlanYear,1,1)+46,"")</f>
        <v/>
      </c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</row>
    <row r="53">
      <c r="A53" s="15">
        <f>IF(DATE(PlanYear,1,1)+47&lt;=DATE(PlanYear+1,1,31),DATE(PlanYear,1,1)+47,"")</f>
        <v/>
      </c>
      <c r="B53" s="16" t="n"/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</row>
    <row r="54">
      <c r="A54" s="15">
        <f>IF(DATE(PlanYear,1,1)+48&lt;=DATE(PlanYear+1,1,31),DATE(PlanYear,1,1)+48,"")</f>
        <v/>
      </c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</row>
    <row r="55">
      <c r="A55" s="15">
        <f>IF(DATE(PlanYear,1,1)+49&lt;=DATE(PlanYear+1,1,31),DATE(PlanYear,1,1)+49,"")</f>
        <v/>
      </c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</row>
    <row r="56">
      <c r="A56" s="15">
        <f>IF(DATE(PlanYear,1,1)+50&lt;=DATE(PlanYear+1,1,31),DATE(PlanYear,1,1)+50,"")</f>
        <v/>
      </c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</row>
    <row r="57">
      <c r="A57" s="15">
        <f>IF(DATE(PlanYear,1,1)+51&lt;=DATE(PlanYear+1,1,31),DATE(PlanYear,1,1)+51,"")</f>
        <v/>
      </c>
      <c r="B57" s="16" t="n"/>
      <c r="C57" s="16" t="n"/>
      <c r="D57" s="16" t="n"/>
      <c r="E57" s="16" t="n"/>
      <c r="F57" s="16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</row>
    <row r="58">
      <c r="A58" s="15">
        <f>IF(DATE(PlanYear,1,1)+52&lt;=DATE(PlanYear+1,1,31),DATE(PlanYear,1,1)+52,"")</f>
        <v/>
      </c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</row>
    <row r="59">
      <c r="A59" s="15">
        <f>IF(DATE(PlanYear,1,1)+53&lt;=DATE(PlanYear+1,1,31),DATE(PlanYear,1,1)+53,"")</f>
        <v/>
      </c>
      <c r="B59" s="16" t="n"/>
      <c r="C59" s="16" t="n"/>
      <c r="D59" s="16" t="n"/>
      <c r="E59" s="16" t="n"/>
      <c r="F59" s="16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</row>
    <row r="60">
      <c r="A60" s="15">
        <f>IF(DATE(PlanYear,1,1)+54&lt;=DATE(PlanYear+1,1,31),DATE(PlanYear,1,1)+54,"")</f>
        <v/>
      </c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</row>
    <row r="61">
      <c r="A61" s="15">
        <f>IF(DATE(PlanYear,1,1)+55&lt;=DATE(PlanYear+1,1,31),DATE(PlanYear,1,1)+55,"")</f>
        <v/>
      </c>
      <c r="B61" s="16" t="n"/>
      <c r="C61" s="16" t="n"/>
      <c r="D61" s="16" t="n"/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</row>
    <row r="62">
      <c r="A62" s="15">
        <f>IF(DATE(PlanYear,1,1)+56&lt;=DATE(PlanYear+1,1,31),DATE(PlanYear,1,1)+56,"")</f>
        <v/>
      </c>
      <c r="B62" s="16" t="n"/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</row>
    <row r="63">
      <c r="A63" s="15">
        <f>IF(DATE(PlanYear,1,1)+57&lt;=DATE(PlanYear+1,1,31),DATE(PlanYear,1,1)+57,"")</f>
        <v/>
      </c>
      <c r="B63" s="16" t="n"/>
      <c r="C63" s="16" t="n"/>
      <c r="D63" s="16" t="n"/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</row>
    <row r="64">
      <c r="A64" s="15">
        <f>IF(DATE(PlanYear,1,1)+58&lt;=DATE(PlanYear+1,1,31),DATE(PlanYear,1,1)+58,"")</f>
        <v/>
      </c>
      <c r="B64" s="16" t="n"/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</row>
    <row r="65">
      <c r="A65" s="15">
        <f>IF(DATE(PlanYear,1,1)+59&lt;=DATE(PlanYear+1,1,31),DATE(PlanYear,1,1)+59,"")</f>
        <v/>
      </c>
      <c r="B65" s="16" t="n"/>
      <c r="C65" s="16" t="n"/>
      <c r="D65" s="16" t="n"/>
      <c r="E65" s="16" t="n"/>
      <c r="F65" s="16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</row>
    <row r="66">
      <c r="A66" s="15">
        <f>IF(DATE(PlanYear,1,1)+60&lt;=DATE(PlanYear+1,1,31),DATE(PlanYear,1,1)+60,"")</f>
        <v/>
      </c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</row>
    <row r="67">
      <c r="A67" s="15">
        <f>IF(DATE(PlanYear,1,1)+61&lt;=DATE(PlanYear+1,1,31),DATE(PlanYear,1,1)+61,"")</f>
        <v/>
      </c>
      <c r="B67" s="16" t="n"/>
      <c r="C67" s="16" t="n"/>
      <c r="D67" s="16" t="n"/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  <c r="N67" s="16" t="n"/>
      <c r="O67" s="16" t="n"/>
      <c r="P67" s="16" t="n"/>
      <c r="Q67" s="16" t="n"/>
    </row>
    <row r="68">
      <c r="A68" s="15">
        <f>IF(DATE(PlanYear,1,1)+62&lt;=DATE(PlanYear+1,1,31),DATE(PlanYear,1,1)+62,"")</f>
        <v/>
      </c>
      <c r="B68" s="16" t="n"/>
      <c r="C68" s="16" t="n"/>
      <c r="D68" s="16" t="n"/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</row>
    <row r="69">
      <c r="A69" s="15">
        <f>IF(DATE(PlanYear,1,1)+63&lt;=DATE(PlanYear+1,1,31),DATE(PlanYear,1,1)+63,"")</f>
        <v/>
      </c>
      <c r="B69" s="16" t="n"/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6" t="n"/>
      <c r="P69" s="16" t="n"/>
      <c r="Q69" s="16" t="n"/>
    </row>
    <row r="70">
      <c r="A70" s="15">
        <f>IF(DATE(PlanYear,1,1)+64&lt;=DATE(PlanYear+1,1,31),DATE(PlanYear,1,1)+64,"")</f>
        <v/>
      </c>
      <c r="B70" s="16" t="n"/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</row>
    <row r="71">
      <c r="A71" s="15">
        <f>IF(DATE(PlanYear,1,1)+65&lt;=DATE(PlanYear+1,1,31),DATE(PlanYear,1,1)+65,"")</f>
        <v/>
      </c>
      <c r="B71" s="16" t="n"/>
      <c r="C71" s="16" t="n"/>
      <c r="D71" s="16" t="n"/>
      <c r="E71" s="16" t="n"/>
      <c r="F71" s="16" t="n"/>
      <c r="G71" s="16" t="n"/>
      <c r="H71" s="16" t="n"/>
      <c r="I71" s="16" t="n"/>
      <c r="J71" s="16" t="n"/>
      <c r="K71" s="16" t="n"/>
      <c r="L71" s="16" t="n"/>
      <c r="M71" s="16" t="n"/>
      <c r="N71" s="16" t="n"/>
      <c r="O71" s="16" t="n"/>
      <c r="P71" s="16" t="n"/>
      <c r="Q71" s="16" t="n"/>
    </row>
    <row r="72">
      <c r="A72" s="15">
        <f>IF(DATE(PlanYear,1,1)+66&lt;=DATE(PlanYear+1,1,31),DATE(PlanYear,1,1)+66,"")</f>
        <v/>
      </c>
      <c r="B72" s="16" t="n"/>
      <c r="C72" s="16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</row>
    <row r="73">
      <c r="A73" s="15">
        <f>IF(DATE(PlanYear,1,1)+67&lt;=DATE(PlanYear+1,1,31),DATE(PlanYear,1,1)+67,"")</f>
        <v/>
      </c>
      <c r="B73" s="16" t="n"/>
      <c r="C73" s="16" t="n"/>
      <c r="D73" s="16" t="n"/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 t="n"/>
      <c r="N73" s="16" t="n"/>
      <c r="O73" s="16" t="n"/>
      <c r="P73" s="16" t="n"/>
      <c r="Q73" s="16" t="n"/>
    </row>
    <row r="74">
      <c r="A74" s="15">
        <f>IF(DATE(PlanYear,1,1)+68&lt;=DATE(PlanYear+1,1,31),DATE(PlanYear,1,1)+68,"")</f>
        <v/>
      </c>
      <c r="B74" s="16" t="n"/>
      <c r="C74" s="16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</row>
    <row r="75">
      <c r="A75" s="15">
        <f>IF(DATE(PlanYear,1,1)+69&lt;=DATE(PlanYear+1,1,31),DATE(PlanYear,1,1)+69,"")</f>
        <v/>
      </c>
      <c r="B75" s="16" t="n"/>
      <c r="C75" s="16" t="n"/>
      <c r="D75" s="16" t="n"/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6" t="n"/>
      <c r="P75" s="16" t="n"/>
      <c r="Q75" s="16" t="n"/>
    </row>
    <row r="76">
      <c r="A76" s="15">
        <f>IF(DATE(PlanYear,1,1)+70&lt;=DATE(PlanYear+1,1,31),DATE(PlanYear,1,1)+70,"")</f>
        <v/>
      </c>
      <c r="B76" s="16" t="n"/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</row>
    <row r="77">
      <c r="A77" s="15">
        <f>IF(DATE(PlanYear,1,1)+71&lt;=DATE(PlanYear+1,1,31),DATE(PlanYear,1,1)+71,"")</f>
        <v/>
      </c>
      <c r="B77" s="16" t="n"/>
      <c r="C77" s="16" t="n"/>
      <c r="D77" s="16" t="n"/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6" t="n"/>
      <c r="P77" s="16" t="n"/>
      <c r="Q77" s="16" t="n"/>
    </row>
    <row r="78">
      <c r="A78" s="15">
        <f>IF(DATE(PlanYear,1,1)+72&lt;=DATE(PlanYear+1,1,31),DATE(PlanYear,1,1)+72,"")</f>
        <v/>
      </c>
      <c r="B78" s="16" t="n"/>
      <c r="C78" s="16" t="n"/>
      <c r="D78" s="16" t="n"/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</row>
    <row r="79">
      <c r="A79" s="15">
        <f>IF(DATE(PlanYear,1,1)+73&lt;=DATE(PlanYear+1,1,31),DATE(PlanYear,1,1)+73,"")</f>
        <v/>
      </c>
      <c r="B79" s="16" t="n"/>
      <c r="C79" s="16" t="n"/>
      <c r="D79" s="16" t="n"/>
      <c r="E79" s="16" t="n"/>
      <c r="F79" s="16" t="n"/>
      <c r="G79" s="16" t="n"/>
      <c r="H79" s="16" t="n"/>
      <c r="I79" s="16" t="n"/>
      <c r="J79" s="16" t="n"/>
      <c r="K79" s="16" t="n"/>
      <c r="L79" s="16" t="n"/>
      <c r="M79" s="16" t="n"/>
      <c r="N79" s="16" t="n"/>
      <c r="O79" s="16" t="n"/>
      <c r="P79" s="16" t="n"/>
      <c r="Q79" s="16" t="n"/>
    </row>
    <row r="80">
      <c r="A80" s="15">
        <f>IF(DATE(PlanYear,1,1)+74&lt;=DATE(PlanYear+1,1,31),DATE(PlanYear,1,1)+74,"")</f>
        <v/>
      </c>
      <c r="B80" s="16" t="n"/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16" t="n"/>
    </row>
    <row r="81">
      <c r="A81" s="15">
        <f>IF(DATE(PlanYear,1,1)+75&lt;=DATE(PlanYear+1,1,31),DATE(PlanYear,1,1)+75,"")</f>
        <v/>
      </c>
      <c r="B81" s="16" t="n"/>
      <c r="C81" s="16" t="n"/>
      <c r="D81" s="16" t="n"/>
      <c r="E81" s="16" t="n"/>
      <c r="F81" s="16" t="n"/>
      <c r="G81" s="16" t="n"/>
      <c r="H81" s="16" t="n"/>
      <c r="I81" s="16" t="n"/>
      <c r="J81" s="16" t="n"/>
      <c r="K81" s="16" t="n"/>
      <c r="L81" s="16" t="n"/>
      <c r="M81" s="16" t="n"/>
      <c r="N81" s="16" t="n"/>
      <c r="O81" s="16" t="n"/>
      <c r="P81" s="16" t="n"/>
      <c r="Q81" s="16" t="n"/>
    </row>
    <row r="82">
      <c r="A82" s="15">
        <f>IF(DATE(PlanYear,1,1)+76&lt;=DATE(PlanYear+1,1,31),DATE(PlanYear,1,1)+76,"")</f>
        <v/>
      </c>
      <c r="B82" s="16" t="n"/>
      <c r="C82" s="16" t="n"/>
      <c r="D82" s="16" t="n"/>
      <c r="E82" s="16" t="n"/>
      <c r="F82" s="16" t="n"/>
      <c r="G82" s="16" t="n"/>
      <c r="H82" s="16" t="n"/>
      <c r="I82" s="16" t="n"/>
      <c r="J82" s="16" t="n"/>
      <c r="K82" s="16" t="n"/>
      <c r="L82" s="16" t="n"/>
      <c r="M82" s="16" t="n"/>
      <c r="N82" s="16" t="n"/>
      <c r="O82" s="16" t="n"/>
      <c r="P82" s="16" t="n"/>
      <c r="Q82" s="16" t="n"/>
    </row>
    <row r="83">
      <c r="A83" s="15">
        <f>IF(DATE(PlanYear,1,1)+77&lt;=DATE(PlanYear+1,1,31),DATE(PlanYear,1,1)+77,"")</f>
        <v/>
      </c>
      <c r="B83" s="16" t="n"/>
      <c r="C83" s="16" t="n"/>
      <c r="D83" s="16" t="n"/>
      <c r="E83" s="16" t="n"/>
      <c r="F83" s="16" t="n"/>
      <c r="G83" s="16" t="n"/>
      <c r="H83" s="16" t="n"/>
      <c r="I83" s="16" t="n"/>
      <c r="J83" s="16" t="n"/>
      <c r="K83" s="16" t="n"/>
      <c r="L83" s="16" t="n"/>
      <c r="M83" s="16" t="n"/>
      <c r="N83" s="16" t="n"/>
      <c r="O83" s="16" t="n"/>
      <c r="P83" s="16" t="n"/>
      <c r="Q83" s="16" t="n"/>
    </row>
    <row r="84">
      <c r="A84" s="15">
        <f>IF(DATE(PlanYear,1,1)+78&lt;=DATE(PlanYear+1,1,31),DATE(PlanYear,1,1)+78,"")</f>
        <v/>
      </c>
      <c r="B84" s="16" t="n"/>
      <c r="C84" s="16" t="n"/>
      <c r="D84" s="16" t="n"/>
      <c r="E84" s="16" t="n"/>
      <c r="F84" s="16" t="n"/>
      <c r="G84" s="16" t="n"/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16" t="n"/>
    </row>
    <row r="85">
      <c r="A85" s="15">
        <f>IF(DATE(PlanYear,1,1)+79&lt;=DATE(PlanYear+1,1,31),DATE(PlanYear,1,1)+79,"")</f>
        <v/>
      </c>
      <c r="B85" s="16" t="n"/>
      <c r="C85" s="16" t="n"/>
      <c r="D85" s="16" t="n"/>
      <c r="E85" s="16" t="n"/>
      <c r="F85" s="16" t="n"/>
      <c r="G85" s="16" t="n"/>
      <c r="H85" s="16" t="n"/>
      <c r="I85" s="16" t="n"/>
      <c r="J85" s="16" t="n"/>
      <c r="K85" s="16" t="n"/>
      <c r="L85" s="16" t="n"/>
      <c r="M85" s="16" t="n"/>
      <c r="N85" s="16" t="n"/>
      <c r="O85" s="16" t="n"/>
      <c r="P85" s="16" t="n"/>
      <c r="Q85" s="16" t="n"/>
    </row>
    <row r="86">
      <c r="A86" s="15">
        <f>IF(DATE(PlanYear,1,1)+80&lt;=DATE(PlanYear+1,1,31),DATE(PlanYear,1,1)+80,"")</f>
        <v/>
      </c>
      <c r="B86" s="16" t="n"/>
      <c r="C86" s="16" t="n"/>
      <c r="D86" s="16" t="n"/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 t="n"/>
      <c r="N86" s="16" t="n"/>
      <c r="O86" s="16" t="n"/>
      <c r="P86" s="16" t="n"/>
      <c r="Q86" s="16" t="n"/>
    </row>
    <row r="87">
      <c r="A87" s="15">
        <f>IF(DATE(PlanYear,1,1)+81&lt;=DATE(PlanYear+1,1,31),DATE(PlanYear,1,1)+81,"")</f>
        <v/>
      </c>
      <c r="B87" s="16" t="n"/>
      <c r="C87" s="16" t="n"/>
      <c r="D87" s="16" t="n"/>
      <c r="E87" s="16" t="n"/>
      <c r="F87" s="16" t="n"/>
      <c r="G87" s="16" t="n"/>
      <c r="H87" s="16" t="n"/>
      <c r="I87" s="16" t="n"/>
      <c r="J87" s="16" t="n"/>
      <c r="K87" s="16" t="n"/>
      <c r="L87" s="16" t="n"/>
      <c r="M87" s="16" t="n"/>
      <c r="N87" s="16" t="n"/>
      <c r="O87" s="16" t="n"/>
      <c r="P87" s="16" t="n"/>
      <c r="Q87" s="16" t="n"/>
    </row>
    <row r="88">
      <c r="A88" s="15">
        <f>IF(DATE(PlanYear,1,1)+82&lt;=DATE(PlanYear+1,1,31),DATE(PlanYear,1,1)+82,"")</f>
        <v/>
      </c>
      <c r="B88" s="16" t="n"/>
      <c r="C88" s="16" t="n"/>
      <c r="D88" s="16" t="n"/>
      <c r="E88" s="16" t="n"/>
      <c r="F88" s="16" t="n"/>
      <c r="G88" s="16" t="n"/>
      <c r="H88" s="16" t="n"/>
      <c r="I88" s="16" t="n"/>
      <c r="J88" s="16" t="n"/>
      <c r="K88" s="16" t="n"/>
      <c r="L88" s="16" t="n"/>
      <c r="M88" s="16" t="n"/>
      <c r="N88" s="16" t="n"/>
      <c r="O88" s="16" t="n"/>
      <c r="P88" s="16" t="n"/>
      <c r="Q88" s="16" t="n"/>
    </row>
    <row r="89">
      <c r="A89" s="15">
        <f>IF(DATE(PlanYear,1,1)+83&lt;=DATE(PlanYear+1,1,31),DATE(PlanYear,1,1)+83,"")</f>
        <v/>
      </c>
      <c r="B89" s="16" t="n"/>
      <c r="C89" s="16" t="n"/>
      <c r="D89" s="16" t="n"/>
      <c r="E89" s="16" t="n"/>
      <c r="F89" s="16" t="n"/>
      <c r="G89" s="16" t="n"/>
      <c r="H89" s="16" t="n"/>
      <c r="I89" s="16" t="n"/>
      <c r="J89" s="16" t="n"/>
      <c r="K89" s="16" t="n"/>
      <c r="L89" s="16" t="n"/>
      <c r="M89" s="16" t="n"/>
      <c r="N89" s="16" t="n"/>
      <c r="O89" s="16" t="n"/>
      <c r="P89" s="16" t="n"/>
      <c r="Q89" s="16" t="n"/>
    </row>
    <row r="90">
      <c r="A90" s="15">
        <f>IF(DATE(PlanYear,1,1)+84&lt;=DATE(PlanYear+1,1,31),DATE(PlanYear,1,1)+84,"")</f>
        <v/>
      </c>
      <c r="B90" s="16" t="n"/>
      <c r="C90" s="16" t="n"/>
      <c r="D90" s="16" t="n"/>
      <c r="E90" s="16" t="n"/>
      <c r="F90" s="16" t="n"/>
      <c r="G90" s="16" t="n"/>
      <c r="H90" s="16" t="n"/>
      <c r="I90" s="16" t="n"/>
      <c r="J90" s="16" t="n"/>
      <c r="K90" s="16" t="n"/>
      <c r="L90" s="16" t="n"/>
      <c r="M90" s="16" t="n"/>
      <c r="N90" s="16" t="n"/>
      <c r="O90" s="16" t="n"/>
      <c r="P90" s="16" t="n"/>
      <c r="Q90" s="16" t="n"/>
    </row>
    <row r="91">
      <c r="A91" s="15">
        <f>IF(DATE(PlanYear,1,1)+85&lt;=DATE(PlanYear+1,1,31),DATE(PlanYear,1,1)+85,"")</f>
        <v/>
      </c>
      <c r="B91" s="16" t="n"/>
      <c r="C91" s="16" t="n"/>
      <c r="D91" s="16" t="n"/>
      <c r="E91" s="16" t="n"/>
      <c r="F91" s="16" t="n"/>
      <c r="G91" s="16" t="n"/>
      <c r="H91" s="16" t="n"/>
      <c r="I91" s="16" t="n"/>
      <c r="J91" s="16" t="n"/>
      <c r="K91" s="16" t="n"/>
      <c r="L91" s="16" t="n"/>
      <c r="M91" s="16" t="n"/>
      <c r="N91" s="16" t="n"/>
      <c r="O91" s="16" t="n"/>
      <c r="P91" s="16" t="n"/>
      <c r="Q91" s="16" t="n"/>
    </row>
    <row r="92">
      <c r="A92" s="15">
        <f>IF(DATE(PlanYear,1,1)+86&lt;=DATE(PlanYear+1,1,31),DATE(PlanYear,1,1)+86,"")</f>
        <v/>
      </c>
      <c r="B92" s="16" t="n"/>
      <c r="C92" s="16" t="n"/>
      <c r="D92" s="16" t="n"/>
      <c r="E92" s="16" t="n"/>
      <c r="F92" s="16" t="n"/>
      <c r="G92" s="16" t="n"/>
      <c r="H92" s="16" t="n"/>
      <c r="I92" s="16" t="n"/>
      <c r="J92" s="16" t="n"/>
      <c r="K92" s="16" t="n"/>
      <c r="L92" s="16" t="n"/>
      <c r="M92" s="16" t="n"/>
      <c r="N92" s="16" t="n"/>
      <c r="O92" s="16" t="n"/>
      <c r="P92" s="16" t="n"/>
      <c r="Q92" s="16" t="n"/>
    </row>
    <row r="93">
      <c r="A93" s="15">
        <f>IF(DATE(PlanYear,1,1)+87&lt;=DATE(PlanYear+1,1,31),DATE(PlanYear,1,1)+87,"")</f>
        <v/>
      </c>
      <c r="B93" s="16" t="n"/>
      <c r="C93" s="16" t="n"/>
      <c r="D93" s="16" t="n"/>
      <c r="E93" s="16" t="n"/>
      <c r="F93" s="16" t="n"/>
      <c r="G93" s="16" t="n"/>
      <c r="H93" s="16" t="n"/>
      <c r="I93" s="16" t="n"/>
      <c r="J93" s="16" t="n"/>
      <c r="K93" s="16" t="n"/>
      <c r="L93" s="16" t="n"/>
      <c r="M93" s="16" t="n"/>
      <c r="N93" s="16" t="n"/>
      <c r="O93" s="16" t="n"/>
      <c r="P93" s="16" t="n"/>
      <c r="Q93" s="16" t="n"/>
    </row>
    <row r="94">
      <c r="A94" s="15">
        <f>IF(DATE(PlanYear,1,1)+88&lt;=DATE(PlanYear+1,1,31),DATE(PlanYear,1,1)+88,"")</f>
        <v/>
      </c>
      <c r="B94" s="16" t="n"/>
      <c r="C94" s="16" t="n"/>
      <c r="D94" s="16" t="n"/>
      <c r="E94" s="16" t="n"/>
      <c r="F94" s="16" t="n"/>
      <c r="G94" s="16" t="n"/>
      <c r="H94" s="16" t="n"/>
      <c r="I94" s="16" t="n"/>
      <c r="J94" s="16" t="n"/>
      <c r="K94" s="16" t="n"/>
      <c r="L94" s="16" t="n"/>
      <c r="M94" s="16" t="n"/>
      <c r="N94" s="16" t="n"/>
      <c r="O94" s="16" t="n"/>
      <c r="P94" s="16" t="n"/>
      <c r="Q94" s="16" t="n"/>
    </row>
    <row r="95">
      <c r="A95" s="15">
        <f>IF(DATE(PlanYear,1,1)+89&lt;=DATE(PlanYear+1,1,31),DATE(PlanYear,1,1)+89,"")</f>
        <v/>
      </c>
      <c r="B95" s="16" t="n"/>
      <c r="C95" s="16" t="n"/>
      <c r="D95" s="16" t="n"/>
      <c r="E95" s="16" t="n"/>
      <c r="F95" s="16" t="n"/>
      <c r="G95" s="16" t="n"/>
      <c r="H95" s="16" t="n"/>
      <c r="I95" s="16" t="n"/>
      <c r="J95" s="16" t="n"/>
      <c r="K95" s="16" t="n"/>
      <c r="L95" s="16" t="n"/>
      <c r="M95" s="16" t="n"/>
      <c r="N95" s="16" t="n"/>
      <c r="O95" s="16" t="n"/>
      <c r="P95" s="16" t="n"/>
      <c r="Q95" s="16" t="n"/>
    </row>
    <row r="96">
      <c r="A96" s="15">
        <f>IF(DATE(PlanYear,1,1)+90&lt;=DATE(PlanYear+1,1,31),DATE(PlanYear,1,1)+90,"")</f>
        <v/>
      </c>
      <c r="B96" s="16" t="n"/>
      <c r="C96" s="16" t="n"/>
      <c r="D96" s="16" t="n"/>
      <c r="E96" s="16" t="n"/>
      <c r="F96" s="16" t="n"/>
      <c r="G96" s="16" t="n"/>
      <c r="H96" s="16" t="n"/>
      <c r="I96" s="16" t="n"/>
      <c r="J96" s="16" t="n"/>
      <c r="K96" s="16" t="n"/>
      <c r="L96" s="16" t="n"/>
      <c r="M96" s="16" t="n"/>
      <c r="N96" s="16" t="n"/>
      <c r="O96" s="16" t="n"/>
      <c r="P96" s="16" t="n"/>
      <c r="Q96" s="16" t="n"/>
    </row>
    <row r="97">
      <c r="A97" s="15">
        <f>IF(DATE(PlanYear,1,1)+91&lt;=DATE(PlanYear+1,1,31),DATE(PlanYear,1,1)+91,"")</f>
        <v/>
      </c>
      <c r="B97" s="16" t="n"/>
      <c r="C97" s="16" t="n"/>
      <c r="D97" s="16" t="n"/>
      <c r="E97" s="16" t="n"/>
      <c r="F97" s="16" t="n"/>
      <c r="G97" s="16" t="n"/>
      <c r="H97" s="16" t="n"/>
      <c r="I97" s="16" t="n"/>
      <c r="J97" s="16" t="n"/>
      <c r="K97" s="16" t="n"/>
      <c r="L97" s="16" t="n"/>
      <c r="M97" s="16" t="n"/>
      <c r="N97" s="16" t="n"/>
      <c r="O97" s="16" t="n"/>
      <c r="P97" s="16" t="n"/>
      <c r="Q97" s="16" t="n"/>
    </row>
    <row r="98">
      <c r="A98" s="15">
        <f>IF(DATE(PlanYear,1,1)+92&lt;=DATE(PlanYear+1,1,31),DATE(PlanYear,1,1)+92,"")</f>
        <v/>
      </c>
      <c r="B98" s="16" t="n"/>
      <c r="C98" s="16" t="n"/>
      <c r="D98" s="16" t="n"/>
      <c r="E98" s="16" t="n"/>
      <c r="F98" s="16" t="n"/>
      <c r="G98" s="16" t="n"/>
      <c r="H98" s="16" t="n"/>
      <c r="I98" s="16" t="n"/>
      <c r="J98" s="16" t="n"/>
      <c r="K98" s="16" t="n"/>
      <c r="L98" s="16" t="n"/>
      <c r="M98" s="16" t="n"/>
      <c r="N98" s="16" t="n"/>
      <c r="O98" s="16" t="n"/>
      <c r="P98" s="16" t="n"/>
      <c r="Q98" s="16" t="n"/>
    </row>
    <row r="99">
      <c r="A99" s="15">
        <f>IF(DATE(PlanYear,1,1)+93&lt;=DATE(PlanYear+1,1,31),DATE(PlanYear,1,1)+93,"")</f>
        <v/>
      </c>
      <c r="B99" s="16" t="n"/>
      <c r="C99" s="16" t="n"/>
      <c r="D99" s="16" t="n"/>
      <c r="E99" s="16" t="n"/>
      <c r="F99" s="16" t="n"/>
      <c r="G99" s="16" t="n"/>
      <c r="H99" s="16" t="n"/>
      <c r="I99" s="16" t="n"/>
      <c r="J99" s="16" t="n"/>
      <c r="K99" s="16" t="n"/>
      <c r="L99" s="16" t="n"/>
      <c r="M99" s="16" t="n"/>
      <c r="N99" s="16" t="n"/>
      <c r="O99" s="16" t="n"/>
      <c r="P99" s="16" t="n"/>
      <c r="Q99" s="16" t="n"/>
    </row>
    <row r="100">
      <c r="A100" s="15">
        <f>IF(DATE(PlanYear,1,1)+94&lt;=DATE(PlanYear+1,1,31),DATE(PlanYear,1,1)+94,"")</f>
        <v/>
      </c>
      <c r="B100" s="16" t="n"/>
      <c r="C100" s="16" t="n"/>
      <c r="D100" s="16" t="n"/>
      <c r="E100" s="16" t="n"/>
      <c r="F100" s="16" t="n"/>
      <c r="G100" s="16" t="n"/>
      <c r="H100" s="16" t="n"/>
      <c r="I100" s="16" t="n"/>
      <c r="J100" s="16" t="n"/>
      <c r="K100" s="16" t="n"/>
      <c r="L100" s="16" t="n"/>
      <c r="M100" s="16" t="n"/>
      <c r="N100" s="16" t="n"/>
      <c r="O100" s="16" t="n"/>
      <c r="P100" s="16" t="n"/>
      <c r="Q100" s="16" t="n"/>
    </row>
    <row r="101">
      <c r="A101" s="15">
        <f>IF(DATE(PlanYear,1,1)+95&lt;=DATE(PlanYear+1,1,31),DATE(PlanYear,1,1)+95,"")</f>
        <v/>
      </c>
      <c r="B101" s="16" t="n"/>
      <c r="C101" s="16" t="n"/>
      <c r="D101" s="16" t="n"/>
      <c r="E101" s="16" t="n"/>
      <c r="F101" s="16" t="n"/>
      <c r="G101" s="16" t="n"/>
      <c r="H101" s="16" t="n"/>
      <c r="I101" s="16" t="n"/>
      <c r="J101" s="16" t="n"/>
      <c r="K101" s="16" t="n"/>
      <c r="L101" s="16" t="n"/>
      <c r="M101" s="16" t="n"/>
      <c r="N101" s="16" t="n"/>
      <c r="O101" s="16" t="n"/>
      <c r="P101" s="16" t="n"/>
      <c r="Q101" s="16" t="n"/>
    </row>
    <row r="102">
      <c r="A102" s="15">
        <f>IF(DATE(PlanYear,1,1)+96&lt;=DATE(PlanYear+1,1,31),DATE(PlanYear,1,1)+96,"")</f>
        <v/>
      </c>
      <c r="B102" s="16" t="n"/>
      <c r="C102" s="16" t="n"/>
      <c r="D102" s="16" t="n"/>
      <c r="E102" s="16" t="n"/>
      <c r="F102" s="16" t="n"/>
      <c r="G102" s="16" t="n"/>
      <c r="H102" s="16" t="n"/>
      <c r="I102" s="16" t="n"/>
      <c r="J102" s="16" t="n"/>
      <c r="K102" s="16" t="n"/>
      <c r="L102" s="16" t="n"/>
      <c r="M102" s="16" t="n"/>
      <c r="N102" s="16" t="n"/>
      <c r="O102" s="16" t="n"/>
      <c r="P102" s="16" t="n"/>
      <c r="Q102" s="16" t="n"/>
    </row>
    <row r="103">
      <c r="A103" s="15">
        <f>IF(DATE(PlanYear,1,1)+97&lt;=DATE(PlanYear+1,1,31),DATE(PlanYear,1,1)+97,"")</f>
        <v/>
      </c>
      <c r="B103" s="16" t="n"/>
      <c r="C103" s="16" t="n"/>
      <c r="D103" s="16" t="n"/>
      <c r="E103" s="16" t="n"/>
      <c r="F103" s="16" t="n"/>
      <c r="G103" s="16" t="n"/>
      <c r="H103" s="16" t="n"/>
      <c r="I103" s="16" t="n"/>
      <c r="J103" s="16" t="n"/>
      <c r="K103" s="16" t="n"/>
      <c r="L103" s="16" t="n"/>
      <c r="M103" s="16" t="n"/>
      <c r="N103" s="16" t="n"/>
      <c r="O103" s="16" t="n"/>
      <c r="P103" s="16" t="n"/>
      <c r="Q103" s="16" t="n"/>
    </row>
    <row r="104">
      <c r="A104" s="15">
        <f>IF(DATE(PlanYear,1,1)+98&lt;=DATE(PlanYear+1,1,31),DATE(PlanYear,1,1)+98,"")</f>
        <v/>
      </c>
      <c r="B104" s="16" t="n"/>
      <c r="C104" s="16" t="n"/>
      <c r="D104" s="16" t="n"/>
      <c r="E104" s="16" t="n"/>
      <c r="F104" s="16" t="n"/>
      <c r="G104" s="16" t="n"/>
      <c r="H104" s="16" t="n"/>
      <c r="I104" s="16" t="n"/>
      <c r="J104" s="16" t="n"/>
      <c r="K104" s="16" t="n"/>
      <c r="L104" s="16" t="n"/>
      <c r="M104" s="16" t="n"/>
      <c r="N104" s="16" t="n"/>
      <c r="O104" s="16" t="n"/>
      <c r="P104" s="16" t="n"/>
      <c r="Q104" s="16" t="n"/>
    </row>
    <row r="105">
      <c r="A105" s="15">
        <f>IF(DATE(PlanYear,1,1)+99&lt;=DATE(PlanYear+1,1,31),DATE(PlanYear,1,1)+99,"")</f>
        <v/>
      </c>
      <c r="B105" s="16" t="n"/>
      <c r="C105" s="16" t="n"/>
      <c r="D105" s="16" t="n"/>
      <c r="E105" s="16" t="n"/>
      <c r="F105" s="16" t="n"/>
      <c r="G105" s="16" t="n"/>
      <c r="H105" s="16" t="n"/>
      <c r="I105" s="16" t="n"/>
      <c r="J105" s="16" t="n"/>
      <c r="K105" s="16" t="n"/>
      <c r="L105" s="16" t="n"/>
      <c r="M105" s="16" t="n"/>
      <c r="N105" s="16" t="n"/>
      <c r="O105" s="16" t="n"/>
      <c r="P105" s="16" t="n"/>
      <c r="Q105" s="16" t="n"/>
    </row>
    <row r="106">
      <c r="A106" s="15">
        <f>IF(DATE(PlanYear,1,1)+100&lt;=DATE(PlanYear+1,1,31),DATE(PlanYear,1,1)+100,"")</f>
        <v/>
      </c>
      <c r="B106" s="16" t="n"/>
      <c r="C106" s="16" t="n"/>
      <c r="D106" s="16" t="n"/>
      <c r="E106" s="16" t="n"/>
      <c r="F106" s="16" t="n"/>
      <c r="G106" s="16" t="n"/>
      <c r="H106" s="16" t="n"/>
      <c r="I106" s="16" t="n"/>
      <c r="J106" s="16" t="n"/>
      <c r="K106" s="16" t="n"/>
      <c r="L106" s="16" t="n"/>
      <c r="M106" s="16" t="n"/>
      <c r="N106" s="16" t="n"/>
      <c r="O106" s="16" t="n"/>
      <c r="P106" s="16" t="n"/>
      <c r="Q106" s="16" t="n"/>
    </row>
    <row r="107">
      <c r="A107" s="15">
        <f>IF(DATE(PlanYear,1,1)+101&lt;=DATE(PlanYear+1,1,31),DATE(PlanYear,1,1)+101,"")</f>
        <v/>
      </c>
      <c r="B107" s="16" t="n"/>
      <c r="C107" s="16" t="n"/>
      <c r="D107" s="16" t="n"/>
      <c r="E107" s="16" t="n"/>
      <c r="F107" s="16" t="n"/>
      <c r="G107" s="16" t="n"/>
      <c r="H107" s="16" t="n"/>
      <c r="I107" s="16" t="n"/>
      <c r="J107" s="16" t="n"/>
      <c r="K107" s="16" t="n"/>
      <c r="L107" s="16" t="n"/>
      <c r="M107" s="16" t="n"/>
      <c r="N107" s="16" t="n"/>
      <c r="O107" s="16" t="n"/>
      <c r="P107" s="16" t="n"/>
      <c r="Q107" s="16" t="n"/>
    </row>
    <row r="108">
      <c r="A108" s="15">
        <f>IF(DATE(PlanYear,1,1)+102&lt;=DATE(PlanYear+1,1,31),DATE(PlanYear,1,1)+102,"")</f>
        <v/>
      </c>
      <c r="B108" s="16" t="n"/>
      <c r="C108" s="16" t="n"/>
      <c r="D108" s="16" t="n"/>
      <c r="E108" s="16" t="n"/>
      <c r="F108" s="16" t="n"/>
      <c r="G108" s="16" t="n"/>
      <c r="H108" s="16" t="n"/>
      <c r="I108" s="16" t="n"/>
      <c r="J108" s="16" t="n"/>
      <c r="K108" s="16" t="n"/>
      <c r="L108" s="16" t="n"/>
      <c r="M108" s="16" t="n"/>
      <c r="N108" s="16" t="n"/>
      <c r="O108" s="16" t="n"/>
      <c r="P108" s="16" t="n"/>
      <c r="Q108" s="16" t="n"/>
    </row>
    <row r="109">
      <c r="A109" s="15">
        <f>IF(DATE(PlanYear,1,1)+103&lt;=DATE(PlanYear+1,1,31),DATE(PlanYear,1,1)+103,"")</f>
        <v/>
      </c>
      <c r="B109" s="16" t="n"/>
      <c r="C109" s="16" t="n"/>
      <c r="D109" s="16" t="n"/>
      <c r="E109" s="16" t="n"/>
      <c r="F109" s="16" t="n"/>
      <c r="G109" s="16" t="n"/>
      <c r="H109" s="16" t="n"/>
      <c r="I109" s="16" t="n"/>
      <c r="J109" s="16" t="n"/>
      <c r="K109" s="16" t="n"/>
      <c r="L109" s="16" t="n"/>
      <c r="M109" s="16" t="n"/>
      <c r="N109" s="16" t="n"/>
      <c r="O109" s="16" t="n"/>
      <c r="P109" s="16" t="n"/>
      <c r="Q109" s="16" t="n"/>
    </row>
    <row r="110">
      <c r="A110" s="15">
        <f>IF(DATE(PlanYear,1,1)+104&lt;=DATE(PlanYear+1,1,31),DATE(PlanYear,1,1)+104,"")</f>
        <v/>
      </c>
      <c r="B110" s="16" t="n"/>
      <c r="C110" s="16" t="n"/>
      <c r="D110" s="16" t="n"/>
      <c r="E110" s="16" t="n"/>
      <c r="F110" s="16" t="n"/>
      <c r="G110" s="16" t="n"/>
      <c r="H110" s="16" t="n"/>
      <c r="I110" s="16" t="n"/>
      <c r="J110" s="16" t="n"/>
      <c r="K110" s="16" t="n"/>
      <c r="L110" s="16" t="n"/>
      <c r="M110" s="16" t="n"/>
      <c r="N110" s="16" t="n"/>
      <c r="O110" s="16" t="n"/>
      <c r="P110" s="16" t="n"/>
      <c r="Q110" s="16" t="n"/>
    </row>
    <row r="111">
      <c r="A111" s="15">
        <f>IF(DATE(PlanYear,1,1)+105&lt;=DATE(PlanYear+1,1,31),DATE(PlanYear,1,1)+105,"")</f>
        <v/>
      </c>
      <c r="B111" s="16" t="n"/>
      <c r="C111" s="16" t="n"/>
      <c r="D111" s="16" t="n"/>
      <c r="E111" s="16" t="n"/>
      <c r="F111" s="16" t="n"/>
      <c r="G111" s="16" t="n"/>
      <c r="H111" s="16" t="n"/>
      <c r="I111" s="16" t="n"/>
      <c r="J111" s="16" t="n"/>
      <c r="K111" s="16" t="n"/>
      <c r="L111" s="16" t="n"/>
      <c r="M111" s="16" t="n"/>
      <c r="N111" s="16" t="n"/>
      <c r="O111" s="16" t="n"/>
      <c r="P111" s="16" t="n"/>
      <c r="Q111" s="16" t="n"/>
    </row>
    <row r="112">
      <c r="A112" s="15">
        <f>IF(DATE(PlanYear,1,1)+106&lt;=DATE(PlanYear+1,1,31),DATE(PlanYear,1,1)+106,"")</f>
        <v/>
      </c>
      <c r="B112" s="16" t="n"/>
      <c r="C112" s="16" t="n"/>
      <c r="D112" s="16" t="n"/>
      <c r="E112" s="16" t="n"/>
      <c r="F112" s="16" t="n"/>
      <c r="G112" s="16" t="n"/>
      <c r="H112" s="16" t="n"/>
      <c r="I112" s="16" t="n"/>
      <c r="J112" s="16" t="n"/>
      <c r="K112" s="16" t="n"/>
      <c r="L112" s="16" t="n"/>
      <c r="M112" s="16" t="n"/>
      <c r="N112" s="16" t="n"/>
      <c r="O112" s="16" t="n"/>
      <c r="P112" s="16" t="n"/>
      <c r="Q112" s="16" t="n"/>
    </row>
    <row r="113">
      <c r="A113" s="15">
        <f>IF(DATE(PlanYear,1,1)+107&lt;=DATE(PlanYear+1,1,31),DATE(PlanYear,1,1)+107,"")</f>
        <v/>
      </c>
      <c r="B113" s="16" t="n"/>
      <c r="C113" s="16" t="n"/>
      <c r="D113" s="16" t="n"/>
      <c r="E113" s="16" t="n"/>
      <c r="F113" s="16" t="n"/>
      <c r="G113" s="16" t="n"/>
      <c r="H113" s="16" t="n"/>
      <c r="I113" s="16" t="n"/>
      <c r="J113" s="16" t="n"/>
      <c r="K113" s="16" t="n"/>
      <c r="L113" s="16" t="n"/>
      <c r="M113" s="16" t="n"/>
      <c r="N113" s="16" t="n"/>
      <c r="O113" s="16" t="n"/>
      <c r="P113" s="16" t="n"/>
      <c r="Q113" s="16" t="n"/>
    </row>
    <row r="114">
      <c r="A114" s="15">
        <f>IF(DATE(PlanYear,1,1)+108&lt;=DATE(PlanYear+1,1,31),DATE(PlanYear,1,1)+108,"")</f>
        <v/>
      </c>
      <c r="B114" s="16" t="n"/>
      <c r="C114" s="16" t="n"/>
      <c r="D114" s="16" t="n"/>
      <c r="E114" s="16" t="n"/>
      <c r="F114" s="16" t="n"/>
      <c r="G114" s="16" t="n"/>
      <c r="H114" s="16" t="n"/>
      <c r="I114" s="16" t="n"/>
      <c r="J114" s="16" t="n"/>
      <c r="K114" s="16" t="n"/>
      <c r="L114" s="16" t="n"/>
      <c r="M114" s="16" t="n"/>
      <c r="N114" s="16" t="n"/>
      <c r="O114" s="16" t="n"/>
      <c r="P114" s="16" t="n"/>
      <c r="Q114" s="16" t="n"/>
    </row>
    <row r="115">
      <c r="A115" s="15">
        <f>IF(DATE(PlanYear,1,1)+109&lt;=DATE(PlanYear+1,1,31),DATE(PlanYear,1,1)+109,"")</f>
        <v/>
      </c>
      <c r="B115" s="16" t="n"/>
      <c r="C115" s="16" t="n"/>
      <c r="D115" s="16" t="n"/>
      <c r="E115" s="16" t="n"/>
      <c r="F115" s="16" t="n"/>
      <c r="G115" s="16" t="n"/>
      <c r="H115" s="16" t="n"/>
      <c r="I115" s="16" t="n"/>
      <c r="J115" s="16" t="n"/>
      <c r="K115" s="16" t="n"/>
      <c r="L115" s="16" t="n"/>
      <c r="M115" s="16" t="n"/>
      <c r="N115" s="16" t="n"/>
      <c r="O115" s="16" t="n"/>
      <c r="P115" s="16" t="n"/>
      <c r="Q115" s="16" t="n"/>
    </row>
    <row r="116">
      <c r="A116" s="15">
        <f>IF(DATE(PlanYear,1,1)+110&lt;=DATE(PlanYear+1,1,31),DATE(PlanYear,1,1)+110,"")</f>
        <v/>
      </c>
      <c r="B116" s="16" t="n"/>
      <c r="C116" s="16" t="n"/>
      <c r="D116" s="16" t="n"/>
      <c r="E116" s="16" t="n"/>
      <c r="F116" s="16" t="n"/>
      <c r="G116" s="16" t="n"/>
      <c r="H116" s="16" t="n"/>
      <c r="I116" s="16" t="n"/>
      <c r="J116" s="16" t="n"/>
      <c r="K116" s="16" t="n"/>
      <c r="L116" s="16" t="n"/>
      <c r="M116" s="16" t="n"/>
      <c r="N116" s="16" t="n"/>
      <c r="O116" s="16" t="n"/>
      <c r="P116" s="16" t="n"/>
      <c r="Q116" s="16" t="n"/>
    </row>
    <row r="117">
      <c r="A117" s="15">
        <f>IF(DATE(PlanYear,1,1)+111&lt;=DATE(PlanYear+1,1,31),DATE(PlanYear,1,1)+111,"")</f>
        <v/>
      </c>
      <c r="B117" s="16" t="n"/>
      <c r="C117" s="16" t="n"/>
      <c r="D117" s="16" t="n"/>
      <c r="E117" s="16" t="n"/>
      <c r="F117" s="16" t="n"/>
      <c r="G117" s="16" t="n"/>
      <c r="H117" s="16" t="n"/>
      <c r="I117" s="16" t="n"/>
      <c r="J117" s="16" t="n"/>
      <c r="K117" s="16" t="n"/>
      <c r="L117" s="16" t="n"/>
      <c r="M117" s="16" t="n"/>
      <c r="N117" s="16" t="n"/>
      <c r="O117" s="16" t="n"/>
      <c r="P117" s="16" t="n"/>
      <c r="Q117" s="16" t="n"/>
    </row>
    <row r="118">
      <c r="A118" s="15">
        <f>IF(DATE(PlanYear,1,1)+112&lt;=DATE(PlanYear+1,1,31),DATE(PlanYear,1,1)+112,"")</f>
        <v/>
      </c>
      <c r="B118" s="16" t="n"/>
      <c r="C118" s="16" t="n"/>
      <c r="D118" s="16" t="n"/>
      <c r="E118" s="16" t="n"/>
      <c r="F118" s="16" t="n"/>
      <c r="G118" s="16" t="n"/>
      <c r="H118" s="16" t="n"/>
      <c r="I118" s="16" t="n"/>
      <c r="J118" s="16" t="n"/>
      <c r="K118" s="16" t="n"/>
      <c r="L118" s="16" t="n"/>
      <c r="M118" s="16" t="n"/>
      <c r="N118" s="16" t="n"/>
      <c r="O118" s="16" t="n"/>
      <c r="P118" s="16" t="n"/>
      <c r="Q118" s="16" t="n"/>
    </row>
    <row r="119">
      <c r="A119" s="15">
        <f>IF(DATE(PlanYear,1,1)+113&lt;=DATE(PlanYear+1,1,31),DATE(PlanYear,1,1)+113,"")</f>
        <v/>
      </c>
      <c r="B119" s="16" t="n"/>
      <c r="C119" s="16" t="n"/>
      <c r="D119" s="16" t="n"/>
      <c r="E119" s="16" t="n"/>
      <c r="F119" s="16" t="n"/>
      <c r="G119" s="16" t="n"/>
      <c r="H119" s="16" t="n"/>
      <c r="I119" s="16" t="n"/>
      <c r="J119" s="16" t="n"/>
      <c r="K119" s="16" t="n"/>
      <c r="L119" s="16" t="n"/>
      <c r="M119" s="16" t="n"/>
      <c r="N119" s="16" t="n"/>
      <c r="O119" s="16" t="n"/>
      <c r="P119" s="16" t="n"/>
      <c r="Q119" s="16" t="n"/>
    </row>
    <row r="120">
      <c r="A120" s="15">
        <f>IF(DATE(PlanYear,1,1)+114&lt;=DATE(PlanYear+1,1,31),DATE(PlanYear,1,1)+114,"")</f>
        <v/>
      </c>
      <c r="B120" s="16" t="n"/>
      <c r="C120" s="16" t="n"/>
      <c r="D120" s="16" t="n"/>
      <c r="E120" s="16" t="n"/>
      <c r="F120" s="16" t="n"/>
      <c r="G120" s="16" t="n"/>
      <c r="H120" s="16" t="n"/>
      <c r="I120" s="16" t="n"/>
      <c r="J120" s="16" t="n"/>
      <c r="K120" s="16" t="n"/>
      <c r="L120" s="16" t="n"/>
      <c r="M120" s="16" t="n"/>
      <c r="N120" s="16" t="n"/>
      <c r="O120" s="16" t="n"/>
      <c r="P120" s="16" t="n"/>
      <c r="Q120" s="16" t="n"/>
    </row>
    <row r="121">
      <c r="A121" s="15">
        <f>IF(DATE(PlanYear,1,1)+115&lt;=DATE(PlanYear+1,1,31),DATE(PlanYear,1,1)+115,"")</f>
        <v/>
      </c>
      <c r="B121" s="16" t="n"/>
      <c r="C121" s="16" t="n"/>
      <c r="D121" s="16" t="n"/>
      <c r="E121" s="16" t="n"/>
      <c r="F121" s="16" t="n"/>
      <c r="G121" s="16" t="n"/>
      <c r="H121" s="16" t="n"/>
      <c r="I121" s="16" t="n"/>
      <c r="J121" s="16" t="n"/>
      <c r="K121" s="16" t="n"/>
      <c r="L121" s="16" t="n"/>
      <c r="M121" s="16" t="n"/>
      <c r="N121" s="16" t="n"/>
      <c r="O121" s="16" t="n"/>
      <c r="P121" s="16" t="n"/>
      <c r="Q121" s="16" t="n"/>
    </row>
    <row r="122">
      <c r="A122" s="15">
        <f>IF(DATE(PlanYear,1,1)+116&lt;=DATE(PlanYear+1,1,31),DATE(PlanYear,1,1)+116,"")</f>
        <v/>
      </c>
      <c r="B122" s="16" t="n"/>
      <c r="C122" s="16" t="n"/>
      <c r="D122" s="16" t="n"/>
      <c r="E122" s="16" t="n"/>
      <c r="F122" s="16" t="n"/>
      <c r="G122" s="16" t="n"/>
      <c r="H122" s="16" t="n"/>
      <c r="I122" s="16" t="n"/>
      <c r="J122" s="16" t="n"/>
      <c r="K122" s="16" t="n"/>
      <c r="L122" s="16" t="n"/>
      <c r="M122" s="16" t="n"/>
      <c r="N122" s="16" t="n"/>
      <c r="O122" s="16" t="n"/>
      <c r="P122" s="16" t="n"/>
      <c r="Q122" s="16" t="n"/>
    </row>
    <row r="123">
      <c r="A123" s="15">
        <f>IF(DATE(PlanYear,1,1)+117&lt;=DATE(PlanYear+1,1,31),DATE(PlanYear,1,1)+117,"")</f>
        <v/>
      </c>
      <c r="B123" s="16" t="n"/>
      <c r="C123" s="16" t="n"/>
      <c r="D123" s="16" t="n"/>
      <c r="E123" s="16" t="n"/>
      <c r="F123" s="16" t="n"/>
      <c r="G123" s="16" t="n"/>
      <c r="H123" s="16" t="n"/>
      <c r="I123" s="16" t="n"/>
      <c r="J123" s="16" t="n"/>
      <c r="K123" s="16" t="n"/>
      <c r="L123" s="16" t="n"/>
      <c r="M123" s="16" t="n"/>
      <c r="N123" s="16" t="n"/>
      <c r="O123" s="16" t="n"/>
      <c r="P123" s="16" t="n"/>
      <c r="Q123" s="16" t="n"/>
    </row>
    <row r="124">
      <c r="A124" s="15">
        <f>IF(DATE(PlanYear,1,1)+118&lt;=DATE(PlanYear+1,1,31),DATE(PlanYear,1,1)+118,"")</f>
        <v/>
      </c>
      <c r="B124" s="16" t="n"/>
      <c r="C124" s="16" t="n"/>
      <c r="D124" s="16" t="n"/>
      <c r="E124" s="16" t="n"/>
      <c r="F124" s="16" t="n"/>
      <c r="G124" s="16" t="n"/>
      <c r="H124" s="16" t="n"/>
      <c r="I124" s="16" t="n"/>
      <c r="J124" s="16" t="n"/>
      <c r="K124" s="16" t="n"/>
      <c r="L124" s="16" t="n"/>
      <c r="M124" s="16" t="n"/>
      <c r="N124" s="16" t="n"/>
      <c r="O124" s="16" t="n"/>
      <c r="P124" s="16" t="n"/>
      <c r="Q124" s="16" t="n"/>
    </row>
    <row r="125">
      <c r="A125" s="15">
        <f>IF(DATE(PlanYear,1,1)+119&lt;=DATE(PlanYear+1,1,31),DATE(PlanYear,1,1)+119,"")</f>
        <v/>
      </c>
      <c r="B125" s="16" t="n"/>
      <c r="C125" s="16" t="n"/>
      <c r="D125" s="16" t="n"/>
      <c r="E125" s="16" t="n"/>
      <c r="F125" s="16" t="n"/>
      <c r="G125" s="16" t="n"/>
      <c r="H125" s="16" t="n"/>
      <c r="I125" s="16" t="n"/>
      <c r="J125" s="16" t="n"/>
      <c r="K125" s="16" t="n"/>
      <c r="L125" s="16" t="n"/>
      <c r="M125" s="16" t="n"/>
      <c r="N125" s="16" t="n"/>
      <c r="O125" s="16" t="n"/>
      <c r="P125" s="16" t="n"/>
      <c r="Q125" s="16" t="n"/>
    </row>
    <row r="126">
      <c r="A126" s="15">
        <f>IF(DATE(PlanYear,1,1)+120&lt;=DATE(PlanYear+1,1,31),DATE(PlanYear,1,1)+120,"")</f>
        <v/>
      </c>
      <c r="B126" s="16" t="n"/>
      <c r="C126" s="16" t="n"/>
      <c r="D126" s="16" t="n"/>
      <c r="E126" s="16" t="n"/>
      <c r="F126" s="16" t="n"/>
      <c r="G126" s="16" t="n"/>
      <c r="H126" s="16" t="n"/>
      <c r="I126" s="16" t="n"/>
      <c r="J126" s="16" t="n"/>
      <c r="K126" s="16" t="n"/>
      <c r="L126" s="16" t="n"/>
      <c r="M126" s="16" t="n"/>
      <c r="N126" s="16" t="n"/>
      <c r="O126" s="16" t="n"/>
      <c r="P126" s="16" t="n"/>
      <c r="Q126" s="16" t="n"/>
    </row>
    <row r="127">
      <c r="A127" s="15">
        <f>IF(DATE(PlanYear,1,1)+121&lt;=DATE(PlanYear+1,1,31),DATE(PlanYear,1,1)+121,"")</f>
        <v/>
      </c>
      <c r="B127" s="16" t="n"/>
      <c r="C127" s="16" t="n"/>
      <c r="D127" s="16" t="n"/>
      <c r="E127" s="16" t="n"/>
      <c r="F127" s="16" t="n"/>
      <c r="G127" s="16" t="n"/>
      <c r="H127" s="16" t="n"/>
      <c r="I127" s="16" t="n"/>
      <c r="J127" s="16" t="n"/>
      <c r="K127" s="16" t="n"/>
      <c r="L127" s="16" t="n"/>
      <c r="M127" s="16" t="n"/>
      <c r="N127" s="16" t="n"/>
      <c r="O127" s="16" t="n"/>
      <c r="P127" s="16" t="n"/>
      <c r="Q127" s="16" t="n"/>
    </row>
    <row r="128">
      <c r="A128" s="15">
        <f>IF(DATE(PlanYear,1,1)+122&lt;=DATE(PlanYear+1,1,31),DATE(PlanYear,1,1)+122,"")</f>
        <v/>
      </c>
      <c r="B128" s="16" t="n"/>
      <c r="C128" s="16" t="n"/>
      <c r="D128" s="16" t="n"/>
      <c r="E128" s="16" t="n"/>
      <c r="F128" s="16" t="n"/>
      <c r="G128" s="16" t="n"/>
      <c r="H128" s="16" t="n"/>
      <c r="I128" s="16" t="n"/>
      <c r="J128" s="16" t="n"/>
      <c r="K128" s="16" t="n"/>
      <c r="L128" s="16" t="n"/>
      <c r="M128" s="16" t="n"/>
      <c r="N128" s="16" t="n"/>
      <c r="O128" s="16" t="n"/>
      <c r="P128" s="16" t="n"/>
      <c r="Q128" s="16" t="n"/>
    </row>
    <row r="129">
      <c r="A129" s="15">
        <f>IF(DATE(PlanYear,1,1)+123&lt;=DATE(PlanYear+1,1,31),DATE(PlanYear,1,1)+123,"")</f>
        <v/>
      </c>
      <c r="B129" s="16" t="n"/>
      <c r="C129" s="16" t="n"/>
      <c r="D129" s="16" t="n"/>
      <c r="E129" s="16" t="n"/>
      <c r="F129" s="16" t="n"/>
      <c r="G129" s="16" t="n"/>
      <c r="H129" s="16" t="n"/>
      <c r="I129" s="16" t="n"/>
      <c r="J129" s="16" t="n"/>
      <c r="K129" s="16" t="n"/>
      <c r="L129" s="16" t="n"/>
      <c r="M129" s="16" t="n"/>
      <c r="N129" s="16" t="n"/>
      <c r="O129" s="16" t="n"/>
      <c r="P129" s="16" t="n"/>
      <c r="Q129" s="16" t="n"/>
    </row>
    <row r="130">
      <c r="A130" s="15">
        <f>IF(DATE(PlanYear,1,1)+124&lt;=DATE(PlanYear+1,1,31),DATE(PlanYear,1,1)+124,"")</f>
        <v/>
      </c>
      <c r="B130" s="16" t="n"/>
      <c r="C130" s="16" t="n"/>
      <c r="D130" s="16" t="n"/>
      <c r="E130" s="16" t="n"/>
      <c r="F130" s="16" t="n"/>
      <c r="G130" s="16" t="n"/>
      <c r="H130" s="16" t="n"/>
      <c r="I130" s="16" t="n"/>
      <c r="J130" s="16" t="n"/>
      <c r="K130" s="16" t="n"/>
      <c r="L130" s="16" t="n"/>
      <c r="M130" s="16" t="n"/>
      <c r="N130" s="16" t="n"/>
      <c r="O130" s="16" t="n"/>
      <c r="P130" s="16" t="n"/>
      <c r="Q130" s="16" t="n"/>
    </row>
    <row r="131">
      <c r="A131" s="15">
        <f>IF(DATE(PlanYear,1,1)+125&lt;=DATE(PlanYear+1,1,31),DATE(PlanYear,1,1)+125,"")</f>
        <v/>
      </c>
      <c r="B131" s="16" t="n"/>
      <c r="C131" s="16" t="n"/>
      <c r="D131" s="16" t="n"/>
      <c r="E131" s="16" t="n"/>
      <c r="F131" s="16" t="n"/>
      <c r="G131" s="16" t="n"/>
      <c r="H131" s="16" t="n"/>
      <c r="I131" s="16" t="n"/>
      <c r="J131" s="16" t="n"/>
      <c r="K131" s="16" t="n"/>
      <c r="L131" s="16" t="n"/>
      <c r="M131" s="16" t="n"/>
      <c r="N131" s="16" t="n"/>
      <c r="O131" s="16" t="n"/>
      <c r="P131" s="16" t="n"/>
      <c r="Q131" s="16" t="n"/>
    </row>
    <row r="132">
      <c r="A132" s="15">
        <f>IF(DATE(PlanYear,1,1)+126&lt;=DATE(PlanYear+1,1,31),DATE(PlanYear,1,1)+126,"")</f>
        <v/>
      </c>
      <c r="B132" s="16" t="n"/>
      <c r="C132" s="16" t="n"/>
      <c r="D132" s="16" t="n"/>
      <c r="E132" s="16" t="n"/>
      <c r="F132" s="16" t="n"/>
      <c r="G132" s="16" t="n"/>
      <c r="H132" s="16" t="n"/>
      <c r="I132" s="16" t="n"/>
      <c r="J132" s="16" t="n"/>
      <c r="K132" s="16" t="n"/>
      <c r="L132" s="16" t="n"/>
      <c r="M132" s="16" t="n"/>
      <c r="N132" s="16" t="n"/>
      <c r="O132" s="16" t="n"/>
      <c r="P132" s="16" t="n"/>
      <c r="Q132" s="16" t="n"/>
    </row>
    <row r="133">
      <c r="A133" s="15">
        <f>IF(DATE(PlanYear,1,1)+127&lt;=DATE(PlanYear+1,1,31),DATE(PlanYear,1,1)+127,"")</f>
        <v/>
      </c>
      <c r="B133" s="16" t="n"/>
      <c r="C133" s="16" t="n"/>
      <c r="D133" s="16" t="n"/>
      <c r="E133" s="16" t="n"/>
      <c r="F133" s="16" t="n"/>
      <c r="G133" s="16" t="n"/>
      <c r="H133" s="16" t="n"/>
      <c r="I133" s="16" t="n"/>
      <c r="J133" s="16" t="n"/>
      <c r="K133" s="16" t="n"/>
      <c r="L133" s="16" t="n"/>
      <c r="M133" s="16" t="n"/>
      <c r="N133" s="16" t="n"/>
      <c r="O133" s="16" t="n"/>
      <c r="P133" s="16" t="n"/>
      <c r="Q133" s="16" t="n"/>
    </row>
    <row r="134">
      <c r="A134" s="15">
        <f>IF(DATE(PlanYear,1,1)+128&lt;=DATE(PlanYear+1,1,31),DATE(PlanYear,1,1)+128,"")</f>
        <v/>
      </c>
      <c r="B134" s="16" t="n"/>
      <c r="C134" s="16" t="n"/>
      <c r="D134" s="16" t="n"/>
      <c r="E134" s="16" t="n"/>
      <c r="F134" s="16" t="n"/>
      <c r="G134" s="16" t="n"/>
      <c r="H134" s="16" t="n"/>
      <c r="I134" s="16" t="n"/>
      <c r="J134" s="16" t="n"/>
      <c r="K134" s="16" t="n"/>
      <c r="L134" s="16" t="n"/>
      <c r="M134" s="16" t="n"/>
      <c r="N134" s="16" t="n"/>
      <c r="O134" s="16" t="n"/>
      <c r="P134" s="16" t="n"/>
      <c r="Q134" s="16" t="n"/>
    </row>
    <row r="135">
      <c r="A135" s="15">
        <f>IF(DATE(PlanYear,1,1)+129&lt;=DATE(PlanYear+1,1,31),DATE(PlanYear,1,1)+129,"")</f>
        <v/>
      </c>
      <c r="B135" s="16" t="n"/>
      <c r="C135" s="16" t="n"/>
      <c r="D135" s="16" t="n"/>
      <c r="E135" s="16" t="n"/>
      <c r="F135" s="16" t="n"/>
      <c r="G135" s="16" t="n"/>
      <c r="H135" s="16" t="n"/>
      <c r="I135" s="16" t="n"/>
      <c r="J135" s="16" t="n"/>
      <c r="K135" s="16" t="n"/>
      <c r="L135" s="16" t="n"/>
      <c r="M135" s="16" t="n"/>
      <c r="N135" s="16" t="n"/>
      <c r="O135" s="16" t="n"/>
      <c r="P135" s="16" t="n"/>
      <c r="Q135" s="16" t="n"/>
    </row>
    <row r="136">
      <c r="A136" s="15">
        <f>IF(DATE(PlanYear,1,1)+130&lt;=DATE(PlanYear+1,1,31),DATE(PlanYear,1,1)+130,"")</f>
        <v/>
      </c>
      <c r="B136" s="16" t="n"/>
      <c r="C136" s="16" t="n"/>
      <c r="D136" s="16" t="n"/>
      <c r="E136" s="16" t="n"/>
      <c r="F136" s="16" t="n"/>
      <c r="G136" s="16" t="n"/>
      <c r="H136" s="16" t="n"/>
      <c r="I136" s="16" t="n"/>
      <c r="J136" s="16" t="n"/>
      <c r="K136" s="16" t="n"/>
      <c r="L136" s="16" t="n"/>
      <c r="M136" s="16" t="n"/>
      <c r="N136" s="16" t="n"/>
      <c r="O136" s="16" t="n"/>
      <c r="P136" s="16" t="n"/>
      <c r="Q136" s="16" t="n"/>
    </row>
    <row r="137">
      <c r="A137" s="15">
        <f>IF(DATE(PlanYear,1,1)+131&lt;=DATE(PlanYear+1,1,31),DATE(PlanYear,1,1)+131,"")</f>
        <v/>
      </c>
      <c r="B137" s="16" t="n"/>
      <c r="C137" s="16" t="n"/>
      <c r="D137" s="16" t="n"/>
      <c r="E137" s="16" t="n"/>
      <c r="F137" s="16" t="n"/>
      <c r="G137" s="16" t="n"/>
      <c r="H137" s="16" t="n"/>
      <c r="I137" s="16" t="n"/>
      <c r="J137" s="16" t="n"/>
      <c r="K137" s="16" t="n"/>
      <c r="L137" s="16" t="n"/>
      <c r="M137" s="16" t="n"/>
      <c r="N137" s="16" t="n"/>
      <c r="O137" s="16" t="n"/>
      <c r="P137" s="16" t="n"/>
      <c r="Q137" s="16" t="n"/>
    </row>
    <row r="138">
      <c r="A138" s="15">
        <f>IF(DATE(PlanYear,1,1)+132&lt;=DATE(PlanYear+1,1,31),DATE(PlanYear,1,1)+132,"")</f>
        <v/>
      </c>
      <c r="B138" s="16" t="n"/>
      <c r="C138" s="16" t="n"/>
      <c r="D138" s="16" t="n"/>
      <c r="E138" s="16" t="n"/>
      <c r="F138" s="16" t="n"/>
      <c r="G138" s="16" t="n"/>
      <c r="H138" s="16" t="n"/>
      <c r="I138" s="16" t="n"/>
      <c r="J138" s="16" t="n"/>
      <c r="K138" s="16" t="n"/>
      <c r="L138" s="16" t="n"/>
      <c r="M138" s="16" t="n"/>
      <c r="N138" s="16" t="n"/>
      <c r="O138" s="16" t="n"/>
      <c r="P138" s="16" t="n"/>
      <c r="Q138" s="16" t="n"/>
    </row>
    <row r="139">
      <c r="A139" s="15">
        <f>IF(DATE(PlanYear,1,1)+133&lt;=DATE(PlanYear+1,1,31),DATE(PlanYear,1,1)+133,"")</f>
        <v/>
      </c>
      <c r="B139" s="16" t="n"/>
      <c r="C139" s="16" t="n"/>
      <c r="D139" s="16" t="n"/>
      <c r="E139" s="16" t="n"/>
      <c r="F139" s="16" t="n"/>
      <c r="G139" s="16" t="n"/>
      <c r="H139" s="16" t="n"/>
      <c r="I139" s="16" t="n"/>
      <c r="J139" s="16" t="n"/>
      <c r="K139" s="16" t="n"/>
      <c r="L139" s="16" t="n"/>
      <c r="M139" s="16" t="n"/>
      <c r="N139" s="16" t="n"/>
      <c r="O139" s="16" t="n"/>
      <c r="P139" s="16" t="n"/>
      <c r="Q139" s="16" t="n"/>
    </row>
    <row r="140">
      <c r="A140" s="15">
        <f>IF(DATE(PlanYear,1,1)+134&lt;=DATE(PlanYear+1,1,31),DATE(PlanYear,1,1)+134,"")</f>
        <v/>
      </c>
      <c r="B140" s="16" t="n"/>
      <c r="C140" s="16" t="n"/>
      <c r="D140" s="16" t="n"/>
      <c r="E140" s="16" t="n"/>
      <c r="F140" s="16" t="n"/>
      <c r="G140" s="16" t="n"/>
      <c r="H140" s="16" t="n"/>
      <c r="I140" s="16" t="n"/>
      <c r="J140" s="16" t="n"/>
      <c r="K140" s="16" t="n"/>
      <c r="L140" s="16" t="n"/>
      <c r="M140" s="16" t="n"/>
      <c r="N140" s="16" t="n"/>
      <c r="O140" s="16" t="n"/>
      <c r="P140" s="16" t="n"/>
      <c r="Q140" s="16" t="n"/>
    </row>
    <row r="141">
      <c r="A141" s="15">
        <f>IF(DATE(PlanYear,1,1)+135&lt;=DATE(PlanYear+1,1,31),DATE(PlanYear,1,1)+135,"")</f>
        <v/>
      </c>
      <c r="B141" s="16" t="n"/>
      <c r="C141" s="16" t="n"/>
      <c r="D141" s="16" t="n"/>
      <c r="E141" s="16" t="n"/>
      <c r="F141" s="16" t="n"/>
      <c r="G141" s="16" t="n"/>
      <c r="H141" s="16" t="n"/>
      <c r="I141" s="16" t="n"/>
      <c r="J141" s="16" t="n"/>
      <c r="K141" s="16" t="n"/>
      <c r="L141" s="16" t="n"/>
      <c r="M141" s="16" t="n"/>
      <c r="N141" s="16" t="n"/>
      <c r="O141" s="16" t="n"/>
      <c r="P141" s="16" t="n"/>
      <c r="Q141" s="16" t="n"/>
    </row>
    <row r="142">
      <c r="A142" s="15">
        <f>IF(DATE(PlanYear,1,1)+136&lt;=DATE(PlanYear+1,1,31),DATE(PlanYear,1,1)+136,"")</f>
        <v/>
      </c>
      <c r="B142" s="16" t="n"/>
      <c r="C142" s="16" t="n"/>
      <c r="D142" s="16" t="n"/>
      <c r="E142" s="16" t="n"/>
      <c r="F142" s="16" t="n"/>
      <c r="G142" s="16" t="n"/>
      <c r="H142" s="16" t="n"/>
      <c r="I142" s="16" t="n"/>
      <c r="J142" s="16" t="n"/>
      <c r="K142" s="16" t="n"/>
      <c r="L142" s="16" t="n"/>
      <c r="M142" s="16" t="n"/>
      <c r="N142" s="16" t="n"/>
      <c r="O142" s="16" t="n"/>
      <c r="P142" s="16" t="n"/>
      <c r="Q142" s="16" t="n"/>
    </row>
    <row r="143">
      <c r="A143" s="15">
        <f>IF(DATE(PlanYear,1,1)+137&lt;=DATE(PlanYear+1,1,31),DATE(PlanYear,1,1)+137,"")</f>
        <v/>
      </c>
      <c r="B143" s="16" t="n"/>
      <c r="C143" s="16" t="n"/>
      <c r="D143" s="16" t="n"/>
      <c r="E143" s="16" t="n"/>
      <c r="F143" s="16" t="n"/>
      <c r="G143" s="16" t="n"/>
      <c r="H143" s="16" t="n"/>
      <c r="I143" s="16" t="n"/>
      <c r="J143" s="16" t="n"/>
      <c r="K143" s="16" t="n"/>
      <c r="L143" s="16" t="n"/>
      <c r="M143" s="16" t="n"/>
      <c r="N143" s="16" t="n"/>
      <c r="O143" s="16" t="n"/>
      <c r="P143" s="16" t="n"/>
      <c r="Q143" s="16" t="n"/>
    </row>
    <row r="144">
      <c r="A144" s="15">
        <f>IF(DATE(PlanYear,1,1)+138&lt;=DATE(PlanYear+1,1,31),DATE(PlanYear,1,1)+138,"")</f>
        <v/>
      </c>
      <c r="B144" s="16" t="n"/>
      <c r="C144" s="16" t="n"/>
      <c r="D144" s="16" t="n"/>
      <c r="E144" s="16" t="n"/>
      <c r="F144" s="16" t="n"/>
      <c r="G144" s="16" t="n"/>
      <c r="H144" s="16" t="n"/>
      <c r="I144" s="16" t="n"/>
      <c r="J144" s="16" t="n"/>
      <c r="K144" s="16" t="n"/>
      <c r="L144" s="16" t="n"/>
      <c r="M144" s="16" t="n"/>
      <c r="N144" s="16" t="n"/>
      <c r="O144" s="16" t="n"/>
      <c r="P144" s="16" t="n"/>
      <c r="Q144" s="16" t="n"/>
    </row>
    <row r="145">
      <c r="A145" s="15">
        <f>IF(DATE(PlanYear,1,1)+139&lt;=DATE(PlanYear+1,1,31),DATE(PlanYear,1,1)+139,"")</f>
        <v/>
      </c>
      <c r="B145" s="16" t="n"/>
      <c r="C145" s="16" t="n"/>
      <c r="D145" s="16" t="n"/>
      <c r="E145" s="16" t="n"/>
      <c r="F145" s="16" t="n"/>
      <c r="G145" s="16" t="n"/>
      <c r="H145" s="16" t="n"/>
      <c r="I145" s="16" t="n"/>
      <c r="J145" s="16" t="n"/>
      <c r="K145" s="16" t="n"/>
      <c r="L145" s="16" t="n"/>
      <c r="M145" s="16" t="n"/>
      <c r="N145" s="16" t="n"/>
      <c r="O145" s="16" t="n"/>
      <c r="P145" s="16" t="n"/>
      <c r="Q145" s="16" t="n"/>
    </row>
    <row r="146">
      <c r="A146" s="15">
        <f>IF(DATE(PlanYear,1,1)+140&lt;=DATE(PlanYear+1,1,31),DATE(PlanYear,1,1)+140,"")</f>
        <v/>
      </c>
      <c r="B146" s="16" t="n"/>
      <c r="C146" s="16" t="n"/>
      <c r="D146" s="16" t="n"/>
      <c r="E146" s="16" t="n"/>
      <c r="F146" s="16" t="n"/>
      <c r="G146" s="16" t="n"/>
      <c r="H146" s="16" t="n"/>
      <c r="I146" s="16" t="n"/>
      <c r="J146" s="16" t="n"/>
      <c r="K146" s="16" t="n"/>
      <c r="L146" s="16" t="n"/>
      <c r="M146" s="16" t="n"/>
      <c r="N146" s="16" t="n"/>
      <c r="O146" s="16" t="n"/>
      <c r="P146" s="16" t="n"/>
      <c r="Q146" s="16" t="n"/>
    </row>
    <row r="147">
      <c r="A147" s="15">
        <f>IF(DATE(PlanYear,1,1)+141&lt;=DATE(PlanYear+1,1,31),DATE(PlanYear,1,1)+141,"")</f>
        <v/>
      </c>
      <c r="B147" s="16" t="n"/>
      <c r="C147" s="16" t="n"/>
      <c r="D147" s="16" t="n"/>
      <c r="E147" s="16" t="n"/>
      <c r="F147" s="16" t="n"/>
      <c r="G147" s="16" t="n"/>
      <c r="H147" s="16" t="n"/>
      <c r="I147" s="16" t="n"/>
      <c r="J147" s="16" t="n"/>
      <c r="K147" s="16" t="n"/>
      <c r="L147" s="16" t="n"/>
      <c r="M147" s="16" t="n"/>
      <c r="N147" s="16" t="n"/>
      <c r="O147" s="16" t="n"/>
      <c r="P147" s="16" t="n"/>
      <c r="Q147" s="16" t="n"/>
    </row>
    <row r="148">
      <c r="A148" s="15">
        <f>IF(DATE(PlanYear,1,1)+142&lt;=DATE(PlanYear+1,1,31),DATE(PlanYear,1,1)+142,"")</f>
        <v/>
      </c>
      <c r="B148" s="16" t="n"/>
      <c r="C148" s="16" t="n"/>
      <c r="D148" s="16" t="n"/>
      <c r="E148" s="16" t="n"/>
      <c r="F148" s="16" t="n"/>
      <c r="G148" s="16" t="n"/>
      <c r="H148" s="16" t="n"/>
      <c r="I148" s="16" t="n"/>
      <c r="J148" s="16" t="n"/>
      <c r="K148" s="16" t="n"/>
      <c r="L148" s="16" t="n"/>
      <c r="M148" s="16" t="n"/>
      <c r="N148" s="16" t="n"/>
      <c r="O148" s="16" t="n"/>
      <c r="P148" s="16" t="n"/>
      <c r="Q148" s="16" t="n"/>
    </row>
    <row r="149">
      <c r="A149" s="15">
        <f>IF(DATE(PlanYear,1,1)+143&lt;=DATE(PlanYear+1,1,31),DATE(PlanYear,1,1)+143,"")</f>
        <v/>
      </c>
      <c r="B149" s="16" t="n"/>
      <c r="C149" s="16" t="n"/>
      <c r="D149" s="16" t="n"/>
      <c r="E149" s="16" t="n"/>
      <c r="F149" s="16" t="n"/>
      <c r="G149" s="16" t="n"/>
      <c r="H149" s="16" t="n"/>
      <c r="I149" s="16" t="n"/>
      <c r="J149" s="16" t="n"/>
      <c r="K149" s="16" t="n"/>
      <c r="L149" s="16" t="n"/>
      <c r="M149" s="16" t="n"/>
      <c r="N149" s="16" t="n"/>
      <c r="O149" s="16" t="n"/>
      <c r="P149" s="16" t="n"/>
      <c r="Q149" s="16" t="n"/>
    </row>
    <row r="150">
      <c r="A150" s="15">
        <f>IF(DATE(PlanYear,1,1)+144&lt;=DATE(PlanYear+1,1,31),DATE(PlanYear,1,1)+144,"")</f>
        <v/>
      </c>
      <c r="B150" s="16" t="n"/>
      <c r="C150" s="16" t="n"/>
      <c r="D150" s="16" t="n"/>
      <c r="E150" s="16" t="n"/>
      <c r="F150" s="16" t="n"/>
      <c r="G150" s="16" t="n"/>
      <c r="H150" s="16" t="n"/>
      <c r="I150" s="16" t="n"/>
      <c r="J150" s="16" t="n"/>
      <c r="K150" s="16" t="n"/>
      <c r="L150" s="16" t="n"/>
      <c r="M150" s="16" t="n"/>
      <c r="N150" s="16" t="n"/>
      <c r="O150" s="16" t="n"/>
      <c r="P150" s="16" t="n"/>
      <c r="Q150" s="16" t="n"/>
    </row>
    <row r="151">
      <c r="A151" s="15">
        <f>IF(DATE(PlanYear,1,1)+145&lt;=DATE(PlanYear+1,1,31),DATE(PlanYear,1,1)+145,"")</f>
        <v/>
      </c>
      <c r="B151" s="16" t="n"/>
      <c r="C151" s="16" t="n"/>
      <c r="D151" s="16" t="n"/>
      <c r="E151" s="16" t="n"/>
      <c r="F151" s="16" t="n"/>
      <c r="G151" s="16" t="n"/>
      <c r="H151" s="16" t="n"/>
      <c r="I151" s="16" t="n"/>
      <c r="J151" s="16" t="n"/>
      <c r="K151" s="16" t="n"/>
      <c r="L151" s="16" t="n"/>
      <c r="M151" s="16" t="n"/>
      <c r="N151" s="16" t="n"/>
      <c r="O151" s="16" t="n"/>
      <c r="P151" s="16" t="n"/>
      <c r="Q151" s="16" t="n"/>
    </row>
    <row r="152">
      <c r="A152" s="15">
        <f>IF(DATE(PlanYear,1,1)+146&lt;=DATE(PlanYear+1,1,31),DATE(PlanYear,1,1)+146,"")</f>
        <v/>
      </c>
      <c r="B152" s="16" t="n"/>
      <c r="C152" s="16" t="n"/>
      <c r="D152" s="16" t="n"/>
      <c r="E152" s="16" t="n"/>
      <c r="F152" s="16" t="n"/>
      <c r="G152" s="16" t="n"/>
      <c r="H152" s="16" t="n"/>
      <c r="I152" s="16" t="n"/>
      <c r="J152" s="16" t="n"/>
      <c r="K152" s="16" t="n"/>
      <c r="L152" s="16" t="n"/>
      <c r="M152" s="16" t="n"/>
      <c r="N152" s="16" t="n"/>
      <c r="O152" s="16" t="n"/>
      <c r="P152" s="16" t="n"/>
      <c r="Q152" s="16" t="n"/>
    </row>
    <row r="153">
      <c r="A153" s="15">
        <f>IF(DATE(PlanYear,1,1)+147&lt;=DATE(PlanYear+1,1,31),DATE(PlanYear,1,1)+147,"")</f>
        <v/>
      </c>
      <c r="B153" s="16" t="n"/>
      <c r="C153" s="16" t="n"/>
      <c r="D153" s="16" t="n"/>
      <c r="E153" s="16" t="n"/>
      <c r="F153" s="16" t="n"/>
      <c r="G153" s="16" t="n"/>
      <c r="H153" s="16" t="n"/>
      <c r="I153" s="16" t="n"/>
      <c r="J153" s="16" t="n"/>
      <c r="K153" s="16" t="n"/>
      <c r="L153" s="16" t="n"/>
      <c r="M153" s="16" t="n"/>
      <c r="N153" s="16" t="n"/>
      <c r="O153" s="16" t="n"/>
      <c r="P153" s="16" t="n"/>
      <c r="Q153" s="16" t="n"/>
    </row>
    <row r="154">
      <c r="A154" s="15">
        <f>IF(DATE(PlanYear,1,1)+148&lt;=DATE(PlanYear+1,1,31),DATE(PlanYear,1,1)+148,"")</f>
        <v/>
      </c>
      <c r="B154" s="16" t="n"/>
      <c r="C154" s="16" t="n"/>
      <c r="D154" s="16" t="n"/>
      <c r="E154" s="16" t="n"/>
      <c r="F154" s="16" t="n"/>
      <c r="G154" s="16" t="n"/>
      <c r="H154" s="16" t="n"/>
      <c r="I154" s="16" t="n"/>
      <c r="J154" s="16" t="n"/>
      <c r="K154" s="16" t="n"/>
      <c r="L154" s="16" t="n"/>
      <c r="M154" s="16" t="n"/>
      <c r="N154" s="16" t="n"/>
      <c r="O154" s="16" t="n"/>
      <c r="P154" s="16" t="n"/>
      <c r="Q154" s="16" t="n"/>
    </row>
    <row r="155">
      <c r="A155" s="15">
        <f>IF(DATE(PlanYear,1,1)+149&lt;=DATE(PlanYear+1,1,31),DATE(PlanYear,1,1)+149,"")</f>
        <v/>
      </c>
      <c r="B155" s="16" t="n"/>
      <c r="C155" s="16" t="n"/>
      <c r="D155" s="16" t="n"/>
      <c r="E155" s="16" t="n"/>
      <c r="F155" s="16" t="n"/>
      <c r="G155" s="16" t="n"/>
      <c r="H155" s="16" t="n"/>
      <c r="I155" s="16" t="n"/>
      <c r="J155" s="16" t="n"/>
      <c r="K155" s="16" t="n"/>
      <c r="L155" s="16" t="n"/>
      <c r="M155" s="16" t="n"/>
      <c r="N155" s="16" t="n"/>
      <c r="O155" s="16" t="n"/>
      <c r="P155" s="16" t="n"/>
      <c r="Q155" s="16" t="n"/>
    </row>
    <row r="156">
      <c r="A156" s="15">
        <f>IF(DATE(PlanYear,1,1)+150&lt;=DATE(PlanYear+1,1,31),DATE(PlanYear,1,1)+150,"")</f>
        <v/>
      </c>
      <c r="B156" s="16" t="n"/>
      <c r="C156" s="16" t="n"/>
      <c r="D156" s="16" t="n"/>
      <c r="E156" s="16" t="n"/>
      <c r="F156" s="16" t="n"/>
      <c r="G156" s="16" t="n"/>
      <c r="H156" s="16" t="n"/>
      <c r="I156" s="16" t="n"/>
      <c r="J156" s="16" t="n"/>
      <c r="K156" s="16" t="n"/>
      <c r="L156" s="16" t="n"/>
      <c r="M156" s="16" t="n"/>
      <c r="N156" s="16" t="n"/>
      <c r="O156" s="16" t="n"/>
      <c r="P156" s="16" t="n"/>
      <c r="Q156" s="16" t="n"/>
    </row>
    <row r="157">
      <c r="A157" s="15">
        <f>IF(DATE(PlanYear,1,1)+151&lt;=DATE(PlanYear+1,1,31),DATE(PlanYear,1,1)+151,"")</f>
        <v/>
      </c>
      <c r="B157" s="16" t="n"/>
      <c r="C157" s="16" t="n"/>
      <c r="D157" s="16" t="n"/>
      <c r="E157" s="16" t="n"/>
      <c r="F157" s="16" t="n"/>
      <c r="G157" s="16" t="n"/>
      <c r="H157" s="16" t="n"/>
      <c r="I157" s="16" t="n"/>
      <c r="J157" s="16" t="n"/>
      <c r="K157" s="16" t="n"/>
      <c r="L157" s="16" t="n"/>
      <c r="M157" s="16" t="n"/>
      <c r="N157" s="16" t="n"/>
      <c r="O157" s="16" t="n"/>
      <c r="P157" s="16" t="n"/>
      <c r="Q157" s="16" t="n"/>
    </row>
    <row r="158">
      <c r="A158" s="15">
        <f>IF(DATE(PlanYear,1,1)+152&lt;=DATE(PlanYear+1,1,31),DATE(PlanYear,1,1)+152,"")</f>
        <v/>
      </c>
      <c r="B158" s="16" t="n"/>
      <c r="C158" s="16" t="n"/>
      <c r="D158" s="16" t="n"/>
      <c r="E158" s="16" t="n"/>
      <c r="F158" s="16" t="n"/>
      <c r="G158" s="16" t="n"/>
      <c r="H158" s="16" t="n"/>
      <c r="I158" s="16" t="n"/>
      <c r="J158" s="16" t="n"/>
      <c r="K158" s="16" t="n"/>
      <c r="L158" s="16" t="n"/>
      <c r="M158" s="16" t="n"/>
      <c r="N158" s="16" t="n"/>
      <c r="O158" s="16" t="n"/>
      <c r="P158" s="16" t="n"/>
      <c r="Q158" s="16" t="n"/>
    </row>
    <row r="159">
      <c r="A159" s="15">
        <f>IF(DATE(PlanYear,1,1)+153&lt;=DATE(PlanYear+1,1,31),DATE(PlanYear,1,1)+153,"")</f>
        <v/>
      </c>
      <c r="B159" s="16" t="n"/>
      <c r="C159" s="16" t="n"/>
      <c r="D159" s="16" t="n"/>
      <c r="E159" s="16" t="n"/>
      <c r="F159" s="16" t="n"/>
      <c r="G159" s="16" t="n"/>
      <c r="H159" s="16" t="n"/>
      <c r="I159" s="16" t="n"/>
      <c r="J159" s="16" t="n"/>
      <c r="K159" s="16" t="n"/>
      <c r="L159" s="16" t="n"/>
      <c r="M159" s="16" t="n"/>
      <c r="N159" s="16" t="n"/>
      <c r="O159" s="16" t="n"/>
      <c r="P159" s="16" t="n"/>
      <c r="Q159" s="16" t="n"/>
    </row>
    <row r="160">
      <c r="A160" s="15">
        <f>IF(DATE(PlanYear,1,1)+154&lt;=DATE(PlanYear+1,1,31),DATE(PlanYear,1,1)+154,"")</f>
        <v/>
      </c>
      <c r="B160" s="16" t="n"/>
      <c r="C160" s="16" t="n"/>
      <c r="D160" s="16" t="n"/>
      <c r="E160" s="16" t="n"/>
      <c r="F160" s="16" t="n"/>
      <c r="G160" s="16" t="n"/>
      <c r="H160" s="16" t="n"/>
      <c r="I160" s="16" t="n"/>
      <c r="J160" s="16" t="n"/>
      <c r="K160" s="16" t="n"/>
      <c r="L160" s="16" t="n"/>
      <c r="M160" s="16" t="n"/>
      <c r="N160" s="16" t="n"/>
      <c r="O160" s="16" t="n"/>
      <c r="P160" s="16" t="n"/>
      <c r="Q160" s="16" t="n"/>
    </row>
    <row r="161">
      <c r="A161" s="15">
        <f>IF(DATE(PlanYear,1,1)+155&lt;=DATE(PlanYear+1,1,31),DATE(PlanYear,1,1)+155,"")</f>
        <v/>
      </c>
      <c r="B161" s="16" t="n"/>
      <c r="C161" s="16" t="n"/>
      <c r="D161" s="16" t="n"/>
      <c r="E161" s="16" t="n"/>
      <c r="F161" s="16" t="n"/>
      <c r="G161" s="16" t="n"/>
      <c r="H161" s="16" t="n"/>
      <c r="I161" s="16" t="n"/>
      <c r="J161" s="16" t="n"/>
      <c r="K161" s="16" t="n"/>
      <c r="L161" s="16" t="n"/>
      <c r="M161" s="16" t="n"/>
      <c r="N161" s="16" t="n"/>
      <c r="O161" s="16" t="n"/>
      <c r="P161" s="16" t="n"/>
      <c r="Q161" s="16" t="n"/>
    </row>
    <row r="162">
      <c r="A162" s="15">
        <f>IF(DATE(PlanYear,1,1)+156&lt;=DATE(PlanYear+1,1,31),DATE(PlanYear,1,1)+156,"")</f>
        <v/>
      </c>
      <c r="B162" s="16" t="n"/>
      <c r="C162" s="16" t="n"/>
      <c r="D162" s="16" t="n"/>
      <c r="E162" s="16" t="n"/>
      <c r="F162" s="16" t="n"/>
      <c r="G162" s="16" t="n"/>
      <c r="H162" s="16" t="n"/>
      <c r="I162" s="16" t="n"/>
      <c r="J162" s="16" t="n"/>
      <c r="K162" s="16" t="n"/>
      <c r="L162" s="16" t="n"/>
      <c r="M162" s="16" t="n"/>
      <c r="N162" s="16" t="n"/>
      <c r="O162" s="16" t="n"/>
      <c r="P162" s="16" t="n"/>
      <c r="Q162" s="16" t="n"/>
    </row>
    <row r="163">
      <c r="A163" s="15">
        <f>IF(DATE(PlanYear,1,1)+157&lt;=DATE(PlanYear+1,1,31),DATE(PlanYear,1,1)+157,"")</f>
        <v/>
      </c>
      <c r="B163" s="16" t="n"/>
      <c r="C163" s="16" t="n"/>
      <c r="D163" s="16" t="n"/>
      <c r="E163" s="16" t="n"/>
      <c r="F163" s="16" t="n"/>
      <c r="G163" s="16" t="n"/>
      <c r="H163" s="16" t="n"/>
      <c r="I163" s="16" t="n"/>
      <c r="J163" s="16" t="n"/>
      <c r="K163" s="16" t="n"/>
      <c r="L163" s="16" t="n"/>
      <c r="M163" s="16" t="n"/>
      <c r="N163" s="16" t="n"/>
      <c r="O163" s="16" t="n"/>
      <c r="P163" s="16" t="n"/>
      <c r="Q163" s="16" t="n"/>
    </row>
    <row r="164">
      <c r="A164" s="15">
        <f>IF(DATE(PlanYear,1,1)+158&lt;=DATE(PlanYear+1,1,31),DATE(PlanYear,1,1)+158,"")</f>
        <v/>
      </c>
      <c r="B164" s="16" t="n"/>
      <c r="C164" s="16" t="n"/>
      <c r="D164" s="16" t="n"/>
      <c r="E164" s="16" t="n"/>
      <c r="F164" s="16" t="n"/>
      <c r="G164" s="16" t="n"/>
      <c r="H164" s="16" t="n"/>
      <c r="I164" s="16" t="n"/>
      <c r="J164" s="16" t="n"/>
      <c r="K164" s="16" t="n"/>
      <c r="L164" s="16" t="n"/>
      <c r="M164" s="16" t="n"/>
      <c r="N164" s="16" t="n"/>
      <c r="O164" s="16" t="n"/>
      <c r="P164" s="16" t="n"/>
      <c r="Q164" s="16" t="n"/>
    </row>
    <row r="165">
      <c r="A165" s="15">
        <f>IF(DATE(PlanYear,1,1)+159&lt;=DATE(PlanYear+1,1,31),DATE(PlanYear,1,1)+159,"")</f>
        <v/>
      </c>
      <c r="B165" s="16" t="n"/>
      <c r="C165" s="16" t="n"/>
      <c r="D165" s="16" t="n"/>
      <c r="E165" s="16" t="n"/>
      <c r="F165" s="16" t="n"/>
      <c r="G165" s="16" t="n"/>
      <c r="H165" s="16" t="n"/>
      <c r="I165" s="16" t="n"/>
      <c r="J165" s="16" t="n"/>
      <c r="K165" s="16" t="n"/>
      <c r="L165" s="16" t="n"/>
      <c r="M165" s="16" t="n"/>
      <c r="N165" s="16" t="n"/>
      <c r="O165" s="16" t="n"/>
      <c r="P165" s="16" t="n"/>
      <c r="Q165" s="16" t="n"/>
    </row>
    <row r="166">
      <c r="A166" s="15">
        <f>IF(DATE(PlanYear,1,1)+160&lt;=DATE(PlanYear+1,1,31),DATE(PlanYear,1,1)+160,"")</f>
        <v/>
      </c>
      <c r="B166" s="16" t="n"/>
      <c r="C166" s="16" t="n"/>
      <c r="D166" s="16" t="n"/>
      <c r="E166" s="16" t="n"/>
      <c r="F166" s="16" t="n"/>
      <c r="G166" s="16" t="n"/>
      <c r="H166" s="16" t="n"/>
      <c r="I166" s="16" t="n"/>
      <c r="J166" s="16" t="n"/>
      <c r="K166" s="16" t="n"/>
      <c r="L166" s="16" t="n"/>
      <c r="M166" s="16" t="n"/>
      <c r="N166" s="16" t="n"/>
      <c r="O166" s="16" t="n"/>
      <c r="P166" s="16" t="n"/>
      <c r="Q166" s="16" t="n"/>
    </row>
    <row r="167">
      <c r="A167" s="15">
        <f>IF(DATE(PlanYear,1,1)+161&lt;=DATE(PlanYear+1,1,31),DATE(PlanYear,1,1)+161,"")</f>
        <v/>
      </c>
      <c r="B167" s="16" t="n"/>
      <c r="C167" s="16" t="n"/>
      <c r="D167" s="16" t="n"/>
      <c r="E167" s="16" t="n"/>
      <c r="F167" s="16" t="n"/>
      <c r="G167" s="16" t="n"/>
      <c r="H167" s="16" t="n"/>
      <c r="I167" s="16" t="n"/>
      <c r="J167" s="16" t="n"/>
      <c r="K167" s="16" t="n"/>
      <c r="L167" s="16" t="n"/>
      <c r="M167" s="16" t="n"/>
      <c r="N167" s="16" t="n"/>
      <c r="O167" s="16" t="n"/>
      <c r="P167" s="16" t="n"/>
      <c r="Q167" s="16" t="n"/>
    </row>
    <row r="168">
      <c r="A168" s="15">
        <f>IF(DATE(PlanYear,1,1)+162&lt;=DATE(PlanYear+1,1,31),DATE(PlanYear,1,1)+162,"")</f>
        <v/>
      </c>
      <c r="B168" s="16" t="n"/>
      <c r="C168" s="16" t="n"/>
      <c r="D168" s="16" t="n"/>
      <c r="E168" s="16" t="n"/>
      <c r="F168" s="16" t="n"/>
      <c r="G168" s="16" t="n"/>
      <c r="H168" s="16" t="n"/>
      <c r="I168" s="16" t="n"/>
      <c r="J168" s="16" t="n"/>
      <c r="K168" s="16" t="n"/>
      <c r="L168" s="16" t="n"/>
      <c r="M168" s="16" t="n"/>
      <c r="N168" s="16" t="n"/>
      <c r="O168" s="16" t="n"/>
      <c r="P168" s="16" t="n"/>
      <c r="Q168" s="16" t="n"/>
    </row>
    <row r="169">
      <c r="A169" s="15">
        <f>IF(DATE(PlanYear,1,1)+163&lt;=DATE(PlanYear+1,1,31),DATE(PlanYear,1,1)+163,"")</f>
        <v/>
      </c>
      <c r="B169" s="16" t="n"/>
      <c r="C169" s="16" t="n"/>
      <c r="D169" s="16" t="n"/>
      <c r="E169" s="16" t="n"/>
      <c r="F169" s="16" t="n"/>
      <c r="G169" s="16" t="n"/>
      <c r="H169" s="16" t="n"/>
      <c r="I169" s="16" t="n"/>
      <c r="J169" s="16" t="n"/>
      <c r="K169" s="16" t="n"/>
      <c r="L169" s="16" t="n"/>
      <c r="M169" s="16" t="n"/>
      <c r="N169" s="16" t="n"/>
      <c r="O169" s="16" t="n"/>
      <c r="P169" s="16" t="n"/>
      <c r="Q169" s="16" t="n"/>
    </row>
    <row r="170">
      <c r="A170" s="15">
        <f>IF(DATE(PlanYear,1,1)+164&lt;=DATE(PlanYear+1,1,31),DATE(PlanYear,1,1)+164,"")</f>
        <v/>
      </c>
      <c r="B170" s="16" t="n"/>
      <c r="C170" s="16" t="n"/>
      <c r="D170" s="16" t="n"/>
      <c r="E170" s="16" t="n"/>
      <c r="F170" s="16" t="n"/>
      <c r="G170" s="16" t="n"/>
      <c r="H170" s="16" t="n"/>
      <c r="I170" s="16" t="n"/>
      <c r="J170" s="16" t="n"/>
      <c r="K170" s="16" t="n"/>
      <c r="L170" s="16" t="n"/>
      <c r="M170" s="16" t="n"/>
      <c r="N170" s="16" t="n"/>
      <c r="O170" s="16" t="n"/>
      <c r="P170" s="16" t="n"/>
      <c r="Q170" s="16" t="n"/>
    </row>
    <row r="171">
      <c r="A171" s="15">
        <f>IF(DATE(PlanYear,1,1)+165&lt;=DATE(PlanYear+1,1,31),DATE(PlanYear,1,1)+165,"")</f>
        <v/>
      </c>
      <c r="B171" s="16" t="n"/>
      <c r="C171" s="16" t="n"/>
      <c r="D171" s="16" t="n"/>
      <c r="E171" s="16" t="n"/>
      <c r="F171" s="16" t="n"/>
      <c r="G171" s="16" t="n"/>
      <c r="H171" s="16" t="n"/>
      <c r="I171" s="16" t="n"/>
      <c r="J171" s="16" t="n"/>
      <c r="K171" s="16" t="n"/>
      <c r="L171" s="16" t="n"/>
      <c r="M171" s="16" t="n"/>
      <c r="N171" s="16" t="n"/>
      <c r="O171" s="16" t="n"/>
      <c r="P171" s="16" t="n"/>
      <c r="Q171" s="16" t="n"/>
    </row>
    <row r="172">
      <c r="A172" s="15">
        <f>IF(DATE(PlanYear,1,1)+166&lt;=DATE(PlanYear+1,1,31),DATE(PlanYear,1,1)+166,"")</f>
        <v/>
      </c>
      <c r="B172" s="16" t="n"/>
      <c r="C172" s="16" t="n"/>
      <c r="D172" s="16" t="n"/>
      <c r="E172" s="16" t="n"/>
      <c r="F172" s="16" t="n"/>
      <c r="G172" s="16" t="n"/>
      <c r="H172" s="16" t="n"/>
      <c r="I172" s="16" t="n"/>
      <c r="J172" s="16" t="n"/>
      <c r="K172" s="16" t="n"/>
      <c r="L172" s="16" t="n"/>
      <c r="M172" s="16" t="n"/>
      <c r="N172" s="16" t="n"/>
      <c r="O172" s="16" t="n"/>
      <c r="P172" s="16" t="n"/>
      <c r="Q172" s="16" t="n"/>
    </row>
    <row r="173">
      <c r="A173" s="15">
        <f>IF(DATE(PlanYear,1,1)+167&lt;=DATE(PlanYear+1,1,31),DATE(PlanYear,1,1)+167,"")</f>
        <v/>
      </c>
      <c r="B173" s="16" t="n"/>
      <c r="C173" s="16" t="n"/>
      <c r="D173" s="16" t="n"/>
      <c r="E173" s="16" t="n"/>
      <c r="F173" s="16" t="n"/>
      <c r="G173" s="16" t="n"/>
      <c r="H173" s="16" t="n"/>
      <c r="I173" s="16" t="n"/>
      <c r="J173" s="16" t="n"/>
      <c r="K173" s="16" t="n"/>
      <c r="L173" s="16" t="n"/>
      <c r="M173" s="16" t="n"/>
      <c r="N173" s="16" t="n"/>
      <c r="O173" s="16" t="n"/>
      <c r="P173" s="16" t="n"/>
      <c r="Q173" s="16" t="n"/>
    </row>
    <row r="174">
      <c r="A174" s="15">
        <f>IF(DATE(PlanYear,1,1)+168&lt;=DATE(PlanYear+1,1,31),DATE(PlanYear,1,1)+168,"")</f>
        <v/>
      </c>
      <c r="B174" s="16" t="n"/>
      <c r="C174" s="16" t="n"/>
      <c r="D174" s="16" t="n"/>
      <c r="E174" s="16" t="n"/>
      <c r="F174" s="16" t="n"/>
      <c r="G174" s="16" t="n"/>
      <c r="H174" s="16" t="n"/>
      <c r="I174" s="16" t="n"/>
      <c r="J174" s="16" t="n"/>
      <c r="K174" s="16" t="n"/>
      <c r="L174" s="16" t="n"/>
      <c r="M174" s="16" t="n"/>
      <c r="N174" s="16" t="n"/>
      <c r="O174" s="16" t="n"/>
      <c r="P174" s="16" t="n"/>
      <c r="Q174" s="16" t="n"/>
    </row>
    <row r="175">
      <c r="A175" s="15">
        <f>IF(DATE(PlanYear,1,1)+169&lt;=DATE(PlanYear+1,1,31),DATE(PlanYear,1,1)+169,"")</f>
        <v/>
      </c>
      <c r="B175" s="16" t="n"/>
      <c r="C175" s="16" t="n"/>
      <c r="D175" s="16" t="n"/>
      <c r="E175" s="16" t="n"/>
      <c r="F175" s="16" t="n"/>
      <c r="G175" s="16" t="n"/>
      <c r="H175" s="16" t="n"/>
      <c r="I175" s="16" t="n"/>
      <c r="J175" s="16" t="n"/>
      <c r="K175" s="16" t="n"/>
      <c r="L175" s="16" t="n"/>
      <c r="M175" s="16" t="n"/>
      <c r="N175" s="16" t="n"/>
      <c r="O175" s="16" t="n"/>
      <c r="P175" s="16" t="n"/>
      <c r="Q175" s="16" t="n"/>
    </row>
    <row r="176">
      <c r="A176" s="15">
        <f>IF(DATE(PlanYear,1,1)+170&lt;=DATE(PlanYear+1,1,31),DATE(PlanYear,1,1)+170,"")</f>
        <v/>
      </c>
      <c r="B176" s="16" t="n"/>
      <c r="C176" s="16" t="n"/>
      <c r="D176" s="16" t="n"/>
      <c r="E176" s="16" t="n"/>
      <c r="F176" s="16" t="n"/>
      <c r="G176" s="16" t="n"/>
      <c r="H176" s="16" t="n"/>
      <c r="I176" s="16" t="n"/>
      <c r="J176" s="16" t="n"/>
      <c r="K176" s="16" t="n"/>
      <c r="L176" s="16" t="n"/>
      <c r="M176" s="16" t="n"/>
      <c r="N176" s="16" t="n"/>
      <c r="O176" s="16" t="n"/>
      <c r="P176" s="16" t="n"/>
      <c r="Q176" s="16" t="n"/>
    </row>
    <row r="177">
      <c r="A177" s="15">
        <f>IF(DATE(PlanYear,1,1)+171&lt;=DATE(PlanYear+1,1,31),DATE(PlanYear,1,1)+171,"")</f>
        <v/>
      </c>
      <c r="B177" s="16" t="n"/>
      <c r="C177" s="16" t="n"/>
      <c r="D177" s="16" t="n"/>
      <c r="E177" s="16" t="n"/>
      <c r="F177" s="16" t="n"/>
      <c r="G177" s="16" t="n"/>
      <c r="H177" s="16" t="n"/>
      <c r="I177" s="16" t="n"/>
      <c r="J177" s="16" t="n"/>
      <c r="K177" s="16" t="n"/>
      <c r="L177" s="16" t="n"/>
      <c r="M177" s="16" t="n"/>
      <c r="N177" s="16" t="n"/>
      <c r="O177" s="16" t="n"/>
      <c r="P177" s="16" t="n"/>
      <c r="Q177" s="16" t="n"/>
    </row>
    <row r="178">
      <c r="A178" s="15">
        <f>IF(DATE(PlanYear,1,1)+172&lt;=DATE(PlanYear+1,1,31),DATE(PlanYear,1,1)+172,"")</f>
        <v/>
      </c>
      <c r="B178" s="16" t="n"/>
      <c r="C178" s="16" t="n"/>
      <c r="D178" s="16" t="n"/>
      <c r="E178" s="16" t="n"/>
      <c r="F178" s="16" t="n"/>
      <c r="G178" s="16" t="n"/>
      <c r="H178" s="16" t="n"/>
      <c r="I178" s="16" t="n"/>
      <c r="J178" s="16" t="n"/>
      <c r="K178" s="16" t="n"/>
      <c r="L178" s="16" t="n"/>
      <c r="M178" s="16" t="n"/>
      <c r="N178" s="16" t="n"/>
      <c r="O178" s="16" t="n"/>
      <c r="P178" s="16" t="n"/>
      <c r="Q178" s="16" t="n"/>
    </row>
    <row r="179">
      <c r="A179" s="15">
        <f>IF(DATE(PlanYear,1,1)+173&lt;=DATE(PlanYear+1,1,31),DATE(PlanYear,1,1)+173,"")</f>
        <v/>
      </c>
      <c r="B179" s="16" t="n"/>
      <c r="C179" s="16" t="n"/>
      <c r="D179" s="16" t="n"/>
      <c r="E179" s="16" t="n"/>
      <c r="F179" s="16" t="n"/>
      <c r="G179" s="16" t="n"/>
      <c r="H179" s="16" t="n"/>
      <c r="I179" s="16" t="n"/>
      <c r="J179" s="16" t="n"/>
      <c r="K179" s="16" t="n"/>
      <c r="L179" s="16" t="n"/>
      <c r="M179" s="16" t="n"/>
      <c r="N179" s="16" t="n"/>
      <c r="O179" s="16" t="n"/>
      <c r="P179" s="16" t="n"/>
      <c r="Q179" s="16" t="n"/>
    </row>
    <row r="180">
      <c r="A180" s="15">
        <f>IF(DATE(PlanYear,1,1)+174&lt;=DATE(PlanYear+1,1,31),DATE(PlanYear,1,1)+174,"")</f>
        <v/>
      </c>
      <c r="B180" s="16" t="n"/>
      <c r="C180" s="16" t="n"/>
      <c r="D180" s="16" t="n"/>
      <c r="E180" s="16" t="n"/>
      <c r="F180" s="16" t="n"/>
      <c r="G180" s="16" t="n"/>
      <c r="H180" s="16" t="n"/>
      <c r="I180" s="16" t="n"/>
      <c r="J180" s="16" t="n"/>
      <c r="K180" s="16" t="n"/>
      <c r="L180" s="16" t="n"/>
      <c r="M180" s="16" t="n"/>
      <c r="N180" s="16" t="n"/>
      <c r="O180" s="16" t="n"/>
      <c r="P180" s="16" t="n"/>
      <c r="Q180" s="16" t="n"/>
    </row>
    <row r="181">
      <c r="A181" s="15">
        <f>IF(DATE(PlanYear,1,1)+175&lt;=DATE(PlanYear+1,1,31),DATE(PlanYear,1,1)+175,"")</f>
        <v/>
      </c>
      <c r="B181" s="16" t="n"/>
      <c r="C181" s="16" t="n"/>
      <c r="D181" s="16" t="n"/>
      <c r="E181" s="16" t="n"/>
      <c r="F181" s="16" t="n"/>
      <c r="G181" s="16" t="n"/>
      <c r="H181" s="16" t="n"/>
      <c r="I181" s="16" t="n"/>
      <c r="J181" s="16" t="n"/>
      <c r="K181" s="16" t="n"/>
      <c r="L181" s="16" t="n"/>
      <c r="M181" s="16" t="n"/>
      <c r="N181" s="16" t="n"/>
      <c r="O181" s="16" t="n"/>
      <c r="P181" s="16" t="n"/>
      <c r="Q181" s="16" t="n"/>
    </row>
    <row r="182">
      <c r="A182" s="15">
        <f>IF(DATE(PlanYear,1,1)+176&lt;=DATE(PlanYear+1,1,31),DATE(PlanYear,1,1)+176,"")</f>
        <v/>
      </c>
      <c r="B182" s="16" t="n"/>
      <c r="C182" s="16" t="n"/>
      <c r="D182" s="16" t="n"/>
      <c r="E182" s="16" t="n"/>
      <c r="F182" s="16" t="n"/>
      <c r="G182" s="16" t="n"/>
      <c r="H182" s="16" t="n"/>
      <c r="I182" s="16" t="n"/>
      <c r="J182" s="16" t="n"/>
      <c r="K182" s="16" t="n"/>
      <c r="L182" s="16" t="n"/>
      <c r="M182" s="16" t="n"/>
      <c r="N182" s="16" t="n"/>
      <c r="O182" s="16" t="n"/>
      <c r="P182" s="16" t="n"/>
      <c r="Q182" s="16" t="n"/>
    </row>
    <row r="183">
      <c r="A183" s="15">
        <f>IF(DATE(PlanYear,1,1)+177&lt;=DATE(PlanYear+1,1,31),DATE(PlanYear,1,1)+177,"")</f>
        <v/>
      </c>
      <c r="B183" s="16" t="n"/>
      <c r="C183" s="16" t="n"/>
      <c r="D183" s="16" t="n"/>
      <c r="E183" s="16" t="n"/>
      <c r="F183" s="16" t="n"/>
      <c r="G183" s="16" t="n"/>
      <c r="H183" s="16" t="n"/>
      <c r="I183" s="16" t="n"/>
      <c r="J183" s="16" t="n"/>
      <c r="K183" s="16" t="n"/>
      <c r="L183" s="16" t="n"/>
      <c r="M183" s="16" t="n"/>
      <c r="N183" s="16" t="n"/>
      <c r="O183" s="16" t="n"/>
      <c r="P183" s="16" t="n"/>
      <c r="Q183" s="16" t="n"/>
    </row>
    <row r="184">
      <c r="A184" s="15">
        <f>IF(DATE(PlanYear,1,1)+178&lt;=DATE(PlanYear+1,1,31),DATE(PlanYear,1,1)+178,"")</f>
        <v/>
      </c>
      <c r="B184" s="16" t="n"/>
      <c r="C184" s="16" t="n"/>
      <c r="D184" s="16" t="n"/>
      <c r="E184" s="16" t="n"/>
      <c r="F184" s="16" t="n"/>
      <c r="G184" s="16" t="n"/>
      <c r="H184" s="16" t="n"/>
      <c r="I184" s="16" t="n"/>
      <c r="J184" s="16" t="n"/>
      <c r="K184" s="16" t="n"/>
      <c r="L184" s="16" t="n"/>
      <c r="M184" s="16" t="n"/>
      <c r="N184" s="16" t="n"/>
      <c r="O184" s="16" t="n"/>
      <c r="P184" s="16" t="n"/>
      <c r="Q184" s="16" t="n"/>
    </row>
    <row r="185">
      <c r="A185" s="15">
        <f>IF(DATE(PlanYear,1,1)+179&lt;=DATE(PlanYear+1,1,31),DATE(PlanYear,1,1)+179,"")</f>
        <v/>
      </c>
      <c r="B185" s="16" t="n"/>
      <c r="C185" s="16" t="n"/>
      <c r="D185" s="16" t="n"/>
      <c r="E185" s="16" t="n"/>
      <c r="F185" s="16" t="n"/>
      <c r="G185" s="16" t="n"/>
      <c r="H185" s="16" t="n"/>
      <c r="I185" s="16" t="n"/>
      <c r="J185" s="16" t="n"/>
      <c r="K185" s="16" t="n"/>
      <c r="L185" s="16" t="n"/>
      <c r="M185" s="16" t="n"/>
      <c r="N185" s="16" t="n"/>
      <c r="O185" s="16" t="n"/>
      <c r="P185" s="16" t="n"/>
      <c r="Q185" s="16" t="n"/>
    </row>
    <row r="186">
      <c r="A186" s="15">
        <f>IF(DATE(PlanYear,1,1)+180&lt;=DATE(PlanYear+1,1,31),DATE(PlanYear,1,1)+180,"")</f>
        <v/>
      </c>
      <c r="B186" s="16" t="n"/>
      <c r="C186" s="16" t="n"/>
      <c r="D186" s="16" t="n"/>
      <c r="E186" s="16" t="n"/>
      <c r="F186" s="16" t="n"/>
      <c r="G186" s="16" t="n"/>
      <c r="H186" s="16" t="n"/>
      <c r="I186" s="16" t="n"/>
      <c r="J186" s="16" t="n"/>
      <c r="K186" s="16" t="n"/>
      <c r="L186" s="16" t="n"/>
      <c r="M186" s="16" t="n"/>
      <c r="N186" s="16" t="n"/>
      <c r="O186" s="16" t="n"/>
      <c r="P186" s="16" t="n"/>
      <c r="Q186" s="16" t="n"/>
    </row>
    <row r="187">
      <c r="A187" s="15">
        <f>IF(DATE(PlanYear,1,1)+181&lt;=DATE(PlanYear+1,1,31),DATE(PlanYear,1,1)+181,"")</f>
        <v/>
      </c>
      <c r="B187" s="16" t="n"/>
      <c r="C187" s="16" t="n"/>
      <c r="D187" s="16" t="n"/>
      <c r="E187" s="16" t="n"/>
      <c r="F187" s="16" t="n"/>
      <c r="G187" s="16" t="n"/>
      <c r="H187" s="16" t="n"/>
      <c r="I187" s="16" t="n"/>
      <c r="J187" s="16" t="n"/>
      <c r="K187" s="16" t="n"/>
      <c r="L187" s="16" t="n"/>
      <c r="M187" s="16" t="n"/>
      <c r="N187" s="16" t="n"/>
      <c r="O187" s="16" t="n"/>
      <c r="P187" s="16" t="n"/>
      <c r="Q187" s="16" t="n"/>
    </row>
    <row r="188">
      <c r="A188" s="15">
        <f>IF(DATE(PlanYear,1,1)+182&lt;=DATE(PlanYear+1,1,31),DATE(PlanYear,1,1)+182,"")</f>
        <v/>
      </c>
      <c r="B188" s="16" t="n"/>
      <c r="C188" s="16" t="n"/>
      <c r="D188" s="16" t="n"/>
      <c r="E188" s="16" t="n"/>
      <c r="F188" s="16" t="n"/>
      <c r="G188" s="16" t="n"/>
      <c r="H188" s="16" t="n"/>
      <c r="I188" s="16" t="n"/>
      <c r="J188" s="16" t="n"/>
      <c r="K188" s="16" t="n"/>
      <c r="L188" s="16" t="n"/>
      <c r="M188" s="16" t="n"/>
      <c r="N188" s="16" t="n"/>
      <c r="O188" s="16" t="n"/>
      <c r="P188" s="16" t="n"/>
      <c r="Q188" s="16" t="n"/>
    </row>
    <row r="189">
      <c r="A189" s="15">
        <f>IF(DATE(PlanYear,1,1)+183&lt;=DATE(PlanYear+1,1,31),DATE(PlanYear,1,1)+183,"")</f>
        <v/>
      </c>
      <c r="B189" s="16" t="n"/>
      <c r="C189" s="16" t="n"/>
      <c r="D189" s="16" t="n"/>
      <c r="E189" s="16" t="n"/>
      <c r="F189" s="16" t="n"/>
      <c r="G189" s="16" t="n"/>
      <c r="H189" s="16" t="n"/>
      <c r="I189" s="16" t="n"/>
      <c r="J189" s="16" t="n"/>
      <c r="K189" s="16" t="n"/>
      <c r="L189" s="16" t="n"/>
      <c r="M189" s="16" t="n"/>
      <c r="N189" s="16" t="n"/>
      <c r="O189" s="16" t="n"/>
      <c r="P189" s="16" t="n"/>
      <c r="Q189" s="16" t="n"/>
    </row>
    <row r="190">
      <c r="A190" s="15">
        <f>IF(DATE(PlanYear,1,1)+184&lt;=DATE(PlanYear+1,1,31),DATE(PlanYear,1,1)+184,"")</f>
        <v/>
      </c>
      <c r="B190" s="16" t="n"/>
      <c r="C190" s="16" t="n"/>
      <c r="D190" s="16" t="n"/>
      <c r="E190" s="16" t="n"/>
      <c r="F190" s="16" t="n"/>
      <c r="G190" s="16" t="n"/>
      <c r="H190" s="16" t="n"/>
      <c r="I190" s="16" t="n"/>
      <c r="J190" s="16" t="n"/>
      <c r="K190" s="16" t="n"/>
      <c r="L190" s="16" t="n"/>
      <c r="M190" s="16" t="n"/>
      <c r="N190" s="16" t="n"/>
      <c r="O190" s="16" t="n"/>
      <c r="P190" s="16" t="n"/>
      <c r="Q190" s="16" t="n"/>
    </row>
    <row r="191">
      <c r="A191" s="15">
        <f>IF(DATE(PlanYear,1,1)+185&lt;=DATE(PlanYear+1,1,31),DATE(PlanYear,1,1)+185,"")</f>
        <v/>
      </c>
      <c r="B191" s="16" t="n"/>
      <c r="C191" s="16" t="n"/>
      <c r="D191" s="16" t="n"/>
      <c r="E191" s="16" t="n"/>
      <c r="F191" s="16" t="n"/>
      <c r="G191" s="16" t="n"/>
      <c r="H191" s="16" t="n"/>
      <c r="I191" s="16" t="n"/>
      <c r="J191" s="16" t="n"/>
      <c r="K191" s="16" t="n"/>
      <c r="L191" s="16" t="n"/>
      <c r="M191" s="16" t="n"/>
      <c r="N191" s="16" t="n"/>
      <c r="O191" s="16" t="n"/>
      <c r="P191" s="16" t="n"/>
      <c r="Q191" s="16" t="n"/>
    </row>
    <row r="192">
      <c r="A192" s="15">
        <f>IF(DATE(PlanYear,1,1)+186&lt;=DATE(PlanYear+1,1,31),DATE(PlanYear,1,1)+186,"")</f>
        <v/>
      </c>
      <c r="B192" s="16" t="n"/>
      <c r="C192" s="16" t="n"/>
      <c r="D192" s="16" t="n"/>
      <c r="E192" s="16" t="n"/>
      <c r="F192" s="16" t="n"/>
      <c r="G192" s="16" t="n"/>
      <c r="H192" s="16" t="n"/>
      <c r="I192" s="16" t="n"/>
      <c r="J192" s="16" t="n"/>
      <c r="K192" s="16" t="n"/>
      <c r="L192" s="16" t="n"/>
      <c r="M192" s="16" t="n"/>
      <c r="N192" s="16" t="n"/>
      <c r="O192" s="16" t="n"/>
      <c r="P192" s="16" t="n"/>
      <c r="Q192" s="16" t="n"/>
    </row>
    <row r="193">
      <c r="A193" s="15">
        <f>IF(DATE(PlanYear,1,1)+187&lt;=DATE(PlanYear+1,1,31),DATE(PlanYear,1,1)+187,"")</f>
        <v/>
      </c>
      <c r="B193" s="16" t="n"/>
      <c r="C193" s="16" t="n"/>
      <c r="D193" s="16" t="n"/>
      <c r="E193" s="16" t="n"/>
      <c r="F193" s="16" t="n"/>
      <c r="G193" s="16" t="n"/>
      <c r="H193" s="16" t="n"/>
      <c r="I193" s="16" t="n"/>
      <c r="J193" s="16" t="n"/>
      <c r="K193" s="16" t="n"/>
      <c r="L193" s="16" t="n"/>
      <c r="M193" s="16" t="n"/>
      <c r="N193" s="16" t="n"/>
      <c r="O193" s="16" t="n"/>
      <c r="P193" s="16" t="n"/>
      <c r="Q193" s="16" t="n"/>
    </row>
    <row r="194">
      <c r="A194" s="15">
        <f>IF(DATE(PlanYear,1,1)+188&lt;=DATE(PlanYear+1,1,31),DATE(PlanYear,1,1)+188,"")</f>
        <v/>
      </c>
      <c r="B194" s="16" t="n"/>
      <c r="C194" s="16" t="n"/>
      <c r="D194" s="16" t="n"/>
      <c r="E194" s="16" t="n"/>
      <c r="F194" s="16" t="n"/>
      <c r="G194" s="16" t="n"/>
      <c r="H194" s="16" t="n"/>
      <c r="I194" s="16" t="n"/>
      <c r="J194" s="16" t="n"/>
      <c r="K194" s="16" t="n"/>
      <c r="L194" s="16" t="n"/>
      <c r="M194" s="16" t="n"/>
      <c r="N194" s="16" t="n"/>
      <c r="O194" s="16" t="n"/>
      <c r="P194" s="16" t="n"/>
      <c r="Q194" s="16" t="n"/>
    </row>
    <row r="195">
      <c r="A195" s="15">
        <f>IF(DATE(PlanYear,1,1)+189&lt;=DATE(PlanYear+1,1,31),DATE(PlanYear,1,1)+189,"")</f>
        <v/>
      </c>
      <c r="B195" s="16" t="n"/>
      <c r="C195" s="16" t="n"/>
      <c r="D195" s="16" t="n"/>
      <c r="E195" s="16" t="n"/>
      <c r="F195" s="16" t="n"/>
      <c r="G195" s="16" t="n"/>
      <c r="H195" s="16" t="n"/>
      <c r="I195" s="16" t="n"/>
      <c r="J195" s="16" t="n"/>
      <c r="K195" s="16" t="n"/>
      <c r="L195" s="16" t="n"/>
      <c r="M195" s="16" t="n"/>
      <c r="N195" s="16" t="n"/>
      <c r="O195" s="16" t="n"/>
      <c r="P195" s="16" t="n"/>
      <c r="Q195" s="16" t="n"/>
    </row>
    <row r="196">
      <c r="A196" s="15">
        <f>IF(DATE(PlanYear,1,1)+190&lt;=DATE(PlanYear+1,1,31),DATE(PlanYear,1,1)+190,"")</f>
        <v/>
      </c>
      <c r="B196" s="16" t="n"/>
      <c r="C196" s="16" t="n"/>
      <c r="D196" s="16" t="n"/>
      <c r="E196" s="16" t="n"/>
      <c r="F196" s="16" t="n"/>
      <c r="G196" s="16" t="n"/>
      <c r="H196" s="16" t="n"/>
      <c r="I196" s="16" t="n"/>
      <c r="J196" s="16" t="n"/>
      <c r="K196" s="16" t="n"/>
      <c r="L196" s="16" t="n"/>
      <c r="M196" s="16" t="n"/>
      <c r="N196" s="16" t="n"/>
      <c r="O196" s="16" t="n"/>
      <c r="P196" s="16" t="n"/>
      <c r="Q196" s="16" t="n"/>
    </row>
    <row r="197">
      <c r="A197" s="15">
        <f>IF(DATE(PlanYear,1,1)+191&lt;=DATE(PlanYear+1,1,31),DATE(PlanYear,1,1)+191,"")</f>
        <v/>
      </c>
      <c r="B197" s="16" t="n"/>
      <c r="C197" s="16" t="n"/>
      <c r="D197" s="16" t="n"/>
      <c r="E197" s="16" t="n"/>
      <c r="F197" s="16" t="n"/>
      <c r="G197" s="16" t="n"/>
      <c r="H197" s="16" t="n"/>
      <c r="I197" s="16" t="n"/>
      <c r="J197" s="16" t="n"/>
      <c r="K197" s="16" t="n"/>
      <c r="L197" s="16" t="n"/>
      <c r="M197" s="16" t="n"/>
      <c r="N197" s="16" t="n"/>
      <c r="O197" s="16" t="n"/>
      <c r="P197" s="16" t="n"/>
      <c r="Q197" s="16" t="n"/>
    </row>
    <row r="198">
      <c r="A198" s="15">
        <f>IF(DATE(PlanYear,1,1)+192&lt;=DATE(PlanYear+1,1,31),DATE(PlanYear,1,1)+192,"")</f>
        <v/>
      </c>
      <c r="B198" s="16" t="n"/>
      <c r="C198" s="16" t="n"/>
      <c r="D198" s="16" t="n"/>
      <c r="E198" s="16" t="n"/>
      <c r="F198" s="16" t="n"/>
      <c r="G198" s="16" t="n"/>
      <c r="H198" s="16" t="n"/>
      <c r="I198" s="16" t="n"/>
      <c r="J198" s="16" t="n"/>
      <c r="K198" s="16" t="n"/>
      <c r="L198" s="16" t="n"/>
      <c r="M198" s="16" t="n"/>
      <c r="N198" s="16" t="n"/>
      <c r="O198" s="16" t="n"/>
      <c r="P198" s="16" t="n"/>
      <c r="Q198" s="16" t="n"/>
    </row>
    <row r="199">
      <c r="A199" s="15">
        <f>IF(DATE(PlanYear,1,1)+193&lt;=DATE(PlanYear+1,1,31),DATE(PlanYear,1,1)+193,"")</f>
        <v/>
      </c>
      <c r="B199" s="16" t="n"/>
      <c r="C199" s="16" t="n"/>
      <c r="D199" s="16" t="n"/>
      <c r="E199" s="16" t="n"/>
      <c r="F199" s="16" t="n"/>
      <c r="G199" s="16" t="n"/>
      <c r="H199" s="16" t="n"/>
      <c r="I199" s="16" t="n"/>
      <c r="J199" s="16" t="n"/>
      <c r="K199" s="16" t="n"/>
      <c r="L199" s="16" t="n"/>
      <c r="M199" s="16" t="n"/>
      <c r="N199" s="16" t="n"/>
      <c r="O199" s="16" t="n"/>
      <c r="P199" s="16" t="n"/>
      <c r="Q199" s="16" t="n"/>
    </row>
    <row r="200">
      <c r="A200" s="15">
        <f>IF(DATE(PlanYear,1,1)+194&lt;=DATE(PlanYear+1,1,31),DATE(PlanYear,1,1)+194,"")</f>
        <v/>
      </c>
      <c r="B200" s="16" t="n"/>
      <c r="C200" s="16" t="n"/>
      <c r="D200" s="16" t="n"/>
      <c r="E200" s="16" t="n"/>
      <c r="F200" s="16" t="n"/>
      <c r="G200" s="16" t="n"/>
      <c r="H200" s="16" t="n"/>
      <c r="I200" s="16" t="n"/>
      <c r="J200" s="16" t="n"/>
      <c r="K200" s="16" t="n"/>
      <c r="L200" s="16" t="n"/>
      <c r="M200" s="16" t="n"/>
      <c r="N200" s="16" t="n"/>
      <c r="O200" s="16" t="n"/>
      <c r="P200" s="16" t="n"/>
      <c r="Q200" s="16" t="n"/>
    </row>
    <row r="201">
      <c r="A201" s="15">
        <f>IF(DATE(PlanYear,1,1)+195&lt;=DATE(PlanYear+1,1,31),DATE(PlanYear,1,1)+195,"")</f>
        <v/>
      </c>
      <c r="B201" s="16" t="n"/>
      <c r="C201" s="16" t="n"/>
      <c r="D201" s="16" t="n"/>
      <c r="E201" s="16" t="n"/>
      <c r="F201" s="16" t="n"/>
      <c r="G201" s="16" t="n"/>
      <c r="H201" s="16" t="n"/>
      <c r="I201" s="16" t="n"/>
      <c r="J201" s="16" t="n"/>
      <c r="K201" s="16" t="n"/>
      <c r="L201" s="16" t="n"/>
      <c r="M201" s="16" t="n"/>
      <c r="N201" s="16" t="n"/>
      <c r="O201" s="16" t="n"/>
      <c r="P201" s="16" t="n"/>
      <c r="Q201" s="16" t="n"/>
    </row>
    <row r="202">
      <c r="A202" s="15">
        <f>IF(DATE(PlanYear,1,1)+196&lt;=DATE(PlanYear+1,1,31),DATE(PlanYear,1,1)+196,"")</f>
        <v/>
      </c>
      <c r="B202" s="16" t="n"/>
      <c r="C202" s="16" t="n"/>
      <c r="D202" s="16" t="n"/>
      <c r="E202" s="16" t="n"/>
      <c r="F202" s="16" t="n"/>
      <c r="G202" s="16" t="n"/>
      <c r="H202" s="16" t="n"/>
      <c r="I202" s="16" t="n"/>
      <c r="J202" s="16" t="n"/>
      <c r="K202" s="16" t="n"/>
      <c r="L202" s="16" t="n"/>
      <c r="M202" s="16" t="n"/>
      <c r="N202" s="16" t="n"/>
      <c r="O202" s="16" t="n"/>
      <c r="P202" s="16" t="n"/>
      <c r="Q202" s="16" t="n"/>
    </row>
    <row r="203">
      <c r="A203" s="15">
        <f>IF(DATE(PlanYear,1,1)+197&lt;=DATE(PlanYear+1,1,31),DATE(PlanYear,1,1)+197,"")</f>
        <v/>
      </c>
      <c r="B203" s="16" t="n"/>
      <c r="C203" s="16" t="n"/>
      <c r="D203" s="16" t="n"/>
      <c r="E203" s="16" t="n"/>
      <c r="F203" s="16" t="n"/>
      <c r="G203" s="16" t="n"/>
      <c r="H203" s="16" t="n"/>
      <c r="I203" s="16" t="n"/>
      <c r="J203" s="16" t="n"/>
      <c r="K203" s="16" t="n"/>
      <c r="L203" s="16" t="n"/>
      <c r="M203" s="16" t="n"/>
      <c r="N203" s="16" t="n"/>
      <c r="O203" s="16" t="n"/>
      <c r="P203" s="16" t="n"/>
      <c r="Q203" s="16" t="n"/>
    </row>
    <row r="204">
      <c r="A204" s="15">
        <f>IF(DATE(PlanYear,1,1)+198&lt;=DATE(PlanYear+1,1,31),DATE(PlanYear,1,1)+198,"")</f>
        <v/>
      </c>
      <c r="B204" s="16" t="n"/>
      <c r="C204" s="16" t="n"/>
      <c r="D204" s="16" t="n"/>
      <c r="E204" s="16" t="n"/>
      <c r="F204" s="16" t="n"/>
      <c r="G204" s="16" t="n"/>
      <c r="H204" s="16" t="n"/>
      <c r="I204" s="16" t="n"/>
      <c r="J204" s="16" t="n"/>
      <c r="K204" s="16" t="n"/>
      <c r="L204" s="16" t="n"/>
      <c r="M204" s="16" t="n"/>
      <c r="N204" s="16" t="n"/>
      <c r="O204" s="16" t="n"/>
      <c r="P204" s="16" t="n"/>
      <c r="Q204" s="16" t="n"/>
    </row>
    <row r="205">
      <c r="A205" s="15">
        <f>IF(DATE(PlanYear,1,1)+199&lt;=DATE(PlanYear+1,1,31),DATE(PlanYear,1,1)+199,"")</f>
        <v/>
      </c>
      <c r="B205" s="16" t="n"/>
      <c r="C205" s="16" t="n"/>
      <c r="D205" s="16" t="n"/>
      <c r="E205" s="16" t="n"/>
      <c r="F205" s="16" t="n"/>
      <c r="G205" s="16" t="n"/>
      <c r="H205" s="16" t="n"/>
      <c r="I205" s="16" t="n"/>
      <c r="J205" s="16" t="n"/>
      <c r="K205" s="16" t="n"/>
      <c r="L205" s="16" t="n"/>
      <c r="M205" s="16" t="n"/>
      <c r="N205" s="16" t="n"/>
      <c r="O205" s="16" t="n"/>
      <c r="P205" s="16" t="n"/>
      <c r="Q205" s="16" t="n"/>
    </row>
    <row r="206">
      <c r="A206" s="15">
        <f>IF(DATE(PlanYear,1,1)+200&lt;=DATE(PlanYear+1,1,31),DATE(PlanYear,1,1)+200,"")</f>
        <v/>
      </c>
      <c r="B206" s="16" t="n"/>
      <c r="C206" s="16" t="n"/>
      <c r="D206" s="16" t="n"/>
      <c r="E206" s="16" t="n"/>
      <c r="F206" s="16" t="n"/>
      <c r="G206" s="16" t="n"/>
      <c r="H206" s="16" t="n"/>
      <c r="I206" s="16" t="n"/>
      <c r="J206" s="16" t="n"/>
      <c r="K206" s="16" t="n"/>
      <c r="L206" s="16" t="n"/>
      <c r="M206" s="16" t="n"/>
      <c r="N206" s="16" t="n"/>
      <c r="O206" s="16" t="n"/>
      <c r="P206" s="16" t="n"/>
      <c r="Q206" s="16" t="n"/>
    </row>
    <row r="207">
      <c r="A207" s="15">
        <f>IF(DATE(PlanYear,1,1)+201&lt;=DATE(PlanYear+1,1,31),DATE(PlanYear,1,1)+201,"")</f>
        <v/>
      </c>
      <c r="B207" s="16" t="n"/>
      <c r="C207" s="16" t="n"/>
      <c r="D207" s="16" t="n"/>
      <c r="E207" s="16" t="n"/>
      <c r="F207" s="16" t="n"/>
      <c r="G207" s="16" t="n"/>
      <c r="H207" s="16" t="n"/>
      <c r="I207" s="16" t="n"/>
      <c r="J207" s="16" t="n"/>
      <c r="K207" s="16" t="n"/>
      <c r="L207" s="16" t="n"/>
      <c r="M207" s="16" t="n"/>
      <c r="N207" s="16" t="n"/>
      <c r="O207" s="16" t="n"/>
      <c r="P207" s="16" t="n"/>
      <c r="Q207" s="16" t="n"/>
    </row>
    <row r="208">
      <c r="A208" s="15">
        <f>IF(DATE(PlanYear,1,1)+202&lt;=DATE(PlanYear+1,1,31),DATE(PlanYear,1,1)+202,"")</f>
        <v/>
      </c>
      <c r="B208" s="16" t="n"/>
      <c r="C208" s="16" t="n"/>
      <c r="D208" s="16" t="n"/>
      <c r="E208" s="16" t="n"/>
      <c r="F208" s="16" t="n"/>
      <c r="G208" s="16" t="n"/>
      <c r="H208" s="16" t="n"/>
      <c r="I208" s="16" t="n"/>
      <c r="J208" s="16" t="n"/>
      <c r="K208" s="16" t="n"/>
      <c r="L208" s="16" t="n"/>
      <c r="M208" s="16" t="n"/>
      <c r="N208" s="16" t="n"/>
      <c r="O208" s="16" t="n"/>
      <c r="P208" s="16" t="n"/>
      <c r="Q208" s="16" t="n"/>
    </row>
    <row r="209">
      <c r="A209" s="15">
        <f>IF(DATE(PlanYear,1,1)+203&lt;=DATE(PlanYear+1,1,31),DATE(PlanYear,1,1)+203,"")</f>
        <v/>
      </c>
      <c r="B209" s="16" t="n"/>
      <c r="C209" s="16" t="n"/>
      <c r="D209" s="16" t="n"/>
      <c r="E209" s="16" t="n"/>
      <c r="F209" s="16" t="n"/>
      <c r="G209" s="16" t="n"/>
      <c r="H209" s="16" t="n"/>
      <c r="I209" s="16" t="n"/>
      <c r="J209" s="16" t="n"/>
      <c r="K209" s="16" t="n"/>
      <c r="L209" s="16" t="n"/>
      <c r="M209" s="16" t="n"/>
      <c r="N209" s="16" t="n"/>
      <c r="O209" s="16" t="n"/>
      <c r="P209" s="16" t="n"/>
      <c r="Q209" s="16" t="n"/>
    </row>
    <row r="210">
      <c r="A210" s="15">
        <f>IF(DATE(PlanYear,1,1)+204&lt;=DATE(PlanYear+1,1,31),DATE(PlanYear,1,1)+204,"")</f>
        <v/>
      </c>
      <c r="B210" s="16" t="n"/>
      <c r="C210" s="16" t="n"/>
      <c r="D210" s="16" t="n"/>
      <c r="E210" s="16" t="n"/>
      <c r="F210" s="16" t="n"/>
      <c r="G210" s="16" t="n"/>
      <c r="H210" s="16" t="n"/>
      <c r="I210" s="16" t="n"/>
      <c r="J210" s="16" t="n"/>
      <c r="K210" s="16" t="n"/>
      <c r="L210" s="16" t="n"/>
      <c r="M210" s="16" t="n"/>
      <c r="N210" s="16" t="n"/>
      <c r="O210" s="16" t="n"/>
      <c r="P210" s="16" t="n"/>
      <c r="Q210" s="16" t="n"/>
    </row>
    <row r="211">
      <c r="A211" s="15">
        <f>IF(DATE(PlanYear,1,1)+205&lt;=DATE(PlanYear+1,1,31),DATE(PlanYear,1,1)+205,"")</f>
        <v/>
      </c>
      <c r="B211" s="16" t="n"/>
      <c r="C211" s="16" t="n"/>
      <c r="D211" s="16" t="n"/>
      <c r="E211" s="16" t="n"/>
      <c r="F211" s="16" t="n"/>
      <c r="G211" s="16" t="n"/>
      <c r="H211" s="16" t="n"/>
      <c r="I211" s="16" t="n"/>
      <c r="J211" s="16" t="n"/>
      <c r="K211" s="16" t="n"/>
      <c r="L211" s="16" t="n"/>
      <c r="M211" s="16" t="n"/>
      <c r="N211" s="16" t="n"/>
      <c r="O211" s="16" t="n"/>
      <c r="P211" s="16" t="n"/>
      <c r="Q211" s="16" t="n"/>
    </row>
    <row r="212">
      <c r="A212" s="15">
        <f>IF(DATE(PlanYear,1,1)+206&lt;=DATE(PlanYear+1,1,31),DATE(PlanYear,1,1)+206,"")</f>
        <v/>
      </c>
      <c r="B212" s="16" t="n"/>
      <c r="C212" s="16" t="n"/>
      <c r="D212" s="16" t="n"/>
      <c r="E212" s="16" t="n"/>
      <c r="F212" s="16" t="n"/>
      <c r="G212" s="16" t="n"/>
      <c r="H212" s="16" t="n"/>
      <c r="I212" s="16" t="n"/>
      <c r="J212" s="16" t="n"/>
      <c r="K212" s="16" t="n"/>
      <c r="L212" s="16" t="n"/>
      <c r="M212" s="16" t="n"/>
      <c r="N212" s="16" t="n"/>
      <c r="O212" s="16" t="n"/>
      <c r="P212" s="16" t="n"/>
      <c r="Q212" s="16" t="n"/>
    </row>
    <row r="213">
      <c r="A213" s="15">
        <f>IF(DATE(PlanYear,1,1)+207&lt;=DATE(PlanYear+1,1,31),DATE(PlanYear,1,1)+207,"")</f>
        <v/>
      </c>
      <c r="B213" s="16" t="n"/>
      <c r="C213" s="16" t="n"/>
      <c r="D213" s="16" t="n"/>
      <c r="E213" s="16" t="n"/>
      <c r="F213" s="16" t="n"/>
      <c r="G213" s="16" t="n"/>
      <c r="H213" s="16" t="n"/>
      <c r="I213" s="16" t="n"/>
      <c r="J213" s="16" t="n"/>
      <c r="K213" s="16" t="n"/>
      <c r="L213" s="16" t="n"/>
      <c r="M213" s="16" t="n"/>
      <c r="N213" s="16" t="n"/>
      <c r="O213" s="16" t="n"/>
      <c r="P213" s="16" t="n"/>
      <c r="Q213" s="16" t="n"/>
    </row>
    <row r="214">
      <c r="A214" s="15">
        <f>IF(DATE(PlanYear,1,1)+208&lt;=DATE(PlanYear+1,1,31),DATE(PlanYear,1,1)+208,"")</f>
        <v/>
      </c>
      <c r="B214" s="16" t="n"/>
      <c r="C214" s="16" t="n"/>
      <c r="D214" s="16" t="n"/>
      <c r="E214" s="16" t="n"/>
      <c r="F214" s="16" t="n"/>
      <c r="G214" s="16" t="n"/>
      <c r="H214" s="16" t="n"/>
      <c r="I214" s="16" t="n"/>
      <c r="J214" s="16" t="n"/>
      <c r="K214" s="16" t="n"/>
      <c r="L214" s="16" t="n"/>
      <c r="M214" s="16" t="n"/>
      <c r="N214" s="16" t="n"/>
      <c r="O214" s="16" t="n"/>
      <c r="P214" s="16" t="n"/>
      <c r="Q214" s="16" t="n"/>
    </row>
    <row r="215">
      <c r="A215" s="15">
        <f>IF(DATE(PlanYear,1,1)+209&lt;=DATE(PlanYear+1,1,31),DATE(PlanYear,1,1)+209,"")</f>
        <v/>
      </c>
      <c r="B215" s="16" t="n"/>
      <c r="C215" s="16" t="n"/>
      <c r="D215" s="16" t="n"/>
      <c r="E215" s="16" t="n"/>
      <c r="F215" s="16" t="n"/>
      <c r="G215" s="16" t="n"/>
      <c r="H215" s="16" t="n"/>
      <c r="I215" s="16" t="n"/>
      <c r="J215" s="16" t="n"/>
      <c r="K215" s="16" t="n"/>
      <c r="L215" s="16" t="n"/>
      <c r="M215" s="16" t="n"/>
      <c r="N215" s="16" t="n"/>
      <c r="O215" s="16" t="n"/>
      <c r="P215" s="16" t="n"/>
      <c r="Q215" s="16" t="n"/>
    </row>
    <row r="216">
      <c r="A216" s="15">
        <f>IF(DATE(PlanYear,1,1)+210&lt;=DATE(PlanYear+1,1,31),DATE(PlanYear,1,1)+210,"")</f>
        <v/>
      </c>
      <c r="B216" s="16" t="n"/>
      <c r="C216" s="16" t="n"/>
      <c r="D216" s="16" t="n"/>
      <c r="E216" s="16" t="n"/>
      <c r="F216" s="16" t="n"/>
      <c r="G216" s="16" t="n"/>
      <c r="H216" s="16" t="n"/>
      <c r="I216" s="16" t="n"/>
      <c r="J216" s="16" t="n"/>
      <c r="K216" s="16" t="n"/>
      <c r="L216" s="16" t="n"/>
      <c r="M216" s="16" t="n"/>
      <c r="N216" s="16" t="n"/>
      <c r="O216" s="16" t="n"/>
      <c r="P216" s="16" t="n"/>
      <c r="Q216" s="16" t="n"/>
    </row>
    <row r="217">
      <c r="A217" s="15">
        <f>IF(DATE(PlanYear,1,1)+211&lt;=DATE(PlanYear+1,1,31),DATE(PlanYear,1,1)+211,"")</f>
        <v/>
      </c>
      <c r="B217" s="16" t="n"/>
      <c r="C217" s="16" t="n"/>
      <c r="D217" s="16" t="n"/>
      <c r="E217" s="16" t="n"/>
      <c r="F217" s="16" t="n"/>
      <c r="G217" s="16" t="n"/>
      <c r="H217" s="16" t="n"/>
      <c r="I217" s="16" t="n"/>
      <c r="J217" s="16" t="n"/>
      <c r="K217" s="16" t="n"/>
      <c r="L217" s="16" t="n"/>
      <c r="M217" s="16" t="n"/>
      <c r="N217" s="16" t="n"/>
      <c r="O217" s="16" t="n"/>
      <c r="P217" s="16" t="n"/>
      <c r="Q217" s="16" t="n"/>
    </row>
    <row r="218">
      <c r="A218" s="15">
        <f>IF(DATE(PlanYear,1,1)+212&lt;=DATE(PlanYear+1,1,31),DATE(PlanYear,1,1)+212,"")</f>
        <v/>
      </c>
      <c r="B218" s="16" t="n"/>
      <c r="C218" s="16" t="n"/>
      <c r="D218" s="16" t="n"/>
      <c r="E218" s="16" t="n"/>
      <c r="F218" s="16" t="n"/>
      <c r="G218" s="16" t="n"/>
      <c r="H218" s="16" t="n"/>
      <c r="I218" s="16" t="n"/>
      <c r="J218" s="16" t="n"/>
      <c r="K218" s="16" t="n"/>
      <c r="L218" s="16" t="n"/>
      <c r="M218" s="16" t="n"/>
      <c r="N218" s="16" t="n"/>
      <c r="O218" s="16" t="n"/>
      <c r="P218" s="16" t="n"/>
      <c r="Q218" s="16" t="n"/>
    </row>
    <row r="219">
      <c r="A219" s="15">
        <f>IF(DATE(PlanYear,1,1)+213&lt;=DATE(PlanYear+1,1,31),DATE(PlanYear,1,1)+213,"")</f>
        <v/>
      </c>
      <c r="B219" s="16" t="n"/>
      <c r="C219" s="16" t="n"/>
      <c r="D219" s="16" t="n"/>
      <c r="E219" s="16" t="n"/>
      <c r="F219" s="16" t="n"/>
      <c r="G219" s="16" t="n"/>
      <c r="H219" s="16" t="n"/>
      <c r="I219" s="16" t="n"/>
      <c r="J219" s="16" t="n"/>
      <c r="K219" s="16" t="n"/>
      <c r="L219" s="16" t="n"/>
      <c r="M219" s="16" t="n"/>
      <c r="N219" s="16" t="n"/>
      <c r="O219" s="16" t="n"/>
      <c r="P219" s="16" t="n"/>
      <c r="Q219" s="16" t="n"/>
    </row>
    <row r="220">
      <c r="A220" s="15">
        <f>IF(DATE(PlanYear,1,1)+214&lt;=DATE(PlanYear+1,1,31),DATE(PlanYear,1,1)+214,"")</f>
        <v/>
      </c>
      <c r="B220" s="16" t="n"/>
      <c r="C220" s="16" t="n"/>
      <c r="D220" s="16" t="n"/>
      <c r="E220" s="16" t="n"/>
      <c r="F220" s="16" t="n"/>
      <c r="G220" s="16" t="n"/>
      <c r="H220" s="16" t="n"/>
      <c r="I220" s="16" t="n"/>
      <c r="J220" s="16" t="n"/>
      <c r="K220" s="16" t="n"/>
      <c r="L220" s="16" t="n"/>
      <c r="M220" s="16" t="n"/>
      <c r="N220" s="16" t="n"/>
      <c r="O220" s="16" t="n"/>
      <c r="P220" s="16" t="n"/>
      <c r="Q220" s="16" t="n"/>
    </row>
    <row r="221">
      <c r="A221" s="15">
        <f>IF(DATE(PlanYear,1,1)+215&lt;=DATE(PlanYear+1,1,31),DATE(PlanYear,1,1)+215,"")</f>
        <v/>
      </c>
      <c r="B221" s="16" t="n"/>
      <c r="C221" s="16" t="n"/>
      <c r="D221" s="16" t="n"/>
      <c r="E221" s="16" t="n"/>
      <c r="F221" s="16" t="n"/>
      <c r="G221" s="16" t="n"/>
      <c r="H221" s="16" t="n"/>
      <c r="I221" s="16" t="n"/>
      <c r="J221" s="16" t="n"/>
      <c r="K221" s="16" t="n"/>
      <c r="L221" s="16" t="n"/>
      <c r="M221" s="16" t="n"/>
      <c r="N221" s="16" t="n"/>
      <c r="O221" s="16" t="n"/>
      <c r="P221" s="16" t="n"/>
      <c r="Q221" s="16" t="n"/>
    </row>
    <row r="222">
      <c r="A222" s="15">
        <f>IF(DATE(PlanYear,1,1)+216&lt;=DATE(PlanYear+1,1,31),DATE(PlanYear,1,1)+216,"")</f>
        <v/>
      </c>
      <c r="B222" s="16" t="n"/>
      <c r="C222" s="16" t="n"/>
      <c r="D222" s="16" t="n"/>
      <c r="E222" s="16" t="n"/>
      <c r="F222" s="16" t="n"/>
      <c r="G222" s="16" t="n"/>
      <c r="H222" s="16" t="n"/>
      <c r="I222" s="16" t="n"/>
      <c r="J222" s="16" t="n"/>
      <c r="K222" s="16" t="n"/>
      <c r="L222" s="16" t="n"/>
      <c r="M222" s="16" t="n"/>
      <c r="N222" s="16" t="n"/>
      <c r="O222" s="16" t="n"/>
      <c r="P222" s="16" t="n"/>
      <c r="Q222" s="16" t="n"/>
    </row>
    <row r="223">
      <c r="A223" s="15">
        <f>IF(DATE(PlanYear,1,1)+217&lt;=DATE(PlanYear+1,1,31),DATE(PlanYear,1,1)+217,"")</f>
        <v/>
      </c>
      <c r="B223" s="16" t="n"/>
      <c r="C223" s="16" t="n"/>
      <c r="D223" s="16" t="n"/>
      <c r="E223" s="16" t="n"/>
      <c r="F223" s="16" t="n"/>
      <c r="G223" s="16" t="n"/>
      <c r="H223" s="16" t="n"/>
      <c r="I223" s="16" t="n"/>
      <c r="J223" s="16" t="n"/>
      <c r="K223" s="16" t="n"/>
      <c r="L223" s="16" t="n"/>
      <c r="M223" s="16" t="n"/>
      <c r="N223" s="16" t="n"/>
      <c r="O223" s="16" t="n"/>
      <c r="P223" s="16" t="n"/>
      <c r="Q223" s="16" t="n"/>
    </row>
    <row r="224">
      <c r="A224" s="15">
        <f>IF(DATE(PlanYear,1,1)+218&lt;=DATE(PlanYear+1,1,31),DATE(PlanYear,1,1)+218,"")</f>
        <v/>
      </c>
      <c r="B224" s="16" t="n"/>
      <c r="C224" s="16" t="n"/>
      <c r="D224" s="16" t="n"/>
      <c r="E224" s="16" t="n"/>
      <c r="F224" s="16" t="n"/>
      <c r="G224" s="16" t="n"/>
      <c r="H224" s="16" t="n"/>
      <c r="I224" s="16" t="n"/>
      <c r="J224" s="16" t="n"/>
      <c r="K224" s="16" t="n"/>
      <c r="L224" s="16" t="n"/>
      <c r="M224" s="16" t="n"/>
      <c r="N224" s="16" t="n"/>
      <c r="O224" s="16" t="n"/>
      <c r="P224" s="16" t="n"/>
      <c r="Q224" s="16" t="n"/>
    </row>
    <row r="225">
      <c r="A225" s="15">
        <f>IF(DATE(PlanYear,1,1)+219&lt;=DATE(PlanYear+1,1,31),DATE(PlanYear,1,1)+219,"")</f>
        <v/>
      </c>
      <c r="B225" s="16" t="n"/>
      <c r="C225" s="16" t="n"/>
      <c r="D225" s="16" t="n"/>
      <c r="E225" s="16" t="n"/>
      <c r="F225" s="16" t="n"/>
      <c r="G225" s="16" t="n"/>
      <c r="H225" s="16" t="n"/>
      <c r="I225" s="16" t="n"/>
      <c r="J225" s="16" t="n"/>
      <c r="K225" s="16" t="n"/>
      <c r="L225" s="16" t="n"/>
      <c r="M225" s="16" t="n"/>
      <c r="N225" s="16" t="n"/>
      <c r="O225" s="16" t="n"/>
      <c r="P225" s="16" t="n"/>
      <c r="Q225" s="16" t="n"/>
    </row>
    <row r="226">
      <c r="A226" s="15">
        <f>IF(DATE(PlanYear,1,1)+220&lt;=DATE(PlanYear+1,1,31),DATE(PlanYear,1,1)+220,"")</f>
        <v/>
      </c>
      <c r="B226" s="16" t="n"/>
      <c r="C226" s="16" t="n"/>
      <c r="D226" s="16" t="n"/>
      <c r="E226" s="16" t="n"/>
      <c r="F226" s="16" t="n"/>
      <c r="G226" s="16" t="n"/>
      <c r="H226" s="16" t="n"/>
      <c r="I226" s="16" t="n"/>
      <c r="J226" s="16" t="n"/>
      <c r="K226" s="16" t="n"/>
      <c r="L226" s="16" t="n"/>
      <c r="M226" s="16" t="n"/>
      <c r="N226" s="16" t="n"/>
      <c r="O226" s="16" t="n"/>
      <c r="P226" s="16" t="n"/>
      <c r="Q226" s="16" t="n"/>
    </row>
    <row r="227">
      <c r="A227" s="15">
        <f>IF(DATE(PlanYear,1,1)+221&lt;=DATE(PlanYear+1,1,31),DATE(PlanYear,1,1)+221,"")</f>
        <v/>
      </c>
      <c r="B227" s="16" t="n"/>
      <c r="C227" s="16" t="n"/>
      <c r="D227" s="16" t="n"/>
      <c r="E227" s="16" t="n"/>
      <c r="F227" s="16" t="n"/>
      <c r="G227" s="16" t="n"/>
      <c r="H227" s="16" t="n"/>
      <c r="I227" s="16" t="n"/>
      <c r="J227" s="16" t="n"/>
      <c r="K227" s="16" t="n"/>
      <c r="L227" s="16" t="n"/>
      <c r="M227" s="16" t="n"/>
      <c r="N227" s="16" t="n"/>
      <c r="O227" s="16" t="n"/>
      <c r="P227" s="16" t="n"/>
      <c r="Q227" s="16" t="n"/>
    </row>
    <row r="228">
      <c r="A228" s="15">
        <f>IF(DATE(PlanYear,1,1)+222&lt;=DATE(PlanYear+1,1,31),DATE(PlanYear,1,1)+222,"")</f>
        <v/>
      </c>
      <c r="B228" s="16" t="n"/>
      <c r="C228" s="16" t="n"/>
      <c r="D228" s="16" t="n"/>
      <c r="E228" s="16" t="n"/>
      <c r="F228" s="16" t="n"/>
      <c r="G228" s="16" t="n"/>
      <c r="H228" s="16" t="n"/>
      <c r="I228" s="16" t="n"/>
      <c r="J228" s="16" t="n"/>
      <c r="K228" s="16" t="n"/>
      <c r="L228" s="16" t="n"/>
      <c r="M228" s="16" t="n"/>
      <c r="N228" s="16" t="n"/>
      <c r="O228" s="16" t="n"/>
      <c r="P228" s="16" t="n"/>
      <c r="Q228" s="16" t="n"/>
    </row>
    <row r="229">
      <c r="A229" s="15">
        <f>IF(DATE(PlanYear,1,1)+223&lt;=DATE(PlanYear+1,1,31),DATE(PlanYear,1,1)+223,"")</f>
        <v/>
      </c>
      <c r="B229" s="16" t="n"/>
      <c r="C229" s="16" t="n"/>
      <c r="D229" s="16" t="n"/>
      <c r="E229" s="16" t="n"/>
      <c r="F229" s="16" t="n"/>
      <c r="G229" s="16" t="n"/>
      <c r="H229" s="16" t="n"/>
      <c r="I229" s="16" t="n"/>
      <c r="J229" s="16" t="n"/>
      <c r="K229" s="16" t="n"/>
      <c r="L229" s="16" t="n"/>
      <c r="M229" s="16" t="n"/>
      <c r="N229" s="16" t="n"/>
      <c r="O229" s="16" t="n"/>
      <c r="P229" s="16" t="n"/>
      <c r="Q229" s="16" t="n"/>
    </row>
    <row r="230">
      <c r="A230" s="15">
        <f>IF(DATE(PlanYear,1,1)+224&lt;=DATE(PlanYear+1,1,31),DATE(PlanYear,1,1)+224,"")</f>
        <v/>
      </c>
      <c r="B230" s="16" t="n"/>
      <c r="C230" s="16" t="n"/>
      <c r="D230" s="16" t="n"/>
      <c r="E230" s="16" t="n"/>
      <c r="F230" s="16" t="n"/>
      <c r="G230" s="16" t="n"/>
      <c r="H230" s="16" t="n"/>
      <c r="I230" s="16" t="n"/>
      <c r="J230" s="16" t="n"/>
      <c r="K230" s="16" t="n"/>
      <c r="L230" s="16" t="n"/>
      <c r="M230" s="16" t="n"/>
      <c r="N230" s="16" t="n"/>
      <c r="O230" s="16" t="n"/>
      <c r="P230" s="16" t="n"/>
      <c r="Q230" s="16" t="n"/>
    </row>
    <row r="231">
      <c r="A231" s="15">
        <f>IF(DATE(PlanYear,1,1)+225&lt;=DATE(PlanYear+1,1,31),DATE(PlanYear,1,1)+225,"")</f>
        <v/>
      </c>
      <c r="B231" s="16" t="n"/>
      <c r="C231" s="16" t="n"/>
      <c r="D231" s="16" t="n"/>
      <c r="E231" s="16" t="n"/>
      <c r="F231" s="16" t="n"/>
      <c r="G231" s="16" t="n"/>
      <c r="H231" s="16" t="n"/>
      <c r="I231" s="16" t="n"/>
      <c r="J231" s="16" t="n"/>
      <c r="K231" s="16" t="n"/>
      <c r="L231" s="16" t="n"/>
      <c r="M231" s="16" t="n"/>
      <c r="N231" s="16" t="n"/>
      <c r="O231" s="16" t="n"/>
      <c r="P231" s="16" t="n"/>
      <c r="Q231" s="16" t="n"/>
    </row>
    <row r="232">
      <c r="A232" s="15">
        <f>IF(DATE(PlanYear,1,1)+226&lt;=DATE(PlanYear+1,1,31),DATE(PlanYear,1,1)+226,"")</f>
        <v/>
      </c>
      <c r="B232" s="16" t="n"/>
      <c r="C232" s="16" t="n"/>
      <c r="D232" s="16" t="n"/>
      <c r="E232" s="16" t="n"/>
      <c r="F232" s="16" t="n"/>
      <c r="G232" s="16" t="n"/>
      <c r="H232" s="16" t="n"/>
      <c r="I232" s="16" t="n"/>
      <c r="J232" s="16" t="n"/>
      <c r="K232" s="16" t="n"/>
      <c r="L232" s="16" t="n"/>
      <c r="M232" s="16" t="n"/>
      <c r="N232" s="16" t="n"/>
      <c r="O232" s="16" t="n"/>
      <c r="P232" s="16" t="n"/>
      <c r="Q232" s="16" t="n"/>
    </row>
    <row r="233">
      <c r="A233" s="15">
        <f>IF(DATE(PlanYear,1,1)+227&lt;=DATE(PlanYear+1,1,31),DATE(PlanYear,1,1)+227,"")</f>
        <v/>
      </c>
      <c r="B233" s="16" t="n"/>
      <c r="C233" s="16" t="n"/>
      <c r="D233" s="16" t="n"/>
      <c r="E233" s="16" t="n"/>
      <c r="F233" s="16" t="n"/>
      <c r="G233" s="16" t="n"/>
      <c r="H233" s="16" t="n"/>
      <c r="I233" s="16" t="n"/>
      <c r="J233" s="16" t="n"/>
      <c r="K233" s="16" t="n"/>
      <c r="L233" s="16" t="n"/>
      <c r="M233" s="16" t="n"/>
      <c r="N233" s="16" t="n"/>
      <c r="O233" s="16" t="n"/>
      <c r="P233" s="16" t="n"/>
      <c r="Q233" s="16" t="n"/>
    </row>
    <row r="234">
      <c r="A234" s="15">
        <f>IF(DATE(PlanYear,1,1)+228&lt;=DATE(PlanYear+1,1,31),DATE(PlanYear,1,1)+228,"")</f>
        <v/>
      </c>
      <c r="B234" s="16" t="n"/>
      <c r="C234" s="16" t="n"/>
      <c r="D234" s="16" t="n"/>
      <c r="E234" s="16" t="n"/>
      <c r="F234" s="16" t="n"/>
      <c r="G234" s="16" t="n"/>
      <c r="H234" s="16" t="n"/>
      <c r="I234" s="16" t="n"/>
      <c r="J234" s="16" t="n"/>
      <c r="K234" s="16" t="n"/>
      <c r="L234" s="16" t="n"/>
      <c r="M234" s="16" t="n"/>
      <c r="N234" s="16" t="n"/>
      <c r="O234" s="16" t="n"/>
      <c r="P234" s="16" t="n"/>
      <c r="Q234" s="16" t="n"/>
    </row>
    <row r="235">
      <c r="A235" s="15">
        <f>IF(DATE(PlanYear,1,1)+229&lt;=DATE(PlanYear+1,1,31),DATE(PlanYear,1,1)+229,"")</f>
        <v/>
      </c>
      <c r="B235" s="16" t="n"/>
      <c r="C235" s="16" t="n"/>
      <c r="D235" s="16" t="n"/>
      <c r="E235" s="16" t="n"/>
      <c r="F235" s="16" t="n"/>
      <c r="G235" s="16" t="n"/>
      <c r="H235" s="16" t="n"/>
      <c r="I235" s="16" t="n"/>
      <c r="J235" s="16" t="n"/>
      <c r="K235" s="16" t="n"/>
      <c r="L235" s="16" t="n"/>
      <c r="M235" s="16" t="n"/>
      <c r="N235" s="16" t="n"/>
      <c r="O235" s="16" t="n"/>
      <c r="P235" s="16" t="n"/>
      <c r="Q235" s="16" t="n"/>
    </row>
    <row r="236">
      <c r="A236" s="15">
        <f>IF(DATE(PlanYear,1,1)+230&lt;=DATE(PlanYear+1,1,31),DATE(PlanYear,1,1)+230,"")</f>
        <v/>
      </c>
      <c r="B236" s="16" t="n"/>
      <c r="C236" s="16" t="n"/>
      <c r="D236" s="16" t="n"/>
      <c r="E236" s="16" t="n"/>
      <c r="F236" s="16" t="n"/>
      <c r="G236" s="16" t="n"/>
      <c r="H236" s="16" t="n"/>
      <c r="I236" s="16" t="n"/>
      <c r="J236" s="16" t="n"/>
      <c r="K236" s="16" t="n"/>
      <c r="L236" s="16" t="n"/>
      <c r="M236" s="16" t="n"/>
      <c r="N236" s="16" t="n"/>
      <c r="O236" s="16" t="n"/>
      <c r="P236" s="16" t="n"/>
      <c r="Q236" s="16" t="n"/>
    </row>
    <row r="237">
      <c r="A237" s="15">
        <f>IF(DATE(PlanYear,1,1)+231&lt;=DATE(PlanYear+1,1,31),DATE(PlanYear,1,1)+231,"")</f>
        <v/>
      </c>
      <c r="B237" s="16" t="n"/>
      <c r="C237" s="16" t="n"/>
      <c r="D237" s="16" t="n"/>
      <c r="E237" s="16" t="n"/>
      <c r="F237" s="16" t="n"/>
      <c r="G237" s="16" t="n"/>
      <c r="H237" s="16" t="n"/>
      <c r="I237" s="16" t="n"/>
      <c r="J237" s="16" t="n"/>
      <c r="K237" s="16" t="n"/>
      <c r="L237" s="16" t="n"/>
      <c r="M237" s="16" t="n"/>
      <c r="N237" s="16" t="n"/>
      <c r="O237" s="16" t="n"/>
      <c r="P237" s="16" t="n"/>
      <c r="Q237" s="16" t="n"/>
    </row>
    <row r="238">
      <c r="A238" s="15">
        <f>IF(DATE(PlanYear,1,1)+232&lt;=DATE(PlanYear+1,1,31),DATE(PlanYear,1,1)+232,"")</f>
        <v/>
      </c>
      <c r="B238" s="16" t="n"/>
      <c r="C238" s="16" t="n"/>
      <c r="D238" s="16" t="n"/>
      <c r="E238" s="16" t="n"/>
      <c r="F238" s="16" t="n"/>
      <c r="G238" s="16" t="n"/>
      <c r="H238" s="16" t="n"/>
      <c r="I238" s="16" t="n"/>
      <c r="J238" s="16" t="n"/>
      <c r="K238" s="16" t="n"/>
      <c r="L238" s="16" t="n"/>
      <c r="M238" s="16" t="n"/>
      <c r="N238" s="16" t="n"/>
      <c r="O238" s="16" t="n"/>
      <c r="P238" s="16" t="n"/>
      <c r="Q238" s="16" t="n"/>
    </row>
    <row r="239">
      <c r="A239" s="15">
        <f>IF(DATE(PlanYear,1,1)+233&lt;=DATE(PlanYear+1,1,31),DATE(PlanYear,1,1)+233,"")</f>
        <v/>
      </c>
      <c r="B239" s="16" t="n"/>
      <c r="C239" s="16" t="n"/>
      <c r="D239" s="16" t="n"/>
      <c r="E239" s="16" t="n"/>
      <c r="F239" s="16" t="n"/>
      <c r="G239" s="16" t="n"/>
      <c r="H239" s="16" t="n"/>
      <c r="I239" s="16" t="n"/>
      <c r="J239" s="16" t="n"/>
      <c r="K239" s="16" t="n"/>
      <c r="L239" s="16" t="n"/>
      <c r="M239" s="16" t="n"/>
      <c r="N239" s="16" t="n"/>
      <c r="O239" s="16" t="n"/>
      <c r="P239" s="16" t="n"/>
      <c r="Q239" s="16" t="n"/>
    </row>
    <row r="240">
      <c r="A240" s="15">
        <f>IF(DATE(PlanYear,1,1)+234&lt;=DATE(PlanYear+1,1,31),DATE(PlanYear,1,1)+234,"")</f>
        <v/>
      </c>
      <c r="B240" s="16" t="n"/>
      <c r="C240" s="16" t="n"/>
      <c r="D240" s="16" t="n"/>
      <c r="E240" s="16" t="n"/>
      <c r="F240" s="16" t="n"/>
      <c r="G240" s="16" t="n"/>
      <c r="H240" s="16" t="n"/>
      <c r="I240" s="16" t="n"/>
      <c r="J240" s="16" t="n"/>
      <c r="K240" s="16" t="n"/>
      <c r="L240" s="16" t="n"/>
      <c r="M240" s="16" t="n"/>
      <c r="N240" s="16" t="n"/>
      <c r="O240" s="16" t="n"/>
      <c r="P240" s="16" t="n"/>
      <c r="Q240" s="16" t="n"/>
    </row>
    <row r="241">
      <c r="A241" s="15">
        <f>IF(DATE(PlanYear,1,1)+235&lt;=DATE(PlanYear+1,1,31),DATE(PlanYear,1,1)+235,"")</f>
        <v/>
      </c>
      <c r="B241" s="16" t="n"/>
      <c r="C241" s="16" t="n"/>
      <c r="D241" s="16" t="n"/>
      <c r="E241" s="16" t="n"/>
      <c r="F241" s="16" t="n"/>
      <c r="G241" s="16" t="n"/>
      <c r="H241" s="16" t="n"/>
      <c r="I241" s="16" t="n"/>
      <c r="J241" s="16" t="n"/>
      <c r="K241" s="16" t="n"/>
      <c r="L241" s="16" t="n"/>
      <c r="M241" s="16" t="n"/>
      <c r="N241" s="16" t="n"/>
      <c r="O241" s="16" t="n"/>
      <c r="P241" s="16" t="n"/>
      <c r="Q241" s="16" t="n"/>
    </row>
    <row r="242">
      <c r="A242" s="15">
        <f>IF(DATE(PlanYear,1,1)+236&lt;=DATE(PlanYear+1,1,31),DATE(PlanYear,1,1)+236,"")</f>
        <v/>
      </c>
      <c r="B242" s="16" t="n"/>
      <c r="C242" s="16" t="n"/>
      <c r="D242" s="16" t="n"/>
      <c r="E242" s="16" t="n"/>
      <c r="F242" s="16" t="n"/>
      <c r="G242" s="16" t="n"/>
      <c r="H242" s="16" t="n"/>
      <c r="I242" s="16" t="n"/>
      <c r="J242" s="16" t="n"/>
      <c r="K242" s="16" t="n"/>
      <c r="L242" s="16" t="n"/>
      <c r="M242" s="16" t="n"/>
      <c r="N242" s="16" t="n"/>
      <c r="O242" s="16" t="n"/>
      <c r="P242" s="16" t="n"/>
      <c r="Q242" s="16" t="n"/>
    </row>
    <row r="243">
      <c r="A243" s="15">
        <f>IF(DATE(PlanYear,1,1)+237&lt;=DATE(PlanYear+1,1,31),DATE(PlanYear,1,1)+237,"")</f>
        <v/>
      </c>
      <c r="B243" s="16" t="n"/>
      <c r="C243" s="16" t="n"/>
      <c r="D243" s="16" t="n"/>
      <c r="E243" s="16" t="n"/>
      <c r="F243" s="16" t="n"/>
      <c r="G243" s="16" t="n"/>
      <c r="H243" s="16" t="n"/>
      <c r="I243" s="16" t="n"/>
      <c r="J243" s="16" t="n"/>
      <c r="K243" s="16" t="n"/>
      <c r="L243" s="16" t="n"/>
      <c r="M243" s="16" t="n"/>
      <c r="N243" s="16" t="n"/>
      <c r="O243" s="16" t="n"/>
      <c r="P243" s="16" t="n"/>
      <c r="Q243" s="16" t="n"/>
    </row>
    <row r="244">
      <c r="A244" s="15">
        <f>IF(DATE(PlanYear,1,1)+238&lt;=DATE(PlanYear+1,1,31),DATE(PlanYear,1,1)+238,"")</f>
        <v/>
      </c>
      <c r="B244" s="16" t="n"/>
      <c r="C244" s="16" t="n"/>
      <c r="D244" s="16" t="n"/>
      <c r="E244" s="16" t="n"/>
      <c r="F244" s="16" t="n"/>
      <c r="G244" s="16" t="n"/>
      <c r="H244" s="16" t="n"/>
      <c r="I244" s="16" t="n"/>
      <c r="J244" s="16" t="n"/>
      <c r="K244" s="16" t="n"/>
      <c r="L244" s="16" t="n"/>
      <c r="M244" s="16" t="n"/>
      <c r="N244" s="16" t="n"/>
      <c r="O244" s="16" t="n"/>
      <c r="P244" s="16" t="n"/>
      <c r="Q244" s="16" t="n"/>
    </row>
    <row r="245">
      <c r="A245" s="15">
        <f>IF(DATE(PlanYear,1,1)+239&lt;=DATE(PlanYear+1,1,31),DATE(PlanYear,1,1)+239,"")</f>
        <v/>
      </c>
      <c r="B245" s="16" t="n"/>
      <c r="C245" s="16" t="n"/>
      <c r="D245" s="16" t="n"/>
      <c r="E245" s="16" t="n"/>
      <c r="F245" s="16" t="n"/>
      <c r="G245" s="16" t="n"/>
      <c r="H245" s="16" t="n"/>
      <c r="I245" s="16" t="n"/>
      <c r="J245" s="16" t="n"/>
      <c r="K245" s="16" t="n"/>
      <c r="L245" s="16" t="n"/>
      <c r="M245" s="16" t="n"/>
      <c r="N245" s="16" t="n"/>
      <c r="O245" s="16" t="n"/>
      <c r="P245" s="16" t="n"/>
      <c r="Q245" s="16" t="n"/>
    </row>
    <row r="246">
      <c r="A246" s="15">
        <f>IF(DATE(PlanYear,1,1)+240&lt;=DATE(PlanYear+1,1,31),DATE(PlanYear,1,1)+240,"")</f>
        <v/>
      </c>
      <c r="B246" s="16" t="n"/>
      <c r="C246" s="16" t="n"/>
      <c r="D246" s="16" t="n"/>
      <c r="E246" s="16" t="n"/>
      <c r="F246" s="16" t="n"/>
      <c r="G246" s="16" t="n"/>
      <c r="H246" s="16" t="n"/>
      <c r="I246" s="16" t="n"/>
      <c r="J246" s="16" t="n"/>
      <c r="K246" s="16" t="n"/>
      <c r="L246" s="16" t="n"/>
      <c r="M246" s="16" t="n"/>
      <c r="N246" s="16" t="n"/>
      <c r="O246" s="16" t="n"/>
      <c r="P246" s="16" t="n"/>
      <c r="Q246" s="16" t="n"/>
    </row>
    <row r="247">
      <c r="A247" s="15">
        <f>IF(DATE(PlanYear,1,1)+241&lt;=DATE(PlanYear+1,1,31),DATE(PlanYear,1,1)+241,"")</f>
        <v/>
      </c>
      <c r="B247" s="16" t="n"/>
      <c r="C247" s="16" t="n"/>
      <c r="D247" s="16" t="n"/>
      <c r="E247" s="16" t="n"/>
      <c r="F247" s="16" t="n"/>
      <c r="G247" s="16" t="n"/>
      <c r="H247" s="16" t="n"/>
      <c r="I247" s="16" t="n"/>
      <c r="J247" s="16" t="n"/>
      <c r="K247" s="16" t="n"/>
      <c r="L247" s="16" t="n"/>
      <c r="M247" s="16" t="n"/>
      <c r="N247" s="16" t="n"/>
      <c r="O247" s="16" t="n"/>
      <c r="P247" s="16" t="n"/>
      <c r="Q247" s="16" t="n"/>
    </row>
    <row r="248">
      <c r="A248" s="15">
        <f>IF(DATE(PlanYear,1,1)+242&lt;=DATE(PlanYear+1,1,31),DATE(PlanYear,1,1)+242,"")</f>
        <v/>
      </c>
      <c r="B248" s="16" t="n"/>
      <c r="C248" s="16" t="n"/>
      <c r="D248" s="16" t="n"/>
      <c r="E248" s="16" t="n"/>
      <c r="F248" s="16" t="n"/>
      <c r="G248" s="16" t="n"/>
      <c r="H248" s="16" t="n"/>
      <c r="I248" s="16" t="n"/>
      <c r="J248" s="16" t="n"/>
      <c r="K248" s="16" t="n"/>
      <c r="L248" s="16" t="n"/>
      <c r="M248" s="16" t="n"/>
      <c r="N248" s="16" t="n"/>
      <c r="O248" s="16" t="n"/>
      <c r="P248" s="16" t="n"/>
      <c r="Q248" s="16" t="n"/>
    </row>
    <row r="249">
      <c r="A249" s="15">
        <f>IF(DATE(PlanYear,1,1)+243&lt;=DATE(PlanYear+1,1,31),DATE(PlanYear,1,1)+243,"")</f>
        <v/>
      </c>
      <c r="B249" s="16" t="n"/>
      <c r="C249" s="16" t="n"/>
      <c r="D249" s="16" t="n"/>
      <c r="E249" s="16" t="n"/>
      <c r="F249" s="16" t="n"/>
      <c r="G249" s="16" t="n"/>
      <c r="H249" s="16" t="n"/>
      <c r="I249" s="16" t="n"/>
      <c r="J249" s="16" t="n"/>
      <c r="K249" s="16" t="n"/>
      <c r="L249" s="16" t="n"/>
      <c r="M249" s="16" t="n"/>
      <c r="N249" s="16" t="n"/>
      <c r="O249" s="16" t="n"/>
      <c r="P249" s="16" t="n"/>
      <c r="Q249" s="16" t="n"/>
    </row>
    <row r="250">
      <c r="A250" s="15">
        <f>IF(DATE(PlanYear,1,1)+244&lt;=DATE(PlanYear+1,1,31),DATE(PlanYear,1,1)+244,"")</f>
        <v/>
      </c>
      <c r="B250" s="16" t="n"/>
      <c r="C250" s="16" t="n"/>
      <c r="D250" s="16" t="n"/>
      <c r="E250" s="16" t="n"/>
      <c r="F250" s="16" t="n"/>
      <c r="G250" s="16" t="n"/>
      <c r="H250" s="16" t="n"/>
      <c r="I250" s="16" t="n"/>
      <c r="J250" s="16" t="n"/>
      <c r="K250" s="16" t="n"/>
      <c r="L250" s="16" t="n"/>
      <c r="M250" s="16" t="n"/>
      <c r="N250" s="16" t="n"/>
      <c r="O250" s="16" t="n"/>
      <c r="P250" s="16" t="n"/>
      <c r="Q250" s="16" t="n"/>
    </row>
    <row r="251">
      <c r="A251" s="15">
        <f>IF(DATE(PlanYear,1,1)+245&lt;=DATE(PlanYear+1,1,31),DATE(PlanYear,1,1)+245,"")</f>
        <v/>
      </c>
      <c r="B251" s="16" t="n"/>
      <c r="C251" s="16" t="n"/>
      <c r="D251" s="16" t="n"/>
      <c r="E251" s="16" t="n"/>
      <c r="F251" s="16" t="n"/>
      <c r="G251" s="16" t="n"/>
      <c r="H251" s="16" t="n"/>
      <c r="I251" s="16" t="n"/>
      <c r="J251" s="16" t="n"/>
      <c r="K251" s="16" t="n"/>
      <c r="L251" s="16" t="n"/>
      <c r="M251" s="16" t="n"/>
      <c r="N251" s="16" t="n"/>
      <c r="O251" s="16" t="n"/>
      <c r="P251" s="16" t="n"/>
      <c r="Q251" s="16" t="n"/>
    </row>
    <row r="252">
      <c r="A252" s="15">
        <f>IF(DATE(PlanYear,1,1)+246&lt;=DATE(PlanYear+1,1,31),DATE(PlanYear,1,1)+246,"")</f>
        <v/>
      </c>
      <c r="B252" s="16" t="n"/>
      <c r="C252" s="16" t="n"/>
      <c r="D252" s="16" t="n"/>
      <c r="E252" s="16" t="n"/>
      <c r="F252" s="16" t="n"/>
      <c r="G252" s="16" t="n"/>
      <c r="H252" s="16" t="n"/>
      <c r="I252" s="16" t="n"/>
      <c r="J252" s="16" t="n"/>
      <c r="K252" s="16" t="n"/>
      <c r="L252" s="16" t="n"/>
      <c r="M252" s="16" t="n"/>
      <c r="N252" s="16" t="n"/>
      <c r="O252" s="16" t="n"/>
      <c r="P252" s="16" t="n"/>
      <c r="Q252" s="16" t="n"/>
    </row>
    <row r="253">
      <c r="A253" s="15">
        <f>IF(DATE(PlanYear,1,1)+247&lt;=DATE(PlanYear+1,1,31),DATE(PlanYear,1,1)+247,"")</f>
        <v/>
      </c>
      <c r="B253" s="16" t="n"/>
      <c r="C253" s="16" t="n"/>
      <c r="D253" s="16" t="n"/>
      <c r="E253" s="16" t="n"/>
      <c r="F253" s="16" t="n"/>
      <c r="G253" s="16" t="n"/>
      <c r="H253" s="16" t="n"/>
      <c r="I253" s="16" t="n"/>
      <c r="J253" s="16" t="n"/>
      <c r="K253" s="16" t="n"/>
      <c r="L253" s="16" t="n"/>
      <c r="M253" s="16" t="n"/>
      <c r="N253" s="16" t="n"/>
      <c r="O253" s="16" t="n"/>
      <c r="P253" s="16" t="n"/>
      <c r="Q253" s="16" t="n"/>
    </row>
    <row r="254">
      <c r="A254" s="15">
        <f>IF(DATE(PlanYear,1,1)+248&lt;=DATE(PlanYear+1,1,31),DATE(PlanYear,1,1)+248,"")</f>
        <v/>
      </c>
      <c r="B254" s="16" t="n"/>
      <c r="C254" s="16" t="n"/>
      <c r="D254" s="16" t="n"/>
      <c r="E254" s="16" t="n"/>
      <c r="F254" s="16" t="n"/>
      <c r="G254" s="16" t="n"/>
      <c r="H254" s="16" t="n"/>
      <c r="I254" s="16" t="n"/>
      <c r="J254" s="16" t="n"/>
      <c r="K254" s="16" t="n"/>
      <c r="L254" s="16" t="n"/>
      <c r="M254" s="16" t="n"/>
      <c r="N254" s="16" t="n"/>
      <c r="O254" s="16" t="n"/>
      <c r="P254" s="16" t="n"/>
      <c r="Q254" s="16" t="n"/>
    </row>
    <row r="255">
      <c r="A255" s="15">
        <f>IF(DATE(PlanYear,1,1)+249&lt;=DATE(PlanYear+1,1,31),DATE(PlanYear,1,1)+249,"")</f>
        <v/>
      </c>
      <c r="B255" s="16" t="n"/>
      <c r="C255" s="16" t="n"/>
      <c r="D255" s="16" t="n"/>
      <c r="E255" s="16" t="n"/>
      <c r="F255" s="16" t="n"/>
      <c r="G255" s="16" t="n"/>
      <c r="H255" s="16" t="n"/>
      <c r="I255" s="16" t="n"/>
      <c r="J255" s="16" t="n"/>
      <c r="K255" s="16" t="n"/>
      <c r="L255" s="16" t="n"/>
      <c r="M255" s="16" t="n"/>
      <c r="N255" s="16" t="n"/>
      <c r="O255" s="16" t="n"/>
      <c r="P255" s="16" t="n"/>
      <c r="Q255" s="16" t="n"/>
    </row>
    <row r="256">
      <c r="A256" s="15">
        <f>IF(DATE(PlanYear,1,1)+250&lt;=DATE(PlanYear+1,1,31),DATE(PlanYear,1,1)+250,"")</f>
        <v/>
      </c>
      <c r="B256" s="16" t="n"/>
      <c r="C256" s="16" t="n"/>
      <c r="D256" s="16" t="n"/>
      <c r="E256" s="16" t="n"/>
      <c r="F256" s="16" t="n"/>
      <c r="G256" s="16" t="n"/>
      <c r="H256" s="16" t="n"/>
      <c r="I256" s="16" t="n"/>
      <c r="J256" s="16" t="n"/>
      <c r="K256" s="16" t="n"/>
      <c r="L256" s="16" t="n"/>
      <c r="M256" s="16" t="n"/>
      <c r="N256" s="16" t="n"/>
      <c r="O256" s="16" t="n"/>
      <c r="P256" s="16" t="n"/>
      <c r="Q256" s="16" t="n"/>
    </row>
    <row r="257">
      <c r="A257" s="15">
        <f>IF(DATE(PlanYear,1,1)+251&lt;=DATE(PlanYear+1,1,31),DATE(PlanYear,1,1)+251,"")</f>
        <v/>
      </c>
      <c r="B257" s="16" t="n"/>
      <c r="C257" s="16" t="n"/>
      <c r="D257" s="16" t="n"/>
      <c r="E257" s="16" t="n"/>
      <c r="F257" s="16" t="n"/>
      <c r="G257" s="16" t="n"/>
      <c r="H257" s="16" t="n"/>
      <c r="I257" s="16" t="n"/>
      <c r="J257" s="16" t="n"/>
      <c r="K257" s="16" t="n"/>
      <c r="L257" s="16" t="n"/>
      <c r="M257" s="16" t="n"/>
      <c r="N257" s="16" t="n"/>
      <c r="O257" s="16" t="n"/>
      <c r="P257" s="16" t="n"/>
      <c r="Q257" s="16" t="n"/>
    </row>
    <row r="258">
      <c r="A258" s="15">
        <f>IF(DATE(PlanYear,1,1)+252&lt;=DATE(PlanYear+1,1,31),DATE(PlanYear,1,1)+252,"")</f>
        <v/>
      </c>
      <c r="B258" s="16" t="n"/>
      <c r="C258" s="16" t="n"/>
      <c r="D258" s="16" t="n"/>
      <c r="E258" s="16" t="n"/>
      <c r="F258" s="16" t="n"/>
      <c r="G258" s="16" t="n"/>
      <c r="H258" s="16" t="n"/>
      <c r="I258" s="16" t="n"/>
      <c r="J258" s="16" t="n"/>
      <c r="K258" s="16" t="n"/>
      <c r="L258" s="16" t="n"/>
      <c r="M258" s="16" t="n"/>
      <c r="N258" s="16" t="n"/>
      <c r="O258" s="16" t="n"/>
      <c r="P258" s="16" t="n"/>
      <c r="Q258" s="16" t="n"/>
    </row>
    <row r="259">
      <c r="A259" s="15">
        <f>IF(DATE(PlanYear,1,1)+253&lt;=DATE(PlanYear+1,1,31),DATE(PlanYear,1,1)+253,"")</f>
        <v/>
      </c>
      <c r="B259" s="16" t="n"/>
      <c r="C259" s="16" t="n"/>
      <c r="D259" s="16" t="n"/>
      <c r="E259" s="16" t="n"/>
      <c r="F259" s="16" t="n"/>
      <c r="G259" s="16" t="n"/>
      <c r="H259" s="16" t="n"/>
      <c r="I259" s="16" t="n"/>
      <c r="J259" s="16" t="n"/>
      <c r="K259" s="16" t="n"/>
      <c r="L259" s="16" t="n"/>
      <c r="M259" s="16" t="n"/>
      <c r="N259" s="16" t="n"/>
      <c r="O259" s="16" t="n"/>
      <c r="P259" s="16" t="n"/>
      <c r="Q259" s="16" t="n"/>
    </row>
    <row r="260">
      <c r="A260" s="15">
        <f>IF(DATE(PlanYear,1,1)+254&lt;=DATE(PlanYear+1,1,31),DATE(PlanYear,1,1)+254,"")</f>
        <v/>
      </c>
      <c r="B260" s="16" t="n"/>
      <c r="C260" s="16" t="n"/>
      <c r="D260" s="16" t="n"/>
      <c r="E260" s="16" t="n"/>
      <c r="F260" s="16" t="n"/>
      <c r="G260" s="16" t="n"/>
      <c r="H260" s="16" t="n"/>
      <c r="I260" s="16" t="n"/>
      <c r="J260" s="16" t="n"/>
      <c r="K260" s="16" t="n"/>
      <c r="L260" s="16" t="n"/>
      <c r="M260" s="16" t="n"/>
      <c r="N260" s="16" t="n"/>
      <c r="O260" s="16" t="n"/>
      <c r="P260" s="16" t="n"/>
      <c r="Q260" s="16" t="n"/>
    </row>
    <row r="261">
      <c r="A261" s="15">
        <f>IF(DATE(PlanYear,1,1)+255&lt;=DATE(PlanYear+1,1,31),DATE(PlanYear,1,1)+255,"")</f>
        <v/>
      </c>
      <c r="B261" s="16" t="n"/>
      <c r="C261" s="16" t="n"/>
      <c r="D261" s="16" t="n"/>
      <c r="E261" s="16" t="n"/>
      <c r="F261" s="16" t="n"/>
      <c r="G261" s="16" t="n"/>
      <c r="H261" s="16" t="n"/>
      <c r="I261" s="16" t="n"/>
      <c r="J261" s="16" t="n"/>
      <c r="K261" s="16" t="n"/>
      <c r="L261" s="16" t="n"/>
      <c r="M261" s="16" t="n"/>
      <c r="N261" s="16" t="n"/>
      <c r="O261" s="16" t="n"/>
      <c r="P261" s="16" t="n"/>
      <c r="Q261" s="16" t="n"/>
    </row>
    <row r="262">
      <c r="A262" s="15">
        <f>IF(DATE(PlanYear,1,1)+256&lt;=DATE(PlanYear+1,1,31),DATE(PlanYear,1,1)+256,"")</f>
        <v/>
      </c>
      <c r="B262" s="16" t="n"/>
      <c r="C262" s="16" t="n"/>
      <c r="D262" s="16" t="n"/>
      <c r="E262" s="16" t="n"/>
      <c r="F262" s="16" t="n"/>
      <c r="G262" s="16" t="n"/>
      <c r="H262" s="16" t="n"/>
      <c r="I262" s="16" t="n"/>
      <c r="J262" s="16" t="n"/>
      <c r="K262" s="16" t="n"/>
      <c r="L262" s="16" t="n"/>
      <c r="M262" s="16" t="n"/>
      <c r="N262" s="16" t="n"/>
      <c r="O262" s="16" t="n"/>
      <c r="P262" s="16" t="n"/>
      <c r="Q262" s="16" t="n"/>
    </row>
    <row r="263">
      <c r="A263" s="15">
        <f>IF(DATE(PlanYear,1,1)+257&lt;=DATE(PlanYear+1,1,31),DATE(PlanYear,1,1)+257,"")</f>
        <v/>
      </c>
      <c r="B263" s="16" t="n"/>
      <c r="C263" s="16" t="n"/>
      <c r="D263" s="16" t="n"/>
      <c r="E263" s="16" t="n"/>
      <c r="F263" s="16" t="n"/>
      <c r="G263" s="16" t="n"/>
      <c r="H263" s="16" t="n"/>
      <c r="I263" s="16" t="n"/>
      <c r="J263" s="16" t="n"/>
      <c r="K263" s="16" t="n"/>
      <c r="L263" s="16" t="n"/>
      <c r="M263" s="16" t="n"/>
      <c r="N263" s="16" t="n"/>
      <c r="O263" s="16" t="n"/>
      <c r="P263" s="16" t="n"/>
      <c r="Q263" s="16" t="n"/>
    </row>
    <row r="264">
      <c r="A264" s="15">
        <f>IF(DATE(PlanYear,1,1)+258&lt;=DATE(PlanYear+1,1,31),DATE(PlanYear,1,1)+258,"")</f>
        <v/>
      </c>
      <c r="B264" s="16" t="n"/>
      <c r="C264" s="16" t="n"/>
      <c r="D264" s="16" t="n"/>
      <c r="E264" s="16" t="n"/>
      <c r="F264" s="16" t="n"/>
      <c r="G264" s="16" t="n"/>
      <c r="H264" s="16" t="n"/>
      <c r="I264" s="16" t="n"/>
      <c r="J264" s="16" t="n"/>
      <c r="K264" s="16" t="n"/>
      <c r="L264" s="16" t="n"/>
      <c r="M264" s="16" t="n"/>
      <c r="N264" s="16" t="n"/>
      <c r="O264" s="16" t="n"/>
      <c r="P264" s="16" t="n"/>
      <c r="Q264" s="16" t="n"/>
    </row>
    <row r="265">
      <c r="A265" s="15">
        <f>IF(DATE(PlanYear,1,1)+259&lt;=DATE(PlanYear+1,1,31),DATE(PlanYear,1,1)+259,"")</f>
        <v/>
      </c>
      <c r="B265" s="16" t="n"/>
      <c r="C265" s="16" t="n"/>
      <c r="D265" s="16" t="n"/>
      <c r="E265" s="16" t="n"/>
      <c r="F265" s="16" t="n"/>
      <c r="G265" s="16" t="n"/>
      <c r="H265" s="16" t="n"/>
      <c r="I265" s="16" t="n"/>
      <c r="J265" s="16" t="n"/>
      <c r="K265" s="16" t="n"/>
      <c r="L265" s="16" t="n"/>
      <c r="M265" s="16" t="n"/>
      <c r="N265" s="16" t="n"/>
      <c r="O265" s="16" t="n"/>
      <c r="P265" s="16" t="n"/>
      <c r="Q265" s="16" t="n"/>
    </row>
    <row r="266">
      <c r="A266" s="15">
        <f>IF(DATE(PlanYear,1,1)+260&lt;=DATE(PlanYear+1,1,31),DATE(PlanYear,1,1)+260,"")</f>
        <v/>
      </c>
      <c r="B266" s="16" t="n"/>
      <c r="C266" s="16" t="n"/>
      <c r="D266" s="16" t="n"/>
      <c r="E266" s="16" t="n"/>
      <c r="F266" s="16" t="n"/>
      <c r="G266" s="16" t="n"/>
      <c r="H266" s="16" t="n"/>
      <c r="I266" s="16" t="n"/>
      <c r="J266" s="16" t="n"/>
      <c r="K266" s="16" t="n"/>
      <c r="L266" s="16" t="n"/>
      <c r="M266" s="16" t="n"/>
      <c r="N266" s="16" t="n"/>
      <c r="O266" s="16" t="n"/>
      <c r="P266" s="16" t="n"/>
      <c r="Q266" s="16" t="n"/>
    </row>
    <row r="267">
      <c r="A267" s="15">
        <f>IF(DATE(PlanYear,1,1)+261&lt;=DATE(PlanYear+1,1,31),DATE(PlanYear,1,1)+261,"")</f>
        <v/>
      </c>
      <c r="B267" s="16" t="n"/>
      <c r="C267" s="16" t="n"/>
      <c r="D267" s="16" t="n"/>
      <c r="E267" s="16" t="n"/>
      <c r="F267" s="16" t="n"/>
      <c r="G267" s="16" t="n"/>
      <c r="H267" s="16" t="n"/>
      <c r="I267" s="16" t="n"/>
      <c r="J267" s="16" t="n"/>
      <c r="K267" s="16" t="n"/>
      <c r="L267" s="16" t="n"/>
      <c r="M267" s="16" t="n"/>
      <c r="N267" s="16" t="n"/>
      <c r="O267" s="16" t="n"/>
      <c r="P267" s="16" t="n"/>
      <c r="Q267" s="16" t="n"/>
    </row>
    <row r="268">
      <c r="A268" s="15">
        <f>IF(DATE(PlanYear,1,1)+262&lt;=DATE(PlanYear+1,1,31),DATE(PlanYear,1,1)+262,"")</f>
        <v/>
      </c>
      <c r="B268" s="16" t="n"/>
      <c r="C268" s="16" t="n"/>
      <c r="D268" s="16" t="n"/>
      <c r="E268" s="16" t="n"/>
      <c r="F268" s="16" t="n"/>
      <c r="G268" s="16" t="n"/>
      <c r="H268" s="16" t="n"/>
      <c r="I268" s="16" t="n"/>
      <c r="J268" s="16" t="n"/>
      <c r="K268" s="16" t="n"/>
      <c r="L268" s="16" t="n"/>
      <c r="M268" s="16" t="n"/>
      <c r="N268" s="16" t="n"/>
      <c r="O268" s="16" t="n"/>
      <c r="P268" s="16" t="n"/>
      <c r="Q268" s="16" t="n"/>
    </row>
    <row r="269">
      <c r="A269" s="15">
        <f>IF(DATE(PlanYear,1,1)+263&lt;=DATE(PlanYear+1,1,31),DATE(PlanYear,1,1)+263,"")</f>
        <v/>
      </c>
      <c r="B269" s="16" t="n"/>
      <c r="C269" s="16" t="n"/>
      <c r="D269" s="16" t="n"/>
      <c r="E269" s="16" t="n"/>
      <c r="F269" s="16" t="n"/>
      <c r="G269" s="16" t="n"/>
      <c r="H269" s="16" t="n"/>
      <c r="I269" s="16" t="n"/>
      <c r="J269" s="16" t="n"/>
      <c r="K269" s="16" t="n"/>
      <c r="L269" s="16" t="n"/>
      <c r="M269" s="16" t="n"/>
      <c r="N269" s="16" t="n"/>
      <c r="O269" s="16" t="n"/>
      <c r="P269" s="16" t="n"/>
      <c r="Q269" s="16" t="n"/>
    </row>
    <row r="270">
      <c r="A270" s="15">
        <f>IF(DATE(PlanYear,1,1)+264&lt;=DATE(PlanYear+1,1,31),DATE(PlanYear,1,1)+264,"")</f>
        <v/>
      </c>
      <c r="B270" s="16" t="n"/>
      <c r="C270" s="16" t="n"/>
      <c r="D270" s="16" t="n"/>
      <c r="E270" s="16" t="n"/>
      <c r="F270" s="16" t="n"/>
      <c r="G270" s="16" t="n"/>
      <c r="H270" s="16" t="n"/>
      <c r="I270" s="16" t="n"/>
      <c r="J270" s="16" t="n"/>
      <c r="K270" s="16" t="n"/>
      <c r="L270" s="16" t="n"/>
      <c r="M270" s="16" t="n"/>
      <c r="N270" s="16" t="n"/>
      <c r="O270" s="16" t="n"/>
      <c r="P270" s="16" t="n"/>
      <c r="Q270" s="16" t="n"/>
    </row>
    <row r="271">
      <c r="A271" s="15">
        <f>IF(DATE(PlanYear,1,1)+265&lt;=DATE(PlanYear+1,1,31),DATE(PlanYear,1,1)+265,"")</f>
        <v/>
      </c>
      <c r="B271" s="16" t="n"/>
      <c r="C271" s="16" t="n"/>
      <c r="D271" s="16" t="n"/>
      <c r="E271" s="16" t="n"/>
      <c r="F271" s="16" t="n"/>
      <c r="G271" s="16" t="n"/>
      <c r="H271" s="16" t="n"/>
      <c r="I271" s="16" t="n"/>
      <c r="J271" s="16" t="n"/>
      <c r="K271" s="16" t="n"/>
      <c r="L271" s="16" t="n"/>
      <c r="M271" s="16" t="n"/>
      <c r="N271" s="16" t="n"/>
      <c r="O271" s="16" t="n"/>
      <c r="P271" s="16" t="n"/>
      <c r="Q271" s="16" t="n"/>
    </row>
    <row r="272">
      <c r="A272" s="15">
        <f>IF(DATE(PlanYear,1,1)+266&lt;=DATE(PlanYear+1,1,31),DATE(PlanYear,1,1)+266,"")</f>
        <v/>
      </c>
      <c r="B272" s="16" t="n"/>
      <c r="C272" s="16" t="n"/>
      <c r="D272" s="16" t="n"/>
      <c r="E272" s="16" t="n"/>
      <c r="F272" s="16" t="n"/>
      <c r="G272" s="16" t="n"/>
      <c r="H272" s="16" t="n"/>
      <c r="I272" s="16" t="n"/>
      <c r="J272" s="16" t="n"/>
      <c r="K272" s="16" t="n"/>
      <c r="L272" s="16" t="n"/>
      <c r="M272" s="16" t="n"/>
      <c r="N272" s="16" t="n"/>
      <c r="O272" s="16" t="n"/>
      <c r="P272" s="16" t="n"/>
      <c r="Q272" s="16" t="n"/>
    </row>
    <row r="273">
      <c r="A273" s="15">
        <f>IF(DATE(PlanYear,1,1)+267&lt;=DATE(PlanYear+1,1,31),DATE(PlanYear,1,1)+267,"")</f>
        <v/>
      </c>
      <c r="B273" s="16" t="n"/>
      <c r="C273" s="16" t="n"/>
      <c r="D273" s="16" t="n"/>
      <c r="E273" s="16" t="n"/>
      <c r="F273" s="16" t="n"/>
      <c r="G273" s="16" t="n"/>
      <c r="H273" s="16" t="n"/>
      <c r="I273" s="16" t="n"/>
      <c r="J273" s="16" t="n"/>
      <c r="K273" s="16" t="n"/>
      <c r="L273" s="16" t="n"/>
      <c r="M273" s="16" t="n"/>
      <c r="N273" s="16" t="n"/>
      <c r="O273" s="16" t="n"/>
      <c r="P273" s="16" t="n"/>
      <c r="Q273" s="16" t="n"/>
    </row>
    <row r="274">
      <c r="A274" s="15">
        <f>IF(DATE(PlanYear,1,1)+268&lt;=DATE(PlanYear+1,1,31),DATE(PlanYear,1,1)+268,"")</f>
        <v/>
      </c>
      <c r="B274" s="16" t="n"/>
      <c r="C274" s="16" t="n"/>
      <c r="D274" s="16" t="n"/>
      <c r="E274" s="16" t="n"/>
      <c r="F274" s="16" t="n"/>
      <c r="G274" s="16" t="n"/>
      <c r="H274" s="16" t="n"/>
      <c r="I274" s="16" t="n"/>
      <c r="J274" s="16" t="n"/>
      <c r="K274" s="16" t="n"/>
      <c r="L274" s="16" t="n"/>
      <c r="M274" s="16" t="n"/>
      <c r="N274" s="16" t="n"/>
      <c r="O274" s="16" t="n"/>
      <c r="P274" s="16" t="n"/>
      <c r="Q274" s="16" t="n"/>
    </row>
    <row r="275">
      <c r="A275" s="15">
        <f>IF(DATE(PlanYear,1,1)+269&lt;=DATE(PlanYear+1,1,31),DATE(PlanYear,1,1)+269,"")</f>
        <v/>
      </c>
      <c r="B275" s="16" t="n"/>
      <c r="C275" s="16" t="n"/>
      <c r="D275" s="16" t="n"/>
      <c r="E275" s="16" t="n"/>
      <c r="F275" s="16" t="n"/>
      <c r="G275" s="16" t="n"/>
      <c r="H275" s="16" t="n"/>
      <c r="I275" s="16" t="n"/>
      <c r="J275" s="16" t="n"/>
      <c r="K275" s="16" t="n"/>
      <c r="L275" s="16" t="n"/>
      <c r="M275" s="16" t="n"/>
      <c r="N275" s="16" t="n"/>
      <c r="O275" s="16" t="n"/>
      <c r="P275" s="16" t="n"/>
      <c r="Q275" s="16" t="n"/>
    </row>
    <row r="276">
      <c r="A276" s="15">
        <f>IF(DATE(PlanYear,1,1)+270&lt;=DATE(PlanYear+1,1,31),DATE(PlanYear,1,1)+270,"")</f>
        <v/>
      </c>
      <c r="B276" s="16" t="n"/>
      <c r="C276" s="16" t="n"/>
      <c r="D276" s="16" t="n"/>
      <c r="E276" s="16" t="n"/>
      <c r="F276" s="16" t="n"/>
      <c r="G276" s="16" t="n"/>
      <c r="H276" s="16" t="n"/>
      <c r="I276" s="16" t="n"/>
      <c r="J276" s="16" t="n"/>
      <c r="K276" s="16" t="n"/>
      <c r="L276" s="16" t="n"/>
      <c r="M276" s="16" t="n"/>
      <c r="N276" s="16" t="n"/>
      <c r="O276" s="16" t="n"/>
      <c r="P276" s="16" t="n"/>
      <c r="Q276" s="16" t="n"/>
    </row>
    <row r="277">
      <c r="A277" s="15">
        <f>IF(DATE(PlanYear,1,1)+271&lt;=DATE(PlanYear+1,1,31),DATE(PlanYear,1,1)+271,"")</f>
        <v/>
      </c>
      <c r="B277" s="16" t="n"/>
      <c r="C277" s="16" t="n"/>
      <c r="D277" s="16" t="n"/>
      <c r="E277" s="16" t="n"/>
      <c r="F277" s="16" t="n"/>
      <c r="G277" s="16" t="n"/>
      <c r="H277" s="16" t="n"/>
      <c r="I277" s="16" t="n"/>
      <c r="J277" s="16" t="n"/>
      <c r="K277" s="16" t="n"/>
      <c r="L277" s="16" t="n"/>
      <c r="M277" s="16" t="n"/>
      <c r="N277" s="16" t="n"/>
      <c r="O277" s="16" t="n"/>
      <c r="P277" s="16" t="n"/>
      <c r="Q277" s="16" t="n"/>
    </row>
    <row r="278">
      <c r="A278" s="15">
        <f>IF(DATE(PlanYear,1,1)+272&lt;=DATE(PlanYear+1,1,31),DATE(PlanYear,1,1)+272,"")</f>
        <v/>
      </c>
      <c r="B278" s="16" t="n"/>
      <c r="C278" s="16" t="n"/>
      <c r="D278" s="16" t="n"/>
      <c r="E278" s="16" t="n"/>
      <c r="F278" s="16" t="n"/>
      <c r="G278" s="16" t="n"/>
      <c r="H278" s="16" t="n"/>
      <c r="I278" s="16" t="n"/>
      <c r="J278" s="16" t="n"/>
      <c r="K278" s="16" t="n"/>
      <c r="L278" s="16" t="n"/>
      <c r="M278" s="16" t="n"/>
      <c r="N278" s="16" t="n"/>
      <c r="O278" s="16" t="n"/>
      <c r="P278" s="16" t="n"/>
      <c r="Q278" s="16" t="n"/>
    </row>
    <row r="279">
      <c r="A279" s="15">
        <f>IF(DATE(PlanYear,1,1)+273&lt;=DATE(PlanYear+1,1,31),DATE(PlanYear,1,1)+273,"")</f>
        <v/>
      </c>
      <c r="B279" s="16" t="n"/>
      <c r="C279" s="16" t="n"/>
      <c r="D279" s="16" t="n"/>
      <c r="E279" s="16" t="n"/>
      <c r="F279" s="16" t="inlineStr">
        <is>
          <t>CPT Lim</t>
        </is>
      </c>
      <c r="G279" s="16" t="inlineStr">
        <is>
          <t>ME2 Goh</t>
        </is>
      </c>
      <c r="H279" s="16" t="inlineStr">
        <is>
          <t>ME1 Ravi</t>
        </is>
      </c>
      <c r="I279" s="16" t="inlineStr">
        <is>
          <t>CPT Lee</t>
        </is>
      </c>
      <c r="J279" s="16" t="inlineStr">
        <is>
          <t>LTA Ng</t>
        </is>
      </c>
      <c r="K279" s="16" t="inlineStr">
        <is>
          <t>0700</t>
        </is>
      </c>
      <c r="L279" s="16" t="inlineStr">
        <is>
          <t>Oscar 1</t>
        </is>
      </c>
      <c r="M279" s="16" t="inlineStr">
        <is>
          <t>Echo 2</t>
        </is>
      </c>
      <c r="N279" s="16" t="inlineStr">
        <is>
          <t>Nov 3</t>
        </is>
      </c>
      <c r="O279" s="16" t="inlineStr">
        <is>
          <t>Alpha / Kilo</t>
        </is>
      </c>
      <c r="P279" s="16" t="inlineStr">
        <is>
          <t>Wx brief 0700. Range Area 1 NOTAM active 0800-1200.</t>
        </is>
      </c>
      <c r="Q279" s="16" t="n"/>
    </row>
    <row r="280">
      <c r="A280" s="15">
        <f>IF(DATE(PlanYear,1,1)+274&lt;=DATE(PlanYear+1,1,31),DATE(PlanYear,1,1)+274,"")</f>
        <v/>
      </c>
      <c r="B280" s="16" t="n"/>
      <c r="C280" s="16" t="n"/>
      <c r="D280" s="16" t="n"/>
      <c r="E280" s="16" t="n"/>
      <c r="F280" s="16" t="n"/>
      <c r="G280" s="16" t="n"/>
      <c r="H280" s="16" t="n"/>
      <c r="I280" s="16" t="n"/>
      <c r="J280" s="16" t="n"/>
      <c r="K280" s="16" t="n"/>
      <c r="L280" s="16" t="n"/>
      <c r="M280" s="16" t="n"/>
      <c r="N280" s="16" t="n"/>
      <c r="O280" s="16" t="n"/>
      <c r="P280" s="16" t="n"/>
      <c r="Q280" s="16" t="n"/>
    </row>
    <row r="281">
      <c r="A281" s="15">
        <f>IF(DATE(PlanYear,1,1)+275&lt;=DATE(PlanYear+1,1,31),DATE(PlanYear,1,1)+275,"")</f>
        <v/>
      </c>
      <c r="B281" s="16" t="n"/>
      <c r="C281" s="16" t="n"/>
      <c r="D281" s="16" t="n"/>
      <c r="E281" s="16" t="n"/>
      <c r="F281" s="16" t="n"/>
      <c r="G281" s="16" t="n"/>
      <c r="H281" s="16" t="n"/>
      <c r="I281" s="16" t="n"/>
      <c r="J281" s="16" t="n"/>
      <c r="K281" s="16" t="n"/>
      <c r="L281" s="16" t="n"/>
      <c r="M281" s="16" t="n"/>
      <c r="N281" s="16" t="n"/>
      <c r="O281" s="16" t="n"/>
      <c r="P281" s="16" t="n"/>
      <c r="Q281" s="16" t="n"/>
    </row>
    <row r="282">
      <c r="A282" s="15">
        <f>IF(DATE(PlanYear,1,1)+276&lt;=DATE(PlanYear+1,1,31),DATE(PlanYear,1,1)+276,"")</f>
        <v/>
      </c>
      <c r="B282" s="16" t="n"/>
      <c r="C282" s="16" t="n"/>
      <c r="D282" s="16" t="n"/>
      <c r="E282" s="16" t="n"/>
      <c r="F282" s="16" t="n"/>
      <c r="G282" s="16" t="n"/>
      <c r="H282" s="16" t="n"/>
      <c r="I282" s="16" t="n"/>
      <c r="J282" s="16" t="n"/>
      <c r="K282" s="16" t="n"/>
      <c r="L282" s="16" t="n"/>
      <c r="M282" s="16" t="n"/>
      <c r="N282" s="16" t="n"/>
      <c r="O282" s="16" t="n"/>
      <c r="P282" s="16" t="n"/>
      <c r="Q282" s="16" t="n"/>
    </row>
    <row r="283">
      <c r="A283" s="15">
        <f>IF(DATE(PlanYear,1,1)+277&lt;=DATE(PlanYear+1,1,31),DATE(PlanYear,1,1)+277,"")</f>
        <v/>
      </c>
      <c r="B283" s="16" t="n"/>
      <c r="C283" s="16" t="n"/>
      <c r="D283" s="16" t="n"/>
      <c r="E283" s="16" t="n"/>
      <c r="F283" s="16" t="n"/>
      <c r="G283" s="16" t="n"/>
      <c r="H283" s="16" t="n"/>
      <c r="I283" s="16" t="n"/>
      <c r="J283" s="16" t="n"/>
      <c r="K283" s="16" t="n"/>
      <c r="L283" s="16" t="n"/>
      <c r="M283" s="16" t="n"/>
      <c r="N283" s="16" t="n"/>
      <c r="O283" s="16" t="n"/>
      <c r="P283" s="16" t="n"/>
      <c r="Q283" s="16" t="n"/>
    </row>
    <row r="284">
      <c r="A284" s="15">
        <f>IF(DATE(PlanYear,1,1)+278&lt;=DATE(PlanYear+1,1,31),DATE(PlanYear,1,1)+278,"")</f>
        <v/>
      </c>
      <c r="B284" s="16" t="n"/>
      <c r="C284" s="16" t="n"/>
      <c r="D284" s="16" t="n"/>
      <c r="E284" s="16" t="n"/>
      <c r="F284" s="16" t="n"/>
      <c r="G284" s="16" t="n"/>
      <c r="H284" s="16" t="n"/>
      <c r="I284" s="16" t="n"/>
      <c r="J284" s="16" t="n"/>
      <c r="K284" s="16" t="n"/>
      <c r="L284" s="16" t="n"/>
      <c r="M284" s="16" t="n"/>
      <c r="N284" s="16" t="n"/>
      <c r="O284" s="16" t="n"/>
      <c r="P284" s="16" t="n"/>
      <c r="Q284" s="16" t="n"/>
    </row>
    <row r="285">
      <c r="A285" s="15">
        <f>IF(DATE(PlanYear,1,1)+279&lt;=DATE(PlanYear+1,1,31),DATE(PlanYear,1,1)+279,"")</f>
        <v/>
      </c>
      <c r="B285" s="16" t="n"/>
      <c r="C285" s="16" t="n"/>
      <c r="D285" s="16" t="n"/>
      <c r="E285" s="16" t="n"/>
      <c r="F285" s="16" t="n"/>
      <c r="G285" s="16" t="n"/>
      <c r="H285" s="16" t="n"/>
      <c r="I285" s="16" t="n"/>
      <c r="J285" s="16" t="n"/>
      <c r="K285" s="16" t="n"/>
      <c r="L285" s="16" t="n"/>
      <c r="M285" s="16" t="n"/>
      <c r="N285" s="16" t="n"/>
      <c r="O285" s="16" t="n"/>
      <c r="P285" s="16" t="n"/>
      <c r="Q285" s="16" t="n"/>
    </row>
    <row r="286">
      <c r="A286" s="15">
        <f>IF(DATE(PlanYear,1,1)+280&lt;=DATE(PlanYear+1,1,31),DATE(PlanYear,1,1)+280,"")</f>
        <v/>
      </c>
      <c r="B286" s="16" t="n"/>
      <c r="C286" s="16" t="n"/>
      <c r="D286" s="16" t="n"/>
      <c r="E286" s="16" t="n"/>
      <c r="F286" s="16" t="n"/>
      <c r="G286" s="16" t="n"/>
      <c r="H286" s="16" t="n"/>
      <c r="I286" s="16" t="n"/>
      <c r="J286" s="16" t="n"/>
      <c r="K286" s="16" t="n"/>
      <c r="L286" s="16" t="n"/>
      <c r="M286" s="16" t="n"/>
      <c r="N286" s="16" t="n"/>
      <c r="O286" s="16" t="n"/>
      <c r="P286" s="16" t="n"/>
      <c r="Q286" s="16" t="n"/>
    </row>
    <row r="287">
      <c r="A287" s="15">
        <f>IF(DATE(PlanYear,1,1)+281&lt;=DATE(PlanYear+1,1,31),DATE(PlanYear,1,1)+281,"")</f>
        <v/>
      </c>
      <c r="B287" s="16" t="n"/>
      <c r="C287" s="16" t="n"/>
      <c r="D287" s="16" t="n"/>
      <c r="E287" s="16" t="n"/>
      <c r="F287" s="16" t="n"/>
      <c r="G287" s="16" t="n"/>
      <c r="H287" s="16" t="n"/>
      <c r="I287" s="16" t="n"/>
      <c r="J287" s="16" t="n"/>
      <c r="K287" s="16" t="n"/>
      <c r="L287" s="16" t="n"/>
      <c r="M287" s="16" t="n"/>
      <c r="N287" s="16" t="n"/>
      <c r="O287" s="16" t="n"/>
      <c r="P287" s="16" t="n"/>
      <c r="Q287" s="16" t="n"/>
    </row>
    <row r="288">
      <c r="A288" s="15">
        <f>IF(DATE(PlanYear,1,1)+282&lt;=DATE(PlanYear+1,1,31),DATE(PlanYear,1,1)+282,"")</f>
        <v/>
      </c>
      <c r="B288" s="16" t="n"/>
      <c r="C288" s="16" t="n"/>
      <c r="D288" s="16" t="n"/>
      <c r="E288" s="16" t="n"/>
      <c r="F288" s="16" t="n"/>
      <c r="G288" s="16" t="n"/>
      <c r="H288" s="16" t="n"/>
      <c r="I288" s="16" t="n"/>
      <c r="J288" s="16" t="n"/>
      <c r="K288" s="16" t="n"/>
      <c r="L288" s="16" t="n"/>
      <c r="M288" s="16" t="n"/>
      <c r="N288" s="16" t="n"/>
      <c r="O288" s="16" t="n"/>
      <c r="P288" s="16" t="n"/>
      <c r="Q288" s="16" t="n"/>
    </row>
    <row r="289">
      <c r="A289" s="15">
        <f>IF(DATE(PlanYear,1,1)+283&lt;=DATE(PlanYear+1,1,31),DATE(PlanYear,1,1)+283,"")</f>
        <v/>
      </c>
      <c r="B289" s="16" t="n"/>
      <c r="C289" s="16" t="n"/>
      <c r="D289" s="16" t="n"/>
      <c r="E289" s="16" t="n"/>
      <c r="F289" s="16" t="n"/>
      <c r="G289" s="16" t="n"/>
      <c r="H289" s="16" t="n"/>
      <c r="I289" s="16" t="n"/>
      <c r="J289" s="16" t="n"/>
      <c r="K289" s="16" t="n"/>
      <c r="L289" s="16" t="n"/>
      <c r="M289" s="16" t="n"/>
      <c r="N289" s="16" t="n"/>
      <c r="O289" s="16" t="n"/>
      <c r="P289" s="16" t="n"/>
      <c r="Q289" s="16" t="n"/>
    </row>
    <row r="290">
      <c r="A290" s="15">
        <f>IF(DATE(PlanYear,1,1)+284&lt;=DATE(PlanYear+1,1,31),DATE(PlanYear,1,1)+284,"")</f>
        <v/>
      </c>
      <c r="B290" s="16" t="n"/>
      <c r="C290" s="16" t="n"/>
      <c r="D290" s="16" t="n"/>
      <c r="E290" s="16" t="n"/>
      <c r="F290" s="16" t="n"/>
      <c r="G290" s="16" t="n"/>
      <c r="H290" s="16" t="n"/>
      <c r="I290" s="16" t="n"/>
      <c r="J290" s="16" t="n"/>
      <c r="K290" s="16" t="n"/>
      <c r="L290" s="16" t="n"/>
      <c r="M290" s="16" t="n"/>
      <c r="N290" s="16" t="n"/>
      <c r="O290" s="16" t="n"/>
      <c r="P290" s="16" t="n"/>
      <c r="Q290" s="16" t="n"/>
    </row>
    <row r="291">
      <c r="A291" s="15">
        <f>IF(DATE(PlanYear,1,1)+285&lt;=DATE(PlanYear+1,1,31),DATE(PlanYear,1,1)+285,"")</f>
        <v/>
      </c>
      <c r="B291" s="16" t="n"/>
      <c r="C291" s="16" t="n"/>
      <c r="D291" s="16" t="n"/>
      <c r="E291" s="16" t="n"/>
      <c r="F291" s="16" t="n"/>
      <c r="G291" s="16" t="n"/>
      <c r="H291" s="16" t="n"/>
      <c r="I291" s="16" t="n"/>
      <c r="J291" s="16" t="n"/>
      <c r="K291" s="16" t="n"/>
      <c r="L291" s="16" t="n"/>
      <c r="M291" s="16" t="n"/>
      <c r="N291" s="16" t="n"/>
      <c r="O291" s="16" t="n"/>
      <c r="P291" s="16" t="n"/>
      <c r="Q291" s="16" t="n"/>
    </row>
    <row r="292">
      <c r="A292" s="15">
        <f>IF(DATE(PlanYear,1,1)+286&lt;=DATE(PlanYear+1,1,31),DATE(PlanYear,1,1)+286,"")</f>
        <v/>
      </c>
      <c r="B292" s="16" t="n"/>
      <c r="C292" s="16" t="n"/>
      <c r="D292" s="16" t="n"/>
      <c r="E292" s="16" t="n"/>
      <c r="F292" s="16" t="n"/>
      <c r="G292" s="16" t="n"/>
      <c r="H292" s="16" t="n"/>
      <c r="I292" s="16" t="n"/>
      <c r="J292" s="16" t="n"/>
      <c r="K292" s="16" t="n"/>
      <c r="L292" s="16" t="n"/>
      <c r="M292" s="16" t="n"/>
      <c r="N292" s="16" t="n"/>
      <c r="O292" s="16" t="n"/>
      <c r="P292" s="16" t="n"/>
      <c r="Q292" s="16" t="n"/>
    </row>
    <row r="293">
      <c r="A293" s="15">
        <f>IF(DATE(PlanYear,1,1)+287&lt;=DATE(PlanYear+1,1,31),DATE(PlanYear,1,1)+287,"")</f>
        <v/>
      </c>
      <c r="B293" s="16" t="n"/>
      <c r="C293" s="16" t="n"/>
      <c r="D293" s="16" t="n"/>
      <c r="E293" s="16" t="n"/>
      <c r="F293" s="16" t="n"/>
      <c r="G293" s="16" t="n"/>
      <c r="H293" s="16" t="n"/>
      <c r="I293" s="16" t="n"/>
      <c r="J293" s="16" t="n"/>
      <c r="K293" s="16" t="n"/>
      <c r="L293" s="16" t="n"/>
      <c r="M293" s="16" t="n"/>
      <c r="N293" s="16" t="n"/>
      <c r="O293" s="16" t="n"/>
      <c r="P293" s="16" t="n"/>
      <c r="Q293" s="16" t="n"/>
    </row>
    <row r="294">
      <c r="A294" s="15">
        <f>IF(DATE(PlanYear,1,1)+288&lt;=DATE(PlanYear+1,1,31),DATE(PlanYear,1,1)+288,"")</f>
        <v/>
      </c>
      <c r="B294" s="16" t="n"/>
      <c r="C294" s="16" t="n"/>
      <c r="D294" s="16" t="n"/>
      <c r="E294" s="16" t="n"/>
      <c r="F294" s="16" t="n"/>
      <c r="G294" s="16" t="n"/>
      <c r="H294" s="16" t="n"/>
      <c r="I294" s="16" t="n"/>
      <c r="J294" s="16" t="n"/>
      <c r="K294" s="16" t="n"/>
      <c r="L294" s="16" t="n"/>
      <c r="M294" s="16" t="n"/>
      <c r="N294" s="16" t="n"/>
      <c r="O294" s="16" t="n"/>
      <c r="P294" s="16" t="n"/>
      <c r="Q294" s="16" t="n"/>
    </row>
    <row r="295">
      <c r="A295" s="15">
        <f>IF(DATE(PlanYear,1,1)+289&lt;=DATE(PlanYear+1,1,31),DATE(PlanYear,1,1)+289,"")</f>
        <v/>
      </c>
      <c r="B295" s="16" t="n"/>
      <c r="C295" s="16" t="n"/>
      <c r="D295" s="16" t="n"/>
      <c r="E295" s="16" t="n"/>
      <c r="F295" s="16" t="n"/>
      <c r="G295" s="16" t="n"/>
      <c r="H295" s="16" t="n"/>
      <c r="I295" s="16" t="n"/>
      <c r="J295" s="16" t="n"/>
      <c r="K295" s="16" t="n"/>
      <c r="L295" s="16" t="n"/>
      <c r="M295" s="16" t="n"/>
      <c r="N295" s="16" t="n"/>
      <c r="O295" s="16" t="n"/>
      <c r="P295" s="16" t="n"/>
      <c r="Q295" s="16" t="n"/>
    </row>
    <row r="296">
      <c r="A296" s="15">
        <f>IF(DATE(PlanYear,1,1)+290&lt;=DATE(PlanYear+1,1,31),DATE(PlanYear,1,1)+290,"")</f>
        <v/>
      </c>
      <c r="B296" s="16" t="n"/>
      <c r="C296" s="16" t="n"/>
      <c r="D296" s="16" t="n"/>
      <c r="E296" s="16" t="n"/>
      <c r="F296" s="16" t="n"/>
      <c r="G296" s="16" t="n"/>
      <c r="H296" s="16" t="n"/>
      <c r="I296" s="16" t="n"/>
      <c r="J296" s="16" t="n"/>
      <c r="K296" s="16" t="n"/>
      <c r="L296" s="16" t="n"/>
      <c r="M296" s="16" t="n"/>
      <c r="N296" s="16" t="n"/>
      <c r="O296" s="16" t="n"/>
      <c r="P296" s="16" t="n"/>
      <c r="Q296" s="16" t="n"/>
    </row>
    <row r="297">
      <c r="A297" s="15">
        <f>IF(DATE(PlanYear,1,1)+291&lt;=DATE(PlanYear+1,1,31),DATE(PlanYear,1,1)+291,"")</f>
        <v/>
      </c>
      <c r="B297" s="16" t="n"/>
      <c r="C297" s="16" t="n"/>
      <c r="D297" s="16" t="n"/>
      <c r="E297" s="16" t="n"/>
      <c r="F297" s="16" t="n"/>
      <c r="G297" s="16" t="n"/>
      <c r="H297" s="16" t="n"/>
      <c r="I297" s="16" t="n"/>
      <c r="J297" s="16" t="n"/>
      <c r="K297" s="16" t="n"/>
      <c r="L297" s="16" t="n"/>
      <c r="M297" s="16" t="n"/>
      <c r="N297" s="16" t="n"/>
      <c r="O297" s="16" t="n"/>
      <c r="P297" s="16" t="n"/>
      <c r="Q297" s="16" t="n"/>
    </row>
    <row r="298">
      <c r="A298" s="15">
        <f>IF(DATE(PlanYear,1,1)+292&lt;=DATE(PlanYear+1,1,31),DATE(PlanYear,1,1)+292,"")</f>
        <v/>
      </c>
      <c r="B298" s="16" t="n"/>
      <c r="C298" s="16" t="n"/>
      <c r="D298" s="16" t="n"/>
      <c r="E298" s="16" t="n"/>
      <c r="F298" s="16" t="n"/>
      <c r="G298" s="16" t="n"/>
      <c r="H298" s="16" t="n"/>
      <c r="I298" s="16" t="n"/>
      <c r="J298" s="16" t="n"/>
      <c r="K298" s="16" t="n"/>
      <c r="L298" s="16" t="n"/>
      <c r="M298" s="16" t="n"/>
      <c r="N298" s="16" t="n"/>
      <c r="O298" s="16" t="n"/>
      <c r="P298" s="16" t="n"/>
      <c r="Q298" s="16" t="n"/>
    </row>
    <row r="299">
      <c r="A299" s="15">
        <f>IF(DATE(PlanYear,1,1)+293&lt;=DATE(PlanYear+1,1,31),DATE(PlanYear,1,1)+293,"")</f>
        <v/>
      </c>
      <c r="B299" s="16" t="n"/>
      <c r="C299" s="16" t="n"/>
      <c r="D299" s="16" t="n"/>
      <c r="E299" s="16" t="n"/>
      <c r="F299" s="16" t="n"/>
      <c r="G299" s="16" t="n"/>
      <c r="H299" s="16" t="n"/>
      <c r="I299" s="16" t="n"/>
      <c r="J299" s="16" t="n"/>
      <c r="K299" s="16" t="n"/>
      <c r="L299" s="16" t="n"/>
      <c r="M299" s="16" t="n"/>
      <c r="N299" s="16" t="n"/>
      <c r="O299" s="16" t="n"/>
      <c r="P299" s="16" t="n"/>
      <c r="Q299" s="16" t="n"/>
    </row>
    <row r="300">
      <c r="A300" s="15">
        <f>IF(DATE(PlanYear,1,1)+294&lt;=DATE(PlanYear+1,1,31),DATE(PlanYear,1,1)+294,"")</f>
        <v/>
      </c>
      <c r="B300" s="16" t="n"/>
      <c r="C300" s="16" t="n"/>
      <c r="D300" s="16" t="n"/>
      <c r="E300" s="16" t="n"/>
      <c r="F300" s="16" t="n"/>
      <c r="G300" s="16" t="n"/>
      <c r="H300" s="16" t="n"/>
      <c r="I300" s="16" t="n"/>
      <c r="J300" s="16" t="n"/>
      <c r="K300" s="16" t="n"/>
      <c r="L300" s="16" t="n"/>
      <c r="M300" s="16" t="n"/>
      <c r="N300" s="16" t="n"/>
      <c r="O300" s="16" t="n"/>
      <c r="P300" s="16" t="n"/>
      <c r="Q300" s="16" t="n"/>
    </row>
    <row r="301">
      <c r="A301" s="15">
        <f>IF(DATE(PlanYear,1,1)+295&lt;=DATE(PlanYear+1,1,31),DATE(PlanYear,1,1)+295,"")</f>
        <v/>
      </c>
      <c r="B301" s="16" t="n"/>
      <c r="C301" s="16" t="n"/>
      <c r="D301" s="16" t="n"/>
      <c r="E301" s="16" t="n"/>
      <c r="F301" s="16" t="n"/>
      <c r="G301" s="16" t="n"/>
      <c r="H301" s="16" t="n"/>
      <c r="I301" s="16" t="n"/>
      <c r="J301" s="16" t="n"/>
      <c r="K301" s="16" t="n"/>
      <c r="L301" s="16" t="n"/>
      <c r="M301" s="16" t="n"/>
      <c r="N301" s="16" t="n"/>
      <c r="O301" s="16" t="n"/>
      <c r="P301" s="16" t="n"/>
      <c r="Q301" s="16" t="n"/>
    </row>
    <row r="302">
      <c r="A302" s="15">
        <f>IF(DATE(PlanYear,1,1)+296&lt;=DATE(PlanYear+1,1,31),DATE(PlanYear,1,1)+296,"")</f>
        <v/>
      </c>
      <c r="B302" s="16" t="n"/>
      <c r="C302" s="16" t="n"/>
      <c r="D302" s="16" t="n"/>
      <c r="E302" s="16" t="n"/>
      <c r="F302" s="16" t="n"/>
      <c r="G302" s="16" t="n"/>
      <c r="H302" s="16" t="n"/>
      <c r="I302" s="16" t="n"/>
      <c r="J302" s="16" t="n"/>
      <c r="K302" s="16" t="n"/>
      <c r="L302" s="16" t="n"/>
      <c r="M302" s="16" t="n"/>
      <c r="N302" s="16" t="n"/>
      <c r="O302" s="16" t="n"/>
      <c r="P302" s="16" t="n"/>
      <c r="Q302" s="16" t="n"/>
    </row>
    <row r="303">
      <c r="A303" s="15">
        <f>IF(DATE(PlanYear,1,1)+297&lt;=DATE(PlanYear+1,1,31),DATE(PlanYear,1,1)+297,"")</f>
        <v/>
      </c>
      <c r="B303" s="16" t="n"/>
      <c r="C303" s="16" t="n"/>
      <c r="D303" s="16" t="n"/>
      <c r="E303" s="16" t="n"/>
      <c r="F303" s="16" t="n"/>
      <c r="G303" s="16" t="n"/>
      <c r="H303" s="16" t="n"/>
      <c r="I303" s="16" t="n"/>
      <c r="J303" s="16" t="n"/>
      <c r="K303" s="16" t="n"/>
      <c r="L303" s="16" t="n"/>
      <c r="M303" s="16" t="n"/>
      <c r="N303" s="16" t="n"/>
      <c r="O303" s="16" t="n"/>
      <c r="P303" s="16" t="n"/>
      <c r="Q303" s="16" t="n"/>
    </row>
    <row r="304">
      <c r="A304" s="15">
        <f>IF(DATE(PlanYear,1,1)+298&lt;=DATE(PlanYear+1,1,31),DATE(PlanYear,1,1)+298,"")</f>
        <v/>
      </c>
      <c r="B304" s="16" t="n"/>
      <c r="C304" s="16" t="n"/>
      <c r="D304" s="16" t="n"/>
      <c r="E304" s="16" t="n"/>
      <c r="F304" s="16" t="n"/>
      <c r="G304" s="16" t="n"/>
      <c r="H304" s="16" t="n"/>
      <c r="I304" s="16" t="n"/>
      <c r="J304" s="16" t="n"/>
      <c r="K304" s="16" t="n"/>
      <c r="L304" s="16" t="n"/>
      <c r="M304" s="16" t="n"/>
      <c r="N304" s="16" t="n"/>
      <c r="O304" s="16" t="n"/>
      <c r="P304" s="16" t="n"/>
      <c r="Q304" s="16" t="n"/>
    </row>
    <row r="305">
      <c r="A305" s="15">
        <f>IF(DATE(PlanYear,1,1)+299&lt;=DATE(PlanYear+1,1,31),DATE(PlanYear,1,1)+299,"")</f>
        <v/>
      </c>
      <c r="B305" s="16" t="n"/>
      <c r="C305" s="16" t="n"/>
      <c r="D305" s="16" t="n"/>
      <c r="E305" s="16" t="n"/>
      <c r="F305" s="16" t="n"/>
      <c r="G305" s="16" t="n"/>
      <c r="H305" s="16" t="n"/>
      <c r="I305" s="16" t="n"/>
      <c r="J305" s="16" t="n"/>
      <c r="K305" s="16" t="n"/>
      <c r="L305" s="16" t="n"/>
      <c r="M305" s="16" t="n"/>
      <c r="N305" s="16" t="n"/>
      <c r="O305" s="16" t="n"/>
      <c r="P305" s="16" t="n"/>
      <c r="Q305" s="16" t="n"/>
    </row>
    <row r="306">
      <c r="A306" s="15">
        <f>IF(DATE(PlanYear,1,1)+300&lt;=DATE(PlanYear+1,1,31),DATE(PlanYear,1,1)+300,"")</f>
        <v/>
      </c>
      <c r="B306" s="16" t="n"/>
      <c r="C306" s="16" t="n"/>
      <c r="D306" s="16" t="n"/>
      <c r="E306" s="16" t="n"/>
      <c r="F306" s="16" t="n"/>
      <c r="G306" s="16" t="n"/>
      <c r="H306" s="16" t="n"/>
      <c r="I306" s="16" t="n"/>
      <c r="J306" s="16" t="n"/>
      <c r="K306" s="16" t="n"/>
      <c r="L306" s="16" t="n"/>
      <c r="M306" s="16" t="n"/>
      <c r="N306" s="16" t="n"/>
      <c r="O306" s="16" t="n"/>
      <c r="P306" s="16" t="n"/>
      <c r="Q306" s="16" t="n"/>
    </row>
    <row r="307">
      <c r="A307" s="15">
        <f>IF(DATE(PlanYear,1,1)+301&lt;=DATE(PlanYear+1,1,31),DATE(PlanYear,1,1)+301,"")</f>
        <v/>
      </c>
      <c r="B307" s="16" t="n"/>
      <c r="C307" s="16" t="n"/>
      <c r="D307" s="16" t="n"/>
      <c r="E307" s="16" t="n"/>
      <c r="F307" s="16" t="n"/>
      <c r="G307" s="16" t="n"/>
      <c r="H307" s="16" t="n"/>
      <c r="I307" s="16" t="n"/>
      <c r="J307" s="16" t="n"/>
      <c r="K307" s="16" t="n"/>
      <c r="L307" s="16" t="n"/>
      <c r="M307" s="16" t="n"/>
      <c r="N307" s="16" t="n"/>
      <c r="O307" s="16" t="n"/>
      <c r="P307" s="16" t="n"/>
      <c r="Q307" s="16" t="n"/>
    </row>
    <row r="308">
      <c r="A308" s="15">
        <f>IF(DATE(PlanYear,1,1)+302&lt;=DATE(PlanYear+1,1,31),DATE(PlanYear,1,1)+302,"")</f>
        <v/>
      </c>
      <c r="B308" s="16" t="n"/>
      <c r="C308" s="16" t="n"/>
      <c r="D308" s="16" t="n"/>
      <c r="E308" s="16" t="n"/>
      <c r="F308" s="16" t="n"/>
      <c r="G308" s="16" t="n"/>
      <c r="H308" s="16" t="n"/>
      <c r="I308" s="16" t="n"/>
      <c r="J308" s="16" t="n"/>
      <c r="K308" s="16" t="n"/>
      <c r="L308" s="16" t="n"/>
      <c r="M308" s="16" t="n"/>
      <c r="N308" s="16" t="n"/>
      <c r="O308" s="16" t="n"/>
      <c r="P308" s="16" t="n"/>
      <c r="Q308" s="16" t="n"/>
    </row>
    <row r="309">
      <c r="A309" s="15">
        <f>IF(DATE(PlanYear,1,1)+303&lt;=DATE(PlanYear+1,1,31),DATE(PlanYear,1,1)+303,"")</f>
        <v/>
      </c>
      <c r="B309" s="16" t="n"/>
      <c r="C309" s="16" t="n"/>
      <c r="D309" s="16" t="n"/>
      <c r="E309" s="16" t="n"/>
      <c r="F309" s="16" t="n"/>
      <c r="G309" s="16" t="n"/>
      <c r="H309" s="16" t="n"/>
      <c r="I309" s="16" t="n"/>
      <c r="J309" s="16" t="n"/>
      <c r="K309" s="16" t="n"/>
      <c r="L309" s="16" t="n"/>
      <c r="M309" s="16" t="n"/>
      <c r="N309" s="16" t="n"/>
      <c r="O309" s="16" t="n"/>
      <c r="P309" s="16" t="n"/>
      <c r="Q309" s="16" t="n"/>
    </row>
    <row r="310">
      <c r="A310" s="15">
        <f>IF(DATE(PlanYear,1,1)+304&lt;=DATE(PlanYear+1,1,31),DATE(PlanYear,1,1)+304,"")</f>
        <v/>
      </c>
      <c r="B310" s="16" t="n"/>
      <c r="C310" s="16" t="n"/>
      <c r="D310" s="16" t="n"/>
      <c r="E310" s="16" t="n"/>
      <c r="F310" s="16" t="n"/>
      <c r="G310" s="16" t="n"/>
      <c r="H310" s="16" t="n"/>
      <c r="I310" s="16" t="n"/>
      <c r="J310" s="16" t="n"/>
      <c r="K310" s="16" t="n"/>
      <c r="L310" s="16" t="n"/>
      <c r="M310" s="16" t="n"/>
      <c r="N310" s="16" t="n"/>
      <c r="O310" s="16" t="n"/>
      <c r="P310" s="16" t="n"/>
      <c r="Q310" s="16" t="n"/>
    </row>
    <row r="311">
      <c r="A311" s="15">
        <f>IF(DATE(PlanYear,1,1)+305&lt;=DATE(PlanYear+1,1,31),DATE(PlanYear,1,1)+305,"")</f>
        <v/>
      </c>
      <c r="B311" s="16" t="n"/>
      <c r="C311" s="16" t="n"/>
      <c r="D311" s="16" t="n"/>
      <c r="E311" s="16" t="n"/>
      <c r="F311" s="16" t="n"/>
      <c r="G311" s="16" t="n"/>
      <c r="H311" s="16" t="n"/>
      <c r="I311" s="16" t="n"/>
      <c r="J311" s="16" t="n"/>
      <c r="K311" s="16" t="n"/>
      <c r="L311" s="16" t="n"/>
      <c r="M311" s="16" t="n"/>
      <c r="N311" s="16" t="n"/>
      <c r="O311" s="16" t="n"/>
      <c r="P311" s="16" t="n"/>
      <c r="Q311" s="16" t="n"/>
    </row>
    <row r="312">
      <c r="A312" s="15">
        <f>IF(DATE(PlanYear,1,1)+306&lt;=DATE(PlanYear+1,1,31),DATE(PlanYear,1,1)+306,"")</f>
        <v/>
      </c>
      <c r="B312" s="16" t="n"/>
      <c r="C312" s="16" t="n"/>
      <c r="D312" s="16" t="n"/>
      <c r="E312" s="16" t="n"/>
      <c r="F312" s="16" t="n"/>
      <c r="G312" s="16" t="n"/>
      <c r="H312" s="16" t="n"/>
      <c r="I312" s="16" t="n"/>
      <c r="J312" s="16" t="n"/>
      <c r="K312" s="16" t="n"/>
      <c r="L312" s="16" t="n"/>
      <c r="M312" s="16" t="n"/>
      <c r="N312" s="16" t="n"/>
      <c r="O312" s="16" t="n"/>
      <c r="P312" s="16" t="n"/>
      <c r="Q312" s="16" t="n"/>
    </row>
    <row r="313">
      <c r="A313" s="15">
        <f>IF(DATE(PlanYear,1,1)+307&lt;=DATE(PlanYear+1,1,31),DATE(PlanYear,1,1)+307,"")</f>
        <v/>
      </c>
      <c r="B313" s="16" t="n"/>
      <c r="C313" s="16" t="n"/>
      <c r="D313" s="16" t="n"/>
      <c r="E313" s="16" t="n"/>
      <c r="F313" s="16" t="n"/>
      <c r="G313" s="16" t="n"/>
      <c r="H313" s="16" t="n"/>
      <c r="I313" s="16" t="n"/>
      <c r="J313" s="16" t="n"/>
      <c r="K313" s="16" t="n"/>
      <c r="L313" s="16" t="n"/>
      <c r="M313" s="16" t="n"/>
      <c r="N313" s="16" t="n"/>
      <c r="O313" s="16" t="n"/>
      <c r="P313" s="16" t="n"/>
      <c r="Q313" s="16" t="n"/>
    </row>
    <row r="314">
      <c r="A314" s="15">
        <f>IF(DATE(PlanYear,1,1)+308&lt;=DATE(PlanYear+1,1,31),DATE(PlanYear,1,1)+308,"")</f>
        <v/>
      </c>
      <c r="B314" s="16" t="n"/>
      <c r="C314" s="16" t="n"/>
      <c r="D314" s="16" t="n"/>
      <c r="E314" s="16" t="n"/>
      <c r="F314" s="16" t="n"/>
      <c r="G314" s="16" t="n"/>
      <c r="H314" s="16" t="n"/>
      <c r="I314" s="16" t="n"/>
      <c r="J314" s="16" t="n"/>
      <c r="K314" s="16" t="n"/>
      <c r="L314" s="16" t="n"/>
      <c r="M314" s="16" t="n"/>
      <c r="N314" s="16" t="n"/>
      <c r="O314" s="16" t="n"/>
      <c r="P314" s="16" t="n"/>
      <c r="Q314" s="16" t="n"/>
    </row>
    <row r="315">
      <c r="A315" s="15">
        <f>IF(DATE(PlanYear,1,1)+309&lt;=DATE(PlanYear+1,1,31),DATE(PlanYear,1,1)+309,"")</f>
        <v/>
      </c>
      <c r="B315" s="16" t="n"/>
      <c r="C315" s="16" t="n"/>
      <c r="D315" s="16" t="n"/>
      <c r="E315" s="16" t="n"/>
      <c r="F315" s="16" t="n"/>
      <c r="G315" s="16" t="n"/>
      <c r="H315" s="16" t="n"/>
      <c r="I315" s="16" t="n"/>
      <c r="J315" s="16" t="n"/>
      <c r="K315" s="16" t="n"/>
      <c r="L315" s="16" t="n"/>
      <c r="M315" s="16" t="n"/>
      <c r="N315" s="16" t="n"/>
      <c r="O315" s="16" t="n"/>
      <c r="P315" s="16" t="n"/>
      <c r="Q315" s="16" t="n"/>
    </row>
    <row r="316">
      <c r="A316" s="15">
        <f>IF(DATE(PlanYear,1,1)+310&lt;=DATE(PlanYear+1,1,31),DATE(PlanYear,1,1)+310,"")</f>
        <v/>
      </c>
      <c r="B316" s="16" t="n"/>
      <c r="C316" s="16" t="n"/>
      <c r="D316" s="16" t="n"/>
      <c r="E316" s="16" t="n"/>
      <c r="F316" s="16" t="n"/>
      <c r="G316" s="16" t="n"/>
      <c r="H316" s="16" t="n"/>
      <c r="I316" s="16" t="n"/>
      <c r="J316" s="16" t="n"/>
      <c r="K316" s="16" t="n"/>
      <c r="L316" s="16" t="n"/>
      <c r="M316" s="16" t="n"/>
      <c r="N316" s="16" t="n"/>
      <c r="O316" s="16" t="n"/>
      <c r="P316" s="16" t="n"/>
      <c r="Q316" s="16" t="n"/>
    </row>
    <row r="317">
      <c r="A317" s="15">
        <f>IF(DATE(PlanYear,1,1)+311&lt;=DATE(PlanYear+1,1,31),DATE(PlanYear,1,1)+311,"")</f>
        <v/>
      </c>
      <c r="B317" s="16" t="n"/>
      <c r="C317" s="16" t="n"/>
      <c r="D317" s="16" t="n"/>
      <c r="E317" s="16" t="n"/>
      <c r="F317" s="16" t="n"/>
      <c r="G317" s="16" t="n"/>
      <c r="H317" s="16" t="n"/>
      <c r="I317" s="16" t="n"/>
      <c r="J317" s="16" t="n"/>
      <c r="K317" s="16" t="n"/>
      <c r="L317" s="16" t="n"/>
      <c r="M317" s="16" t="n"/>
      <c r="N317" s="16" t="n"/>
      <c r="O317" s="16" t="n"/>
      <c r="P317" s="16" t="n"/>
      <c r="Q317" s="16" t="n"/>
    </row>
    <row r="318">
      <c r="A318" s="15">
        <f>IF(DATE(PlanYear,1,1)+312&lt;=DATE(PlanYear+1,1,31),DATE(PlanYear,1,1)+312,"")</f>
        <v/>
      </c>
      <c r="B318" s="16" t="n"/>
      <c r="C318" s="16" t="n"/>
      <c r="D318" s="16" t="n"/>
      <c r="E318" s="16" t="n"/>
      <c r="F318" s="16" t="n"/>
      <c r="G318" s="16" t="n"/>
      <c r="H318" s="16" t="n"/>
      <c r="I318" s="16" t="n"/>
      <c r="J318" s="16" t="n"/>
      <c r="K318" s="16" t="n"/>
      <c r="L318" s="16" t="n"/>
      <c r="M318" s="16" t="n"/>
      <c r="N318" s="16" t="n"/>
      <c r="O318" s="16" t="n"/>
      <c r="P318" s="16" t="n"/>
      <c r="Q318" s="16" t="n"/>
    </row>
    <row r="319">
      <c r="A319" s="15">
        <f>IF(DATE(PlanYear,1,1)+313&lt;=DATE(PlanYear+1,1,31),DATE(PlanYear,1,1)+313,"")</f>
        <v/>
      </c>
      <c r="B319" s="16" t="n"/>
      <c r="C319" s="16" t="n"/>
      <c r="D319" s="16" t="n"/>
      <c r="E319" s="16" t="n"/>
      <c r="F319" s="16" t="n"/>
      <c r="G319" s="16" t="n"/>
      <c r="H319" s="16" t="n"/>
      <c r="I319" s="16" t="n"/>
      <c r="J319" s="16" t="n"/>
      <c r="K319" s="16" t="n"/>
      <c r="L319" s="16" t="n"/>
      <c r="M319" s="16" t="n"/>
      <c r="N319" s="16" t="n"/>
      <c r="O319" s="16" t="n"/>
      <c r="P319" s="16" t="n"/>
      <c r="Q319" s="16" t="n"/>
    </row>
    <row r="320">
      <c r="A320" s="15">
        <f>IF(DATE(PlanYear,1,1)+314&lt;=DATE(PlanYear+1,1,31),DATE(PlanYear,1,1)+314,"")</f>
        <v/>
      </c>
      <c r="B320" s="16" t="n"/>
      <c r="C320" s="16" t="n"/>
      <c r="D320" s="16" t="n"/>
      <c r="E320" s="16" t="n"/>
      <c r="F320" s="16" t="n"/>
      <c r="G320" s="16" t="n"/>
      <c r="H320" s="16" t="n"/>
      <c r="I320" s="16" t="n"/>
      <c r="J320" s="16" t="n"/>
      <c r="K320" s="16" t="n"/>
      <c r="L320" s="16" t="n"/>
      <c r="M320" s="16" t="n"/>
      <c r="N320" s="16" t="n"/>
      <c r="O320" s="16" t="n"/>
      <c r="P320" s="16" t="n"/>
      <c r="Q320" s="16" t="n"/>
    </row>
    <row r="321">
      <c r="A321" s="15">
        <f>IF(DATE(PlanYear,1,1)+315&lt;=DATE(PlanYear+1,1,31),DATE(PlanYear,1,1)+315,"")</f>
        <v/>
      </c>
      <c r="B321" s="16" t="n"/>
      <c r="C321" s="16" t="n"/>
      <c r="D321" s="16" t="n"/>
      <c r="E321" s="16" t="n"/>
      <c r="F321" s="16" t="n"/>
      <c r="G321" s="16" t="n"/>
      <c r="H321" s="16" t="n"/>
      <c r="I321" s="16" t="n"/>
      <c r="J321" s="16" t="n"/>
      <c r="K321" s="16" t="n"/>
      <c r="L321" s="16" t="n"/>
      <c r="M321" s="16" t="n"/>
      <c r="N321" s="16" t="n"/>
      <c r="O321" s="16" t="n"/>
      <c r="P321" s="16" t="n"/>
      <c r="Q321" s="16" t="n"/>
    </row>
    <row r="322">
      <c r="A322" s="15">
        <f>IF(DATE(PlanYear,1,1)+316&lt;=DATE(PlanYear+1,1,31),DATE(PlanYear,1,1)+316,"")</f>
        <v/>
      </c>
      <c r="B322" s="16" t="n"/>
      <c r="C322" s="16" t="n"/>
      <c r="D322" s="16" t="n"/>
      <c r="E322" s="16" t="n"/>
      <c r="F322" s="16" t="n"/>
      <c r="G322" s="16" t="n"/>
      <c r="H322" s="16" t="n"/>
      <c r="I322" s="16" t="n"/>
      <c r="J322" s="16" t="n"/>
      <c r="K322" s="16" t="n"/>
      <c r="L322" s="16" t="n"/>
      <c r="M322" s="16" t="n"/>
      <c r="N322" s="16" t="n"/>
      <c r="O322" s="16" t="n"/>
      <c r="P322" s="16" t="n"/>
      <c r="Q322" s="16" t="n"/>
    </row>
    <row r="323">
      <c r="A323" s="15">
        <f>IF(DATE(PlanYear,1,1)+317&lt;=DATE(PlanYear+1,1,31),DATE(PlanYear,1,1)+317,"")</f>
        <v/>
      </c>
      <c r="B323" s="16" t="n"/>
      <c r="C323" s="16" t="n"/>
      <c r="D323" s="16" t="n"/>
      <c r="E323" s="16" t="n"/>
      <c r="F323" s="16" t="n"/>
      <c r="G323" s="16" t="n"/>
      <c r="H323" s="16" t="n"/>
      <c r="I323" s="16" t="n"/>
      <c r="J323" s="16" t="n"/>
      <c r="K323" s="16" t="n"/>
      <c r="L323" s="16" t="n"/>
      <c r="M323" s="16" t="n"/>
      <c r="N323" s="16" t="n"/>
      <c r="O323" s="16" t="n"/>
      <c r="P323" s="16" t="n"/>
      <c r="Q323" s="16" t="n"/>
    </row>
    <row r="324">
      <c r="A324" s="15">
        <f>IF(DATE(PlanYear,1,1)+318&lt;=DATE(PlanYear+1,1,31),DATE(PlanYear,1,1)+318,"")</f>
        <v/>
      </c>
      <c r="B324" s="16" t="n"/>
      <c r="C324" s="16" t="n"/>
      <c r="D324" s="16" t="n"/>
      <c r="E324" s="16" t="n"/>
      <c r="F324" s="16" t="n"/>
      <c r="G324" s="16" t="n"/>
      <c r="H324" s="16" t="n"/>
      <c r="I324" s="16" t="n"/>
      <c r="J324" s="16" t="n"/>
      <c r="K324" s="16" t="n"/>
      <c r="L324" s="16" t="n"/>
      <c r="M324" s="16" t="n"/>
      <c r="N324" s="16" t="n"/>
      <c r="O324" s="16" t="n"/>
      <c r="P324" s="16" t="n"/>
      <c r="Q324" s="16" t="n"/>
    </row>
    <row r="325">
      <c r="A325" s="15">
        <f>IF(DATE(PlanYear,1,1)+319&lt;=DATE(PlanYear+1,1,31),DATE(PlanYear,1,1)+319,"")</f>
        <v/>
      </c>
      <c r="B325" s="16" t="n"/>
      <c r="C325" s="16" t="n"/>
      <c r="D325" s="16" t="n"/>
      <c r="E325" s="16" t="n"/>
      <c r="F325" s="16" t="n"/>
      <c r="G325" s="16" t="n"/>
      <c r="H325" s="16" t="n"/>
      <c r="I325" s="16" t="n"/>
      <c r="J325" s="16" t="n"/>
      <c r="K325" s="16" t="n"/>
      <c r="L325" s="16" t="n"/>
      <c r="M325" s="16" t="n"/>
      <c r="N325" s="16" t="n"/>
      <c r="O325" s="16" t="n"/>
      <c r="P325" s="16" t="n"/>
      <c r="Q325" s="16" t="n"/>
    </row>
    <row r="326">
      <c r="A326" s="15">
        <f>IF(DATE(PlanYear,1,1)+320&lt;=DATE(PlanYear+1,1,31),DATE(PlanYear,1,1)+320,"")</f>
        <v/>
      </c>
      <c r="B326" s="16" t="n"/>
      <c r="C326" s="16" t="n"/>
      <c r="D326" s="16" t="n"/>
      <c r="E326" s="16" t="n"/>
      <c r="F326" s="16" t="n"/>
      <c r="G326" s="16" t="n"/>
      <c r="H326" s="16" t="n"/>
      <c r="I326" s="16" t="n"/>
      <c r="J326" s="16" t="n"/>
      <c r="K326" s="16" t="n"/>
      <c r="L326" s="16" t="n"/>
      <c r="M326" s="16" t="n"/>
      <c r="N326" s="16" t="n"/>
      <c r="O326" s="16" t="n"/>
      <c r="P326" s="16" t="n"/>
      <c r="Q326" s="16" t="n"/>
    </row>
    <row r="327">
      <c r="A327" s="15">
        <f>IF(DATE(PlanYear,1,1)+321&lt;=DATE(PlanYear+1,1,31),DATE(PlanYear,1,1)+321,"")</f>
        <v/>
      </c>
      <c r="B327" s="16" t="n"/>
      <c r="C327" s="16" t="n"/>
      <c r="D327" s="16" t="n"/>
      <c r="E327" s="16" t="n"/>
      <c r="F327" s="16" t="n"/>
      <c r="G327" s="16" t="n"/>
      <c r="H327" s="16" t="n"/>
      <c r="I327" s="16" t="n"/>
      <c r="J327" s="16" t="n"/>
      <c r="K327" s="16" t="n"/>
      <c r="L327" s="16" t="n"/>
      <c r="M327" s="16" t="n"/>
      <c r="N327" s="16" t="n"/>
      <c r="O327" s="16" t="n"/>
      <c r="P327" s="16" t="n"/>
      <c r="Q327" s="16" t="n"/>
    </row>
    <row r="328">
      <c r="A328" s="15">
        <f>IF(DATE(PlanYear,1,1)+322&lt;=DATE(PlanYear+1,1,31),DATE(PlanYear,1,1)+322,"")</f>
        <v/>
      </c>
      <c r="B328" s="16" t="n"/>
      <c r="C328" s="16" t="n"/>
      <c r="D328" s="16" t="n"/>
      <c r="E328" s="16" t="n"/>
      <c r="F328" s="16" t="n"/>
      <c r="G328" s="16" t="n"/>
      <c r="H328" s="16" t="n"/>
      <c r="I328" s="16" t="n"/>
      <c r="J328" s="16" t="n"/>
      <c r="K328" s="16" t="n"/>
      <c r="L328" s="16" t="n"/>
      <c r="M328" s="16" t="n"/>
      <c r="N328" s="16" t="n"/>
      <c r="O328" s="16" t="n"/>
      <c r="P328" s="16" t="n"/>
      <c r="Q328" s="16" t="n"/>
    </row>
    <row r="329">
      <c r="A329" s="15">
        <f>IF(DATE(PlanYear,1,1)+323&lt;=DATE(PlanYear+1,1,31),DATE(PlanYear,1,1)+323,"")</f>
        <v/>
      </c>
      <c r="B329" s="16" t="n"/>
      <c r="C329" s="16" t="n"/>
      <c r="D329" s="16" t="n"/>
      <c r="E329" s="16" t="n"/>
      <c r="F329" s="16" t="n"/>
      <c r="G329" s="16" t="n"/>
      <c r="H329" s="16" t="n"/>
      <c r="I329" s="16" t="n"/>
      <c r="J329" s="16" t="n"/>
      <c r="K329" s="16" t="n"/>
      <c r="L329" s="16" t="n"/>
      <c r="M329" s="16" t="n"/>
      <c r="N329" s="16" t="n"/>
      <c r="O329" s="16" t="n"/>
      <c r="P329" s="16" t="n"/>
      <c r="Q329" s="16" t="n"/>
    </row>
    <row r="330">
      <c r="A330" s="15">
        <f>IF(DATE(PlanYear,1,1)+324&lt;=DATE(PlanYear+1,1,31),DATE(PlanYear,1,1)+324,"")</f>
        <v/>
      </c>
      <c r="B330" s="16" t="n"/>
      <c r="C330" s="16" t="n"/>
      <c r="D330" s="16" t="n"/>
      <c r="E330" s="16" t="n"/>
      <c r="F330" s="16" t="n"/>
      <c r="G330" s="16" t="n"/>
      <c r="H330" s="16" t="n"/>
      <c r="I330" s="16" t="n"/>
      <c r="J330" s="16" t="n"/>
      <c r="K330" s="16" t="n"/>
      <c r="L330" s="16" t="n"/>
      <c r="M330" s="16" t="n"/>
      <c r="N330" s="16" t="n"/>
      <c r="O330" s="16" t="n"/>
      <c r="P330" s="16" t="n"/>
      <c r="Q330" s="16" t="n"/>
    </row>
    <row r="331">
      <c r="A331" s="15">
        <f>IF(DATE(PlanYear,1,1)+325&lt;=DATE(PlanYear+1,1,31),DATE(PlanYear,1,1)+325,"")</f>
        <v/>
      </c>
      <c r="B331" s="16" t="n"/>
      <c r="C331" s="16" t="n"/>
      <c r="D331" s="16" t="n"/>
      <c r="E331" s="16" t="n"/>
      <c r="F331" s="16" t="n"/>
      <c r="G331" s="16" t="n"/>
      <c r="H331" s="16" t="n"/>
      <c r="I331" s="16" t="n"/>
      <c r="J331" s="16" t="n"/>
      <c r="K331" s="16" t="n"/>
      <c r="L331" s="16" t="n"/>
      <c r="M331" s="16" t="n"/>
      <c r="N331" s="16" t="n"/>
      <c r="O331" s="16" t="n"/>
      <c r="P331" s="16" t="n"/>
      <c r="Q331" s="16" t="n"/>
    </row>
    <row r="332">
      <c r="A332" s="15">
        <f>IF(DATE(PlanYear,1,1)+326&lt;=DATE(PlanYear+1,1,31),DATE(PlanYear,1,1)+326,"")</f>
        <v/>
      </c>
      <c r="B332" s="16" t="n"/>
      <c r="C332" s="16" t="n"/>
      <c r="D332" s="16" t="n"/>
      <c r="E332" s="16" t="n"/>
      <c r="F332" s="16" t="n"/>
      <c r="G332" s="16" t="n"/>
      <c r="H332" s="16" t="n"/>
      <c r="I332" s="16" t="n"/>
      <c r="J332" s="16" t="n"/>
      <c r="K332" s="16" t="n"/>
      <c r="L332" s="16" t="n"/>
      <c r="M332" s="16" t="n"/>
      <c r="N332" s="16" t="n"/>
      <c r="O332" s="16" t="n"/>
      <c r="P332" s="16" t="n"/>
      <c r="Q332" s="16" t="n"/>
    </row>
    <row r="333">
      <c r="A333" s="15">
        <f>IF(DATE(PlanYear,1,1)+327&lt;=DATE(PlanYear+1,1,31),DATE(PlanYear,1,1)+327,"")</f>
        <v/>
      </c>
      <c r="B333" s="16" t="n"/>
      <c r="C333" s="16" t="n"/>
      <c r="D333" s="16" t="n"/>
      <c r="E333" s="16" t="n"/>
      <c r="F333" s="16" t="n"/>
      <c r="G333" s="16" t="n"/>
      <c r="H333" s="16" t="n"/>
      <c r="I333" s="16" t="n"/>
      <c r="J333" s="16" t="n"/>
      <c r="K333" s="16" t="n"/>
      <c r="L333" s="16" t="n"/>
      <c r="M333" s="16" t="n"/>
      <c r="N333" s="16" t="n"/>
      <c r="O333" s="16" t="n"/>
      <c r="P333" s="16" t="n"/>
      <c r="Q333" s="16" t="n"/>
    </row>
    <row r="334">
      <c r="A334" s="15">
        <f>IF(DATE(PlanYear,1,1)+328&lt;=DATE(PlanYear+1,1,31),DATE(PlanYear,1,1)+328,"")</f>
        <v/>
      </c>
      <c r="B334" s="16" t="n"/>
      <c r="C334" s="16" t="n"/>
      <c r="D334" s="16" t="n"/>
      <c r="E334" s="16" t="n"/>
      <c r="F334" s="16" t="n"/>
      <c r="G334" s="16" t="n"/>
      <c r="H334" s="16" t="n"/>
      <c r="I334" s="16" t="n"/>
      <c r="J334" s="16" t="n"/>
      <c r="K334" s="16" t="n"/>
      <c r="L334" s="16" t="n"/>
      <c r="M334" s="16" t="n"/>
      <c r="N334" s="16" t="n"/>
      <c r="O334" s="16" t="n"/>
      <c r="P334" s="16" t="n"/>
      <c r="Q334" s="16" t="n"/>
    </row>
    <row r="335">
      <c r="A335" s="15">
        <f>IF(DATE(PlanYear,1,1)+329&lt;=DATE(PlanYear+1,1,31),DATE(PlanYear,1,1)+329,"")</f>
        <v/>
      </c>
      <c r="B335" s="16" t="n"/>
      <c r="C335" s="16" t="n"/>
      <c r="D335" s="16" t="n"/>
      <c r="E335" s="16" t="n"/>
      <c r="F335" s="16" t="n"/>
      <c r="G335" s="16" t="n"/>
      <c r="H335" s="16" t="n"/>
      <c r="I335" s="16" t="n"/>
      <c r="J335" s="16" t="n"/>
      <c r="K335" s="16" t="n"/>
      <c r="L335" s="16" t="n"/>
      <c r="M335" s="16" t="n"/>
      <c r="N335" s="16" t="n"/>
      <c r="O335" s="16" t="n"/>
      <c r="P335" s="16" t="n"/>
      <c r="Q335" s="16" t="n"/>
    </row>
    <row r="336">
      <c r="A336" s="15">
        <f>IF(DATE(PlanYear,1,1)+330&lt;=DATE(PlanYear+1,1,31),DATE(PlanYear,1,1)+330,"")</f>
        <v/>
      </c>
      <c r="B336" s="16" t="n"/>
      <c r="C336" s="16" t="n"/>
      <c r="D336" s="16" t="n"/>
      <c r="E336" s="16" t="n"/>
      <c r="F336" s="16" t="n"/>
      <c r="G336" s="16" t="n"/>
      <c r="H336" s="16" t="n"/>
      <c r="I336" s="16" t="n"/>
      <c r="J336" s="16" t="n"/>
      <c r="K336" s="16" t="n"/>
      <c r="L336" s="16" t="n"/>
      <c r="M336" s="16" t="n"/>
      <c r="N336" s="16" t="n"/>
      <c r="O336" s="16" t="n"/>
      <c r="P336" s="16" t="n"/>
      <c r="Q336" s="16" t="n"/>
    </row>
    <row r="337">
      <c r="A337" s="15">
        <f>IF(DATE(PlanYear,1,1)+331&lt;=DATE(PlanYear+1,1,31),DATE(PlanYear,1,1)+331,"")</f>
        <v/>
      </c>
      <c r="B337" s="16" t="n"/>
      <c r="C337" s="16" t="n"/>
      <c r="D337" s="16" t="n"/>
      <c r="E337" s="16" t="n"/>
      <c r="F337" s="16" t="n"/>
      <c r="G337" s="16" t="n"/>
      <c r="H337" s="16" t="n"/>
      <c r="I337" s="16" t="n"/>
      <c r="J337" s="16" t="n"/>
      <c r="K337" s="16" t="n"/>
      <c r="L337" s="16" t="n"/>
      <c r="M337" s="16" t="n"/>
      <c r="N337" s="16" t="n"/>
      <c r="O337" s="16" t="n"/>
      <c r="P337" s="16" t="n"/>
      <c r="Q337" s="16" t="n"/>
    </row>
    <row r="338">
      <c r="A338" s="15">
        <f>IF(DATE(PlanYear,1,1)+332&lt;=DATE(PlanYear+1,1,31),DATE(PlanYear,1,1)+332,"")</f>
        <v/>
      </c>
      <c r="B338" s="16" t="n"/>
      <c r="C338" s="16" t="n"/>
      <c r="D338" s="16" t="n"/>
      <c r="E338" s="16" t="n"/>
      <c r="F338" s="16" t="n"/>
      <c r="G338" s="16" t="n"/>
      <c r="H338" s="16" t="n"/>
      <c r="I338" s="16" t="n"/>
      <c r="J338" s="16" t="n"/>
      <c r="K338" s="16" t="n"/>
      <c r="L338" s="16" t="n"/>
      <c r="M338" s="16" t="n"/>
      <c r="N338" s="16" t="n"/>
      <c r="O338" s="16" t="n"/>
      <c r="P338" s="16" t="n"/>
      <c r="Q338" s="16" t="n"/>
    </row>
    <row r="339">
      <c r="A339" s="15">
        <f>IF(DATE(PlanYear,1,1)+333&lt;=DATE(PlanYear+1,1,31),DATE(PlanYear,1,1)+333,"")</f>
        <v/>
      </c>
      <c r="B339" s="16" t="n"/>
      <c r="C339" s="16" t="n"/>
      <c r="D339" s="16" t="n"/>
      <c r="E339" s="16" t="n"/>
      <c r="F339" s="16" t="n"/>
      <c r="G339" s="16" t="n"/>
      <c r="H339" s="16" t="n"/>
      <c r="I339" s="16" t="n"/>
      <c r="J339" s="16" t="n"/>
      <c r="K339" s="16" t="n"/>
      <c r="L339" s="16" t="n"/>
      <c r="M339" s="16" t="n"/>
      <c r="N339" s="16" t="n"/>
      <c r="O339" s="16" t="n"/>
      <c r="P339" s="16" t="n"/>
      <c r="Q339" s="16" t="n"/>
    </row>
    <row r="340">
      <c r="A340" s="15">
        <f>IF(DATE(PlanYear,1,1)+334&lt;=DATE(PlanYear+1,1,31),DATE(PlanYear,1,1)+334,"")</f>
        <v/>
      </c>
      <c r="B340" s="16" t="n"/>
      <c r="C340" s="16" t="n"/>
      <c r="D340" s="16" t="n"/>
      <c r="E340" s="16" t="n"/>
      <c r="F340" s="16" t="n"/>
      <c r="G340" s="16" t="n"/>
      <c r="H340" s="16" t="n"/>
      <c r="I340" s="16" t="n"/>
      <c r="J340" s="16" t="n"/>
      <c r="K340" s="16" t="n"/>
      <c r="L340" s="16" t="n"/>
      <c r="M340" s="16" t="n"/>
      <c r="N340" s="16" t="n"/>
      <c r="O340" s="16" t="n"/>
      <c r="P340" s="16" t="n"/>
      <c r="Q340" s="16" t="n"/>
    </row>
    <row r="341">
      <c r="A341" s="15">
        <f>IF(DATE(PlanYear,1,1)+335&lt;=DATE(PlanYear+1,1,31),DATE(PlanYear,1,1)+335,"")</f>
        <v/>
      </c>
      <c r="B341" s="16" t="n"/>
      <c r="C341" s="16" t="n"/>
      <c r="D341" s="16" t="n"/>
      <c r="E341" s="16" t="n"/>
      <c r="F341" s="16" t="n"/>
      <c r="G341" s="16" t="n"/>
      <c r="H341" s="16" t="n"/>
      <c r="I341" s="16" t="n"/>
      <c r="J341" s="16" t="n"/>
      <c r="K341" s="16" t="n"/>
      <c r="L341" s="16" t="n"/>
      <c r="M341" s="16" t="n"/>
      <c r="N341" s="16" t="n"/>
      <c r="O341" s="16" t="n"/>
      <c r="P341" s="16" t="n"/>
      <c r="Q341" s="16" t="n"/>
    </row>
    <row r="342">
      <c r="A342" s="15">
        <f>IF(DATE(PlanYear,1,1)+336&lt;=DATE(PlanYear+1,1,31),DATE(PlanYear,1,1)+336,"")</f>
        <v/>
      </c>
      <c r="B342" s="16" t="n"/>
      <c r="C342" s="16" t="n"/>
      <c r="D342" s="16" t="n"/>
      <c r="E342" s="16" t="n"/>
      <c r="F342" s="16" t="n"/>
      <c r="G342" s="16" t="n"/>
      <c r="H342" s="16" t="n"/>
      <c r="I342" s="16" t="n"/>
      <c r="J342" s="16" t="n"/>
      <c r="K342" s="16" t="n"/>
      <c r="L342" s="16" t="n"/>
      <c r="M342" s="16" t="n"/>
      <c r="N342" s="16" t="n"/>
      <c r="O342" s="16" t="n"/>
      <c r="P342" s="16" t="n"/>
      <c r="Q342" s="16" t="n"/>
    </row>
    <row r="343">
      <c r="A343" s="15">
        <f>IF(DATE(PlanYear,1,1)+337&lt;=DATE(PlanYear+1,1,31),DATE(PlanYear,1,1)+337,"")</f>
        <v/>
      </c>
      <c r="B343" s="16" t="n"/>
      <c r="C343" s="16" t="n"/>
      <c r="D343" s="16" t="n"/>
      <c r="E343" s="16" t="n"/>
      <c r="F343" s="16" t="n"/>
      <c r="G343" s="16" t="n"/>
      <c r="H343" s="16" t="n"/>
      <c r="I343" s="16" t="n"/>
      <c r="J343" s="16" t="n"/>
      <c r="K343" s="16" t="n"/>
      <c r="L343" s="16" t="n"/>
      <c r="M343" s="16" t="n"/>
      <c r="N343" s="16" t="n"/>
      <c r="O343" s="16" t="n"/>
      <c r="P343" s="16" t="n"/>
      <c r="Q343" s="16" t="n"/>
    </row>
    <row r="344">
      <c r="A344" s="15">
        <f>IF(DATE(PlanYear,1,1)+338&lt;=DATE(PlanYear+1,1,31),DATE(PlanYear,1,1)+338,"")</f>
        <v/>
      </c>
      <c r="B344" s="16" t="n"/>
      <c r="C344" s="16" t="n"/>
      <c r="D344" s="16" t="n"/>
      <c r="E344" s="16" t="n"/>
      <c r="F344" s="16" t="n"/>
      <c r="G344" s="16" t="n"/>
      <c r="H344" s="16" t="n"/>
      <c r="I344" s="16" t="n"/>
      <c r="J344" s="16" t="n"/>
      <c r="K344" s="16" t="n"/>
      <c r="L344" s="16" t="n"/>
      <c r="M344" s="16" t="n"/>
      <c r="N344" s="16" t="n"/>
      <c r="O344" s="16" t="n"/>
      <c r="P344" s="16" t="n"/>
      <c r="Q344" s="16" t="n"/>
    </row>
    <row r="345">
      <c r="A345" s="15">
        <f>IF(DATE(PlanYear,1,1)+339&lt;=DATE(PlanYear+1,1,31),DATE(PlanYear,1,1)+339,"")</f>
        <v/>
      </c>
      <c r="B345" s="16" t="n"/>
      <c r="C345" s="16" t="n"/>
      <c r="D345" s="16" t="n"/>
      <c r="E345" s="16" t="n"/>
      <c r="F345" s="16" t="n"/>
      <c r="G345" s="16" t="n"/>
      <c r="H345" s="16" t="n"/>
      <c r="I345" s="16" t="n"/>
      <c r="J345" s="16" t="n"/>
      <c r="K345" s="16" t="n"/>
      <c r="L345" s="16" t="n"/>
      <c r="M345" s="16" t="n"/>
      <c r="N345" s="16" t="n"/>
      <c r="O345" s="16" t="n"/>
      <c r="P345" s="16" t="n"/>
      <c r="Q345" s="16" t="n"/>
    </row>
    <row r="346">
      <c r="A346" s="15">
        <f>IF(DATE(PlanYear,1,1)+340&lt;=DATE(PlanYear+1,1,31),DATE(PlanYear,1,1)+340,"")</f>
        <v/>
      </c>
      <c r="B346" s="16" t="n"/>
      <c r="C346" s="16" t="n"/>
      <c r="D346" s="16" t="n"/>
      <c r="E346" s="16" t="n"/>
      <c r="F346" s="16" t="n"/>
      <c r="G346" s="16" t="n"/>
      <c r="H346" s="16" t="n"/>
      <c r="I346" s="16" t="n"/>
      <c r="J346" s="16" t="n"/>
      <c r="K346" s="16" t="n"/>
      <c r="L346" s="16" t="n"/>
      <c r="M346" s="16" t="n"/>
      <c r="N346" s="16" t="n"/>
      <c r="O346" s="16" t="n"/>
      <c r="P346" s="16" t="n"/>
      <c r="Q346" s="16" t="n"/>
    </row>
    <row r="347">
      <c r="A347" s="15">
        <f>IF(DATE(PlanYear,1,1)+341&lt;=DATE(PlanYear+1,1,31),DATE(PlanYear,1,1)+341,"")</f>
        <v/>
      </c>
      <c r="B347" s="16" t="n"/>
      <c r="C347" s="16" t="n"/>
      <c r="D347" s="16" t="n"/>
      <c r="E347" s="16" t="n"/>
      <c r="F347" s="16" t="n"/>
      <c r="G347" s="16" t="n"/>
      <c r="H347" s="16" t="n"/>
      <c r="I347" s="16" t="n"/>
      <c r="J347" s="16" t="n"/>
      <c r="K347" s="16" t="n"/>
      <c r="L347" s="16" t="n"/>
      <c r="M347" s="16" t="n"/>
      <c r="N347" s="16" t="n"/>
      <c r="O347" s="16" t="n"/>
      <c r="P347" s="16" t="n"/>
      <c r="Q347" s="16" t="n"/>
    </row>
    <row r="348">
      <c r="A348" s="15">
        <f>IF(DATE(PlanYear,1,1)+342&lt;=DATE(PlanYear+1,1,31),DATE(PlanYear,1,1)+342,"")</f>
        <v/>
      </c>
      <c r="B348" s="16" t="n"/>
      <c r="C348" s="16" t="n"/>
      <c r="D348" s="16" t="n"/>
      <c r="E348" s="16" t="n"/>
      <c r="F348" s="16" t="n"/>
      <c r="G348" s="16" t="n"/>
      <c r="H348" s="16" t="n"/>
      <c r="I348" s="16" t="n"/>
      <c r="J348" s="16" t="n"/>
      <c r="K348" s="16" t="n"/>
      <c r="L348" s="16" t="n"/>
      <c r="M348" s="16" t="n"/>
      <c r="N348" s="16" t="n"/>
      <c r="O348" s="16" t="n"/>
      <c r="P348" s="16" t="n"/>
      <c r="Q348" s="16" t="n"/>
    </row>
    <row r="349">
      <c r="A349" s="15">
        <f>IF(DATE(PlanYear,1,1)+343&lt;=DATE(PlanYear+1,1,31),DATE(PlanYear,1,1)+343,"")</f>
        <v/>
      </c>
      <c r="B349" s="16" t="n"/>
      <c r="C349" s="16" t="n"/>
      <c r="D349" s="16" t="n"/>
      <c r="E349" s="16" t="n"/>
      <c r="F349" s="16" t="n"/>
      <c r="G349" s="16" t="n"/>
      <c r="H349" s="16" t="n"/>
      <c r="I349" s="16" t="n"/>
      <c r="J349" s="16" t="n"/>
      <c r="K349" s="16" t="n"/>
      <c r="L349" s="16" t="n"/>
      <c r="M349" s="16" t="n"/>
      <c r="N349" s="16" t="n"/>
      <c r="O349" s="16" t="n"/>
      <c r="P349" s="16" t="n"/>
      <c r="Q349" s="16" t="n"/>
    </row>
    <row r="350">
      <c r="A350" s="15">
        <f>IF(DATE(PlanYear,1,1)+344&lt;=DATE(PlanYear+1,1,31),DATE(PlanYear,1,1)+344,"")</f>
        <v/>
      </c>
      <c r="B350" s="16" t="n"/>
      <c r="C350" s="16" t="n"/>
      <c r="D350" s="16" t="n"/>
      <c r="E350" s="16" t="n"/>
      <c r="F350" s="16" t="n"/>
      <c r="G350" s="16" t="n"/>
      <c r="H350" s="16" t="n"/>
      <c r="I350" s="16" t="n"/>
      <c r="J350" s="16" t="n"/>
      <c r="K350" s="16" t="n"/>
      <c r="L350" s="16" t="n"/>
      <c r="M350" s="16" t="n"/>
      <c r="N350" s="16" t="n"/>
      <c r="O350" s="16" t="n"/>
      <c r="P350" s="16" t="n"/>
      <c r="Q350" s="16" t="n"/>
    </row>
    <row r="351">
      <c r="A351" s="15">
        <f>IF(DATE(PlanYear,1,1)+345&lt;=DATE(PlanYear+1,1,31),DATE(PlanYear,1,1)+345,"")</f>
        <v/>
      </c>
      <c r="B351" s="16" t="n"/>
      <c r="C351" s="16" t="n"/>
      <c r="D351" s="16" t="n"/>
      <c r="E351" s="16" t="n"/>
      <c r="F351" s="16" t="n"/>
      <c r="G351" s="16" t="n"/>
      <c r="H351" s="16" t="n"/>
      <c r="I351" s="16" t="n"/>
      <c r="J351" s="16" t="n"/>
      <c r="K351" s="16" t="n"/>
      <c r="L351" s="16" t="n"/>
      <c r="M351" s="16" t="n"/>
      <c r="N351" s="16" t="n"/>
      <c r="O351" s="16" t="n"/>
      <c r="P351" s="16" t="n"/>
      <c r="Q351" s="16" t="n"/>
    </row>
    <row r="352">
      <c r="A352" s="15">
        <f>IF(DATE(PlanYear,1,1)+346&lt;=DATE(PlanYear+1,1,31),DATE(PlanYear,1,1)+346,"")</f>
        <v/>
      </c>
      <c r="B352" s="16" t="n"/>
      <c r="C352" s="16" t="n"/>
      <c r="D352" s="16" t="n"/>
      <c r="E352" s="16" t="n"/>
      <c r="F352" s="16" t="n"/>
      <c r="G352" s="16" t="n"/>
      <c r="H352" s="16" t="n"/>
      <c r="I352" s="16" t="n"/>
      <c r="J352" s="16" t="n"/>
      <c r="K352" s="16" t="n"/>
      <c r="L352" s="16" t="n"/>
      <c r="M352" s="16" t="n"/>
      <c r="N352" s="16" t="n"/>
      <c r="O352" s="16" t="n"/>
      <c r="P352" s="16" t="n"/>
      <c r="Q352" s="16" t="n"/>
    </row>
    <row r="353">
      <c r="A353" s="15">
        <f>IF(DATE(PlanYear,1,1)+347&lt;=DATE(PlanYear+1,1,31),DATE(PlanYear,1,1)+347,"")</f>
        <v/>
      </c>
      <c r="B353" s="16" t="n"/>
      <c r="C353" s="16" t="n"/>
      <c r="D353" s="16" t="n"/>
      <c r="E353" s="16" t="n"/>
      <c r="F353" s="16" t="n"/>
      <c r="G353" s="16" t="n"/>
      <c r="H353" s="16" t="n"/>
      <c r="I353" s="16" t="n"/>
      <c r="J353" s="16" t="n"/>
      <c r="K353" s="16" t="n"/>
      <c r="L353" s="16" t="n"/>
      <c r="M353" s="16" t="n"/>
      <c r="N353" s="16" t="n"/>
      <c r="O353" s="16" t="n"/>
      <c r="P353" s="16" t="n"/>
      <c r="Q353" s="16" t="n"/>
    </row>
    <row r="354">
      <c r="A354" s="15">
        <f>IF(DATE(PlanYear,1,1)+348&lt;=DATE(PlanYear+1,1,31),DATE(PlanYear,1,1)+348,"")</f>
        <v/>
      </c>
      <c r="B354" s="16" t="n"/>
      <c r="C354" s="16" t="n"/>
      <c r="D354" s="16" t="n"/>
      <c r="E354" s="16" t="n"/>
      <c r="F354" s="16" t="n"/>
      <c r="G354" s="16" t="n"/>
      <c r="H354" s="16" t="n"/>
      <c r="I354" s="16" t="n"/>
      <c r="J354" s="16" t="n"/>
      <c r="K354" s="16" t="n"/>
      <c r="L354" s="16" t="n"/>
      <c r="M354" s="16" t="n"/>
      <c r="N354" s="16" t="n"/>
      <c r="O354" s="16" t="n"/>
      <c r="P354" s="16" t="n"/>
      <c r="Q354" s="16" t="n"/>
    </row>
    <row r="355">
      <c r="A355" s="15">
        <f>IF(DATE(PlanYear,1,1)+349&lt;=DATE(PlanYear+1,1,31),DATE(PlanYear,1,1)+349,"")</f>
        <v/>
      </c>
      <c r="B355" s="16" t="n"/>
      <c r="C355" s="16" t="n"/>
      <c r="D355" s="16" t="n"/>
      <c r="E355" s="16" t="n"/>
      <c r="F355" s="16" t="n"/>
      <c r="G355" s="16" t="n"/>
      <c r="H355" s="16" t="n"/>
      <c r="I355" s="16" t="n"/>
      <c r="J355" s="16" t="n"/>
      <c r="K355" s="16" t="n"/>
      <c r="L355" s="16" t="n"/>
      <c r="M355" s="16" t="n"/>
      <c r="N355" s="16" t="n"/>
      <c r="O355" s="16" t="n"/>
      <c r="P355" s="16" t="n"/>
      <c r="Q355" s="16" t="n"/>
    </row>
    <row r="356">
      <c r="A356" s="15">
        <f>IF(DATE(PlanYear,1,1)+350&lt;=DATE(PlanYear+1,1,31),DATE(PlanYear,1,1)+350,"")</f>
        <v/>
      </c>
      <c r="B356" s="16" t="n"/>
      <c r="C356" s="16" t="n"/>
      <c r="D356" s="16" t="n"/>
      <c r="E356" s="16" t="n"/>
      <c r="F356" s="16" t="n"/>
      <c r="G356" s="16" t="n"/>
      <c r="H356" s="16" t="n"/>
      <c r="I356" s="16" t="n"/>
      <c r="J356" s="16" t="n"/>
      <c r="K356" s="16" t="n"/>
      <c r="L356" s="16" t="n"/>
      <c r="M356" s="16" t="n"/>
      <c r="N356" s="16" t="n"/>
      <c r="O356" s="16" t="n"/>
      <c r="P356" s="16" t="n"/>
      <c r="Q356" s="16" t="n"/>
    </row>
    <row r="357">
      <c r="A357" s="15">
        <f>IF(DATE(PlanYear,1,1)+351&lt;=DATE(PlanYear+1,1,31),DATE(PlanYear,1,1)+351,"")</f>
        <v/>
      </c>
      <c r="B357" s="16" t="n"/>
      <c r="C357" s="16" t="n"/>
      <c r="D357" s="16" t="n"/>
      <c r="E357" s="16" t="n"/>
      <c r="F357" s="16" t="n"/>
      <c r="G357" s="16" t="n"/>
      <c r="H357" s="16" t="n"/>
      <c r="I357" s="16" t="n"/>
      <c r="J357" s="16" t="n"/>
      <c r="K357" s="16" t="n"/>
      <c r="L357" s="16" t="n"/>
      <c r="M357" s="16" t="n"/>
      <c r="N357" s="16" t="n"/>
      <c r="O357" s="16" t="n"/>
      <c r="P357" s="16" t="n"/>
      <c r="Q357" s="16" t="n"/>
    </row>
    <row r="358">
      <c r="A358" s="15">
        <f>IF(DATE(PlanYear,1,1)+352&lt;=DATE(PlanYear+1,1,31),DATE(PlanYear,1,1)+352,"")</f>
        <v/>
      </c>
      <c r="B358" s="16" t="n"/>
      <c r="C358" s="16" t="n"/>
      <c r="D358" s="16" t="n"/>
      <c r="E358" s="16" t="n"/>
      <c r="F358" s="16" t="n"/>
      <c r="G358" s="16" t="n"/>
      <c r="H358" s="16" t="n"/>
      <c r="I358" s="16" t="n"/>
      <c r="J358" s="16" t="n"/>
      <c r="K358" s="16" t="n"/>
      <c r="L358" s="16" t="n"/>
      <c r="M358" s="16" t="n"/>
      <c r="N358" s="16" t="n"/>
      <c r="O358" s="16" t="n"/>
      <c r="P358" s="16" t="n"/>
      <c r="Q358" s="16" t="n"/>
    </row>
    <row r="359">
      <c r="A359" s="15">
        <f>IF(DATE(PlanYear,1,1)+353&lt;=DATE(PlanYear+1,1,31),DATE(PlanYear,1,1)+353,"")</f>
        <v/>
      </c>
      <c r="B359" s="16" t="n"/>
      <c r="C359" s="16" t="n"/>
      <c r="D359" s="16" t="n"/>
      <c r="E359" s="16" t="n"/>
      <c r="F359" s="16" t="n"/>
      <c r="G359" s="16" t="n"/>
      <c r="H359" s="16" t="n"/>
      <c r="I359" s="16" t="n"/>
      <c r="J359" s="16" t="n"/>
      <c r="K359" s="16" t="n"/>
      <c r="L359" s="16" t="n"/>
      <c r="M359" s="16" t="n"/>
      <c r="N359" s="16" t="n"/>
      <c r="O359" s="16" t="n"/>
      <c r="P359" s="16" t="n"/>
      <c r="Q359" s="16" t="n"/>
    </row>
    <row r="360">
      <c r="A360" s="15">
        <f>IF(DATE(PlanYear,1,1)+354&lt;=DATE(PlanYear+1,1,31),DATE(PlanYear,1,1)+354,"")</f>
        <v/>
      </c>
      <c r="B360" s="16" t="n"/>
      <c r="C360" s="16" t="n"/>
      <c r="D360" s="16" t="n"/>
      <c r="E360" s="16" t="n"/>
      <c r="F360" s="16" t="n"/>
      <c r="G360" s="16" t="n"/>
      <c r="H360" s="16" t="n"/>
      <c r="I360" s="16" t="n"/>
      <c r="J360" s="16" t="n"/>
      <c r="K360" s="16" t="n"/>
      <c r="L360" s="16" t="n"/>
      <c r="M360" s="16" t="n"/>
      <c r="N360" s="16" t="n"/>
      <c r="O360" s="16" t="n"/>
      <c r="P360" s="16" t="n"/>
      <c r="Q360" s="16" t="n"/>
    </row>
    <row r="361">
      <c r="A361" s="15">
        <f>IF(DATE(PlanYear,1,1)+355&lt;=DATE(PlanYear+1,1,31),DATE(PlanYear,1,1)+355,"")</f>
        <v/>
      </c>
      <c r="B361" s="16" t="n"/>
      <c r="C361" s="16" t="n"/>
      <c r="D361" s="16" t="n"/>
      <c r="E361" s="16" t="n"/>
      <c r="F361" s="16" t="n"/>
      <c r="G361" s="16" t="n"/>
      <c r="H361" s="16" t="n"/>
      <c r="I361" s="16" t="n"/>
      <c r="J361" s="16" t="n"/>
      <c r="K361" s="16" t="n"/>
      <c r="L361" s="16" t="n"/>
      <c r="M361" s="16" t="n"/>
      <c r="N361" s="16" t="n"/>
      <c r="O361" s="16" t="n"/>
      <c r="P361" s="16" t="n"/>
      <c r="Q361" s="16" t="n"/>
    </row>
    <row r="362">
      <c r="A362" s="15">
        <f>IF(DATE(PlanYear,1,1)+356&lt;=DATE(PlanYear+1,1,31),DATE(PlanYear,1,1)+356,"")</f>
        <v/>
      </c>
      <c r="B362" s="16" t="n"/>
      <c r="C362" s="16" t="n"/>
      <c r="D362" s="16" t="n"/>
      <c r="E362" s="16" t="n"/>
      <c r="F362" s="16" t="n"/>
      <c r="G362" s="16" t="n"/>
      <c r="H362" s="16" t="n"/>
      <c r="I362" s="16" t="n"/>
      <c r="J362" s="16" t="n"/>
      <c r="K362" s="16" t="n"/>
      <c r="L362" s="16" t="n"/>
      <c r="M362" s="16" t="n"/>
      <c r="N362" s="16" t="n"/>
      <c r="O362" s="16" t="n"/>
      <c r="P362" s="16" t="n"/>
      <c r="Q362" s="16" t="n"/>
    </row>
    <row r="363">
      <c r="A363" s="15">
        <f>IF(DATE(PlanYear,1,1)+357&lt;=DATE(PlanYear+1,1,31),DATE(PlanYear,1,1)+357,"")</f>
        <v/>
      </c>
      <c r="B363" s="16" t="n"/>
      <c r="C363" s="16" t="n"/>
      <c r="D363" s="16" t="n"/>
      <c r="E363" s="16" t="n"/>
      <c r="F363" s="16" t="n"/>
      <c r="G363" s="16" t="n"/>
      <c r="H363" s="16" t="n"/>
      <c r="I363" s="16" t="n"/>
      <c r="J363" s="16" t="n"/>
      <c r="K363" s="16" t="n"/>
      <c r="L363" s="16" t="n"/>
      <c r="M363" s="16" t="n"/>
      <c r="N363" s="16" t="n"/>
      <c r="O363" s="16" t="n"/>
      <c r="P363" s="16" t="n"/>
      <c r="Q363" s="16" t="n"/>
    </row>
    <row r="364">
      <c r="A364" s="15">
        <f>IF(DATE(PlanYear,1,1)+358&lt;=DATE(PlanYear+1,1,31),DATE(PlanYear,1,1)+358,"")</f>
        <v/>
      </c>
      <c r="B364" s="16" t="n"/>
      <c r="C364" s="16" t="n"/>
      <c r="D364" s="16" t="n"/>
      <c r="E364" s="16" t="n"/>
      <c r="F364" s="16" t="n"/>
      <c r="G364" s="16" t="n"/>
      <c r="H364" s="16" t="n"/>
      <c r="I364" s="16" t="n"/>
      <c r="J364" s="16" t="n"/>
      <c r="K364" s="16" t="n"/>
      <c r="L364" s="16" t="n"/>
      <c r="M364" s="16" t="n"/>
      <c r="N364" s="16" t="n"/>
      <c r="O364" s="16" t="n"/>
      <c r="P364" s="16" t="n"/>
      <c r="Q364" s="16" t="n"/>
    </row>
    <row r="365">
      <c r="A365" s="15">
        <f>IF(DATE(PlanYear,1,1)+359&lt;=DATE(PlanYear+1,1,31),DATE(PlanYear,1,1)+359,"")</f>
        <v/>
      </c>
      <c r="B365" s="16" t="n"/>
      <c r="C365" s="16" t="n"/>
      <c r="D365" s="16" t="n"/>
      <c r="E365" s="16" t="n"/>
      <c r="F365" s="16" t="n"/>
      <c r="G365" s="16" t="n"/>
      <c r="H365" s="16" t="n"/>
      <c r="I365" s="16" t="n"/>
      <c r="J365" s="16" t="n"/>
      <c r="K365" s="16" t="n"/>
      <c r="L365" s="16" t="n"/>
      <c r="M365" s="16" t="n"/>
      <c r="N365" s="16" t="n"/>
      <c r="O365" s="16" t="n"/>
      <c r="P365" s="16" t="n"/>
      <c r="Q365" s="16" t="n"/>
    </row>
    <row r="366">
      <c r="A366" s="15">
        <f>IF(DATE(PlanYear,1,1)+360&lt;=DATE(PlanYear+1,1,31),DATE(PlanYear,1,1)+360,"")</f>
        <v/>
      </c>
      <c r="B366" s="16" t="n"/>
      <c r="C366" s="16" t="n"/>
      <c r="D366" s="16" t="n"/>
      <c r="E366" s="16" t="n"/>
      <c r="F366" s="16" t="n"/>
      <c r="G366" s="16" t="n"/>
      <c r="H366" s="16" t="n"/>
      <c r="I366" s="16" t="n"/>
      <c r="J366" s="16" t="n"/>
      <c r="K366" s="16" t="n"/>
      <c r="L366" s="16" t="n"/>
      <c r="M366" s="16" t="n"/>
      <c r="N366" s="16" t="n"/>
      <c r="O366" s="16" t="n"/>
      <c r="P366" s="16" t="n"/>
      <c r="Q366" s="16" t="n"/>
    </row>
    <row r="367">
      <c r="A367" s="15">
        <f>IF(DATE(PlanYear,1,1)+361&lt;=DATE(PlanYear+1,1,31),DATE(PlanYear,1,1)+361,"")</f>
        <v/>
      </c>
      <c r="B367" s="16" t="n"/>
      <c r="C367" s="16" t="n"/>
      <c r="D367" s="16" t="n"/>
      <c r="E367" s="16" t="n"/>
      <c r="F367" s="16" t="n"/>
      <c r="G367" s="16" t="n"/>
      <c r="H367" s="16" t="n"/>
      <c r="I367" s="16" t="n"/>
      <c r="J367" s="16" t="n"/>
      <c r="K367" s="16" t="n"/>
      <c r="L367" s="16" t="n"/>
      <c r="M367" s="16" t="n"/>
      <c r="N367" s="16" t="n"/>
      <c r="O367" s="16" t="n"/>
      <c r="P367" s="16" t="n"/>
      <c r="Q367" s="16" t="n"/>
    </row>
    <row r="368">
      <c r="A368" s="15">
        <f>IF(DATE(PlanYear,1,1)+362&lt;=DATE(PlanYear+1,1,31),DATE(PlanYear,1,1)+362,"")</f>
        <v/>
      </c>
      <c r="B368" s="16" t="n"/>
      <c r="C368" s="16" t="n"/>
      <c r="D368" s="16" t="n"/>
      <c r="E368" s="16" t="n"/>
      <c r="F368" s="16" t="n"/>
      <c r="G368" s="16" t="n"/>
      <c r="H368" s="16" t="n"/>
      <c r="I368" s="16" t="n"/>
      <c r="J368" s="16" t="n"/>
      <c r="K368" s="16" t="n"/>
      <c r="L368" s="16" t="n"/>
      <c r="M368" s="16" t="n"/>
      <c r="N368" s="16" t="n"/>
      <c r="O368" s="16" t="n"/>
      <c r="P368" s="16" t="n"/>
      <c r="Q368" s="16" t="n"/>
    </row>
    <row r="369">
      <c r="A369" s="15">
        <f>IF(DATE(PlanYear,1,1)+363&lt;=DATE(PlanYear+1,1,31),DATE(PlanYear,1,1)+363,"")</f>
        <v/>
      </c>
      <c r="B369" s="16" t="n"/>
      <c r="C369" s="16" t="n"/>
      <c r="D369" s="16" t="n"/>
      <c r="E369" s="16" t="n"/>
      <c r="F369" s="16" t="n"/>
      <c r="G369" s="16" t="n"/>
      <c r="H369" s="16" t="n"/>
      <c r="I369" s="16" t="n"/>
      <c r="J369" s="16" t="n"/>
      <c r="K369" s="16" t="n"/>
      <c r="L369" s="16" t="n"/>
      <c r="M369" s="16" t="n"/>
      <c r="N369" s="16" t="n"/>
      <c r="O369" s="16" t="n"/>
      <c r="P369" s="16" t="n"/>
      <c r="Q369" s="16" t="n"/>
    </row>
    <row r="370">
      <c r="A370" s="15">
        <f>IF(DATE(PlanYear,1,1)+364&lt;=DATE(PlanYear+1,1,31),DATE(PlanYear,1,1)+364,"")</f>
        <v/>
      </c>
      <c r="B370" s="16" t="n"/>
      <c r="C370" s="16" t="n"/>
      <c r="D370" s="16" t="n"/>
      <c r="E370" s="16" t="n"/>
      <c r="F370" s="16" t="n"/>
      <c r="G370" s="16" t="n"/>
      <c r="H370" s="16" t="n"/>
      <c r="I370" s="16" t="n"/>
      <c r="J370" s="16" t="n"/>
      <c r="K370" s="16" t="n"/>
      <c r="L370" s="16" t="n"/>
      <c r="M370" s="16" t="n"/>
      <c r="N370" s="16" t="n"/>
      <c r="O370" s="16" t="n"/>
      <c r="P370" s="16" t="n"/>
      <c r="Q370" s="16" t="n"/>
    </row>
    <row r="371">
      <c r="A371" s="15">
        <f>IF(DATE(PlanYear,1,1)+365&lt;=DATE(PlanYear+1,1,31),DATE(PlanYear,1,1)+365,"")</f>
        <v/>
      </c>
      <c r="B371" s="16" t="n"/>
      <c r="C371" s="16" t="n"/>
      <c r="D371" s="16" t="n"/>
      <c r="E371" s="16" t="n"/>
      <c r="F371" s="16" t="n"/>
      <c r="G371" s="16" t="n"/>
      <c r="H371" s="16" t="n"/>
      <c r="I371" s="16" t="n"/>
      <c r="J371" s="16" t="n"/>
      <c r="K371" s="16" t="n"/>
      <c r="L371" s="16" t="n"/>
      <c r="M371" s="16" t="n"/>
      <c r="N371" s="16" t="n"/>
      <c r="O371" s="16" t="n"/>
      <c r="P371" s="16" t="n"/>
      <c r="Q371" s="16" t="n"/>
    </row>
    <row r="372">
      <c r="A372" s="15">
        <f>IF(DATE(PlanYear,1,1)+366&lt;=DATE(PlanYear+1,1,31),DATE(PlanYear,1,1)+366,"")</f>
        <v/>
      </c>
      <c r="B372" s="16" t="n"/>
      <c r="C372" s="16" t="n"/>
      <c r="D372" s="16" t="n"/>
      <c r="E372" s="16" t="n"/>
      <c r="F372" s="16" t="n"/>
      <c r="G372" s="16" t="n"/>
      <c r="H372" s="16" t="n"/>
      <c r="I372" s="16" t="n"/>
      <c r="J372" s="16" t="n"/>
      <c r="K372" s="16" t="n"/>
      <c r="L372" s="16" t="n"/>
      <c r="M372" s="16" t="n"/>
      <c r="N372" s="16" t="n"/>
      <c r="O372" s="16" t="n"/>
      <c r="P372" s="16" t="n"/>
      <c r="Q372" s="16" t="n"/>
    </row>
    <row r="373">
      <c r="A373" s="15">
        <f>IF(DATE(PlanYear,1,1)+367&lt;=DATE(PlanYear+1,1,31),DATE(PlanYear,1,1)+367,"")</f>
        <v/>
      </c>
      <c r="B373" s="16" t="n"/>
      <c r="C373" s="16" t="n"/>
      <c r="D373" s="16" t="n"/>
      <c r="E373" s="16" t="n"/>
      <c r="F373" s="16" t="n"/>
      <c r="G373" s="16" t="n"/>
      <c r="H373" s="16" t="n"/>
      <c r="I373" s="16" t="n"/>
      <c r="J373" s="16" t="n"/>
      <c r="K373" s="16" t="n"/>
      <c r="L373" s="16" t="n"/>
      <c r="M373" s="16" t="n"/>
      <c r="N373" s="16" t="n"/>
      <c r="O373" s="16" t="n"/>
      <c r="P373" s="16" t="n"/>
      <c r="Q373" s="16" t="n"/>
    </row>
    <row r="374">
      <c r="A374" s="15">
        <f>IF(DATE(PlanYear,1,1)+368&lt;=DATE(PlanYear+1,1,31),DATE(PlanYear,1,1)+368,"")</f>
        <v/>
      </c>
      <c r="B374" s="16" t="n"/>
      <c r="C374" s="16" t="n"/>
      <c r="D374" s="16" t="n"/>
      <c r="E374" s="16" t="n"/>
      <c r="F374" s="16" t="n"/>
      <c r="G374" s="16" t="n"/>
      <c r="H374" s="16" t="n"/>
      <c r="I374" s="16" t="n"/>
      <c r="J374" s="16" t="n"/>
      <c r="K374" s="16" t="n"/>
      <c r="L374" s="16" t="n"/>
      <c r="M374" s="16" t="n"/>
      <c r="N374" s="16" t="n"/>
      <c r="O374" s="16" t="n"/>
      <c r="P374" s="16" t="n"/>
      <c r="Q374" s="16" t="n"/>
    </row>
    <row r="375">
      <c r="A375" s="15">
        <f>IF(DATE(PlanYear,1,1)+369&lt;=DATE(PlanYear+1,1,31),DATE(PlanYear,1,1)+369,"")</f>
        <v/>
      </c>
      <c r="B375" s="16" t="n"/>
      <c r="C375" s="16" t="n"/>
      <c r="D375" s="16" t="n"/>
      <c r="E375" s="16" t="n"/>
      <c r="F375" s="16" t="n"/>
      <c r="G375" s="16" t="n"/>
      <c r="H375" s="16" t="n"/>
      <c r="I375" s="16" t="n"/>
      <c r="J375" s="16" t="n"/>
      <c r="K375" s="16" t="n"/>
      <c r="L375" s="16" t="n"/>
      <c r="M375" s="16" t="n"/>
      <c r="N375" s="16" t="n"/>
      <c r="O375" s="16" t="n"/>
      <c r="P375" s="16" t="n"/>
      <c r="Q375" s="16" t="n"/>
    </row>
    <row r="376">
      <c r="A376" s="15">
        <f>IF(DATE(PlanYear,1,1)+370&lt;=DATE(PlanYear+1,1,31),DATE(PlanYear,1,1)+370,"")</f>
        <v/>
      </c>
      <c r="B376" s="16" t="n"/>
      <c r="C376" s="16" t="n"/>
      <c r="D376" s="16" t="n"/>
      <c r="E376" s="16" t="n"/>
      <c r="F376" s="16" t="n"/>
      <c r="G376" s="16" t="n"/>
      <c r="H376" s="16" t="n"/>
      <c r="I376" s="16" t="n"/>
      <c r="J376" s="16" t="n"/>
      <c r="K376" s="16" t="n"/>
      <c r="L376" s="16" t="n"/>
      <c r="M376" s="16" t="n"/>
      <c r="N376" s="16" t="n"/>
      <c r="O376" s="16" t="n"/>
      <c r="P376" s="16" t="n"/>
      <c r="Q376" s="16" t="n"/>
    </row>
    <row r="377">
      <c r="A377" s="15">
        <f>IF(DATE(PlanYear,1,1)+371&lt;=DATE(PlanYear+1,1,31),DATE(PlanYear,1,1)+371,"")</f>
        <v/>
      </c>
      <c r="B377" s="16" t="n"/>
      <c r="C377" s="16" t="n"/>
      <c r="D377" s="16" t="n"/>
      <c r="E377" s="16" t="n"/>
      <c r="F377" s="16" t="n"/>
      <c r="G377" s="16" t="n"/>
      <c r="H377" s="16" t="n"/>
      <c r="I377" s="16" t="n"/>
      <c r="J377" s="16" t="n"/>
      <c r="K377" s="16" t="n"/>
      <c r="L377" s="16" t="n"/>
      <c r="M377" s="16" t="n"/>
      <c r="N377" s="16" t="n"/>
      <c r="O377" s="16" t="n"/>
      <c r="P377" s="16" t="n"/>
      <c r="Q377" s="16" t="n"/>
    </row>
    <row r="378">
      <c r="A378" s="15">
        <f>IF(DATE(PlanYear,1,1)+372&lt;=DATE(PlanYear+1,1,31),DATE(PlanYear,1,1)+372,"")</f>
        <v/>
      </c>
      <c r="B378" s="16" t="n"/>
      <c r="C378" s="16" t="n"/>
      <c r="D378" s="16" t="n"/>
      <c r="E378" s="16" t="n"/>
      <c r="F378" s="16" t="n"/>
      <c r="G378" s="16" t="n"/>
      <c r="H378" s="16" t="n"/>
      <c r="I378" s="16" t="n"/>
      <c r="J378" s="16" t="n"/>
      <c r="K378" s="16" t="n"/>
      <c r="L378" s="16" t="n"/>
      <c r="M378" s="16" t="n"/>
      <c r="N378" s="16" t="n"/>
      <c r="O378" s="16" t="n"/>
      <c r="P378" s="16" t="n"/>
      <c r="Q378" s="16" t="n"/>
    </row>
    <row r="379">
      <c r="A379" s="15">
        <f>IF(DATE(PlanYear,1,1)+373&lt;=DATE(PlanYear+1,1,31),DATE(PlanYear,1,1)+373,"")</f>
        <v/>
      </c>
      <c r="B379" s="16" t="n"/>
      <c r="C379" s="16" t="n"/>
      <c r="D379" s="16" t="n"/>
      <c r="E379" s="16" t="n"/>
      <c r="F379" s="16" t="n"/>
      <c r="G379" s="16" t="n"/>
      <c r="H379" s="16" t="n"/>
      <c r="I379" s="16" t="n"/>
      <c r="J379" s="16" t="n"/>
      <c r="K379" s="16" t="n"/>
      <c r="L379" s="16" t="n"/>
      <c r="M379" s="16" t="n"/>
      <c r="N379" s="16" t="n"/>
      <c r="O379" s="16" t="n"/>
      <c r="P379" s="16" t="n"/>
      <c r="Q379" s="16" t="n"/>
    </row>
    <row r="380">
      <c r="A380" s="15">
        <f>IF(DATE(PlanYear,1,1)+374&lt;=DATE(PlanYear+1,1,31),DATE(PlanYear,1,1)+374,"")</f>
        <v/>
      </c>
      <c r="B380" s="16" t="n"/>
      <c r="C380" s="16" t="n"/>
      <c r="D380" s="16" t="n"/>
      <c r="E380" s="16" t="n"/>
      <c r="F380" s="16" t="n"/>
      <c r="G380" s="16" t="n"/>
      <c r="H380" s="16" t="n"/>
      <c r="I380" s="16" t="n"/>
      <c r="J380" s="16" t="n"/>
      <c r="K380" s="16" t="n"/>
      <c r="L380" s="16" t="n"/>
      <c r="M380" s="16" t="n"/>
      <c r="N380" s="16" t="n"/>
      <c r="O380" s="16" t="n"/>
      <c r="P380" s="16" t="n"/>
      <c r="Q380" s="16" t="n"/>
    </row>
    <row r="381">
      <c r="A381" s="15">
        <f>IF(DATE(PlanYear,1,1)+375&lt;=DATE(PlanYear+1,1,31),DATE(PlanYear,1,1)+375,"")</f>
        <v/>
      </c>
      <c r="B381" s="16" t="n"/>
      <c r="C381" s="16" t="n"/>
      <c r="D381" s="16" t="n"/>
      <c r="E381" s="16" t="n"/>
      <c r="F381" s="16" t="n"/>
      <c r="G381" s="16" t="n"/>
      <c r="H381" s="16" t="n"/>
      <c r="I381" s="16" t="n"/>
      <c r="J381" s="16" t="n"/>
      <c r="K381" s="16" t="n"/>
      <c r="L381" s="16" t="n"/>
      <c r="M381" s="16" t="n"/>
      <c r="N381" s="16" t="n"/>
      <c r="O381" s="16" t="n"/>
      <c r="P381" s="16" t="n"/>
      <c r="Q381" s="16" t="n"/>
    </row>
    <row r="382">
      <c r="A382" s="15">
        <f>IF(DATE(PlanYear,1,1)+376&lt;=DATE(PlanYear+1,1,31),DATE(PlanYear,1,1)+376,"")</f>
        <v/>
      </c>
      <c r="B382" s="16" t="n"/>
      <c r="C382" s="16" t="n"/>
      <c r="D382" s="16" t="n"/>
      <c r="E382" s="16" t="n"/>
      <c r="F382" s="16" t="n"/>
      <c r="G382" s="16" t="n"/>
      <c r="H382" s="16" t="n"/>
      <c r="I382" s="16" t="n"/>
      <c r="J382" s="16" t="n"/>
      <c r="K382" s="16" t="n"/>
      <c r="L382" s="16" t="n"/>
      <c r="M382" s="16" t="n"/>
      <c r="N382" s="16" t="n"/>
      <c r="O382" s="16" t="n"/>
      <c r="P382" s="16" t="n"/>
      <c r="Q382" s="16" t="n"/>
    </row>
    <row r="383">
      <c r="A383" s="15">
        <f>IF(DATE(PlanYear,1,1)+377&lt;=DATE(PlanYear+1,1,31),DATE(PlanYear,1,1)+377,"")</f>
        <v/>
      </c>
      <c r="B383" s="16" t="n"/>
      <c r="C383" s="16" t="n"/>
      <c r="D383" s="16" t="n"/>
      <c r="E383" s="16" t="n"/>
      <c r="F383" s="16" t="n"/>
      <c r="G383" s="16" t="n"/>
      <c r="H383" s="16" t="n"/>
      <c r="I383" s="16" t="n"/>
      <c r="J383" s="16" t="n"/>
      <c r="K383" s="16" t="n"/>
      <c r="L383" s="16" t="n"/>
      <c r="M383" s="16" t="n"/>
      <c r="N383" s="16" t="n"/>
      <c r="O383" s="16" t="n"/>
      <c r="P383" s="16" t="n"/>
      <c r="Q383" s="16" t="n"/>
    </row>
    <row r="384">
      <c r="A384" s="15">
        <f>IF(DATE(PlanYear,1,1)+378&lt;=DATE(PlanYear+1,1,31),DATE(PlanYear,1,1)+378,"")</f>
        <v/>
      </c>
      <c r="B384" s="16" t="n"/>
      <c r="C384" s="16" t="n"/>
      <c r="D384" s="16" t="n"/>
      <c r="E384" s="16" t="n"/>
      <c r="F384" s="16" t="n"/>
      <c r="G384" s="16" t="n"/>
      <c r="H384" s="16" t="n"/>
      <c r="I384" s="16" t="n"/>
      <c r="J384" s="16" t="n"/>
      <c r="K384" s="16" t="n"/>
      <c r="L384" s="16" t="n"/>
      <c r="M384" s="16" t="n"/>
      <c r="N384" s="16" t="n"/>
      <c r="O384" s="16" t="n"/>
      <c r="P384" s="16" t="n"/>
      <c r="Q384" s="16" t="n"/>
    </row>
    <row r="385">
      <c r="A385" s="15">
        <f>IF(DATE(PlanYear,1,1)+379&lt;=DATE(PlanYear+1,1,31),DATE(PlanYear,1,1)+379,"")</f>
        <v/>
      </c>
      <c r="B385" s="16" t="n"/>
      <c r="C385" s="16" t="n"/>
      <c r="D385" s="16" t="n"/>
      <c r="E385" s="16" t="n"/>
      <c r="F385" s="16" t="n"/>
      <c r="G385" s="16" t="n"/>
      <c r="H385" s="16" t="n"/>
      <c r="I385" s="16" t="n"/>
      <c r="J385" s="16" t="n"/>
      <c r="K385" s="16" t="n"/>
      <c r="L385" s="16" t="n"/>
      <c r="M385" s="16" t="n"/>
      <c r="N385" s="16" t="n"/>
      <c r="O385" s="16" t="n"/>
      <c r="P385" s="16" t="n"/>
      <c r="Q385" s="16" t="n"/>
    </row>
    <row r="386">
      <c r="A386" s="15">
        <f>IF(DATE(PlanYear,1,1)+380&lt;=DATE(PlanYear+1,1,31),DATE(PlanYear,1,1)+380,"")</f>
        <v/>
      </c>
      <c r="B386" s="16" t="n"/>
      <c r="C386" s="16" t="n"/>
      <c r="D386" s="16" t="n"/>
      <c r="E386" s="16" t="n"/>
      <c r="F386" s="16" t="n"/>
      <c r="G386" s="16" t="n"/>
      <c r="H386" s="16" t="n"/>
      <c r="I386" s="16" t="n"/>
      <c r="J386" s="16" t="n"/>
      <c r="K386" s="16" t="n"/>
      <c r="L386" s="16" t="n"/>
      <c r="M386" s="16" t="n"/>
      <c r="N386" s="16" t="n"/>
      <c r="O386" s="16" t="n"/>
      <c r="P386" s="16" t="n"/>
      <c r="Q386" s="16" t="n"/>
    </row>
    <row r="387">
      <c r="A387" s="15">
        <f>IF(DATE(PlanYear,1,1)+381&lt;=DATE(PlanYear+1,1,31),DATE(PlanYear,1,1)+381,"")</f>
        <v/>
      </c>
      <c r="B387" s="16" t="n"/>
      <c r="C387" s="16" t="n"/>
      <c r="D387" s="16" t="n"/>
      <c r="E387" s="16" t="n"/>
      <c r="F387" s="16" t="n"/>
      <c r="G387" s="16" t="n"/>
      <c r="H387" s="16" t="n"/>
      <c r="I387" s="16" t="n"/>
      <c r="J387" s="16" t="n"/>
      <c r="K387" s="16" t="n"/>
      <c r="L387" s="16" t="n"/>
      <c r="M387" s="16" t="n"/>
      <c r="N387" s="16" t="n"/>
      <c r="O387" s="16" t="n"/>
      <c r="P387" s="16" t="n"/>
      <c r="Q387" s="16" t="n"/>
    </row>
    <row r="388">
      <c r="A388" s="15">
        <f>IF(DATE(PlanYear,1,1)+382&lt;=DATE(PlanYear+1,1,31),DATE(PlanYear,1,1)+382,"")</f>
        <v/>
      </c>
      <c r="B388" s="16" t="n"/>
      <c r="C388" s="16" t="n"/>
      <c r="D388" s="16" t="n"/>
      <c r="E388" s="16" t="n"/>
      <c r="F388" s="16" t="n"/>
      <c r="G388" s="16" t="n"/>
      <c r="H388" s="16" t="n"/>
      <c r="I388" s="16" t="n"/>
      <c r="J388" s="16" t="n"/>
      <c r="K388" s="16" t="n"/>
      <c r="L388" s="16" t="n"/>
      <c r="M388" s="16" t="n"/>
      <c r="N388" s="16" t="n"/>
      <c r="O388" s="16" t="n"/>
      <c r="P388" s="16" t="n"/>
      <c r="Q388" s="16" t="n"/>
    </row>
    <row r="389">
      <c r="A389" s="15">
        <f>IF(DATE(PlanYear,1,1)+383&lt;=DATE(PlanYear+1,1,31),DATE(PlanYear,1,1)+383,"")</f>
        <v/>
      </c>
      <c r="B389" s="16" t="n"/>
      <c r="C389" s="16" t="n"/>
      <c r="D389" s="16" t="n"/>
      <c r="E389" s="16" t="n"/>
      <c r="F389" s="16" t="n"/>
      <c r="G389" s="16" t="n"/>
      <c r="H389" s="16" t="n"/>
      <c r="I389" s="16" t="n"/>
      <c r="J389" s="16" t="n"/>
      <c r="K389" s="16" t="n"/>
      <c r="L389" s="16" t="n"/>
      <c r="M389" s="16" t="n"/>
      <c r="N389" s="16" t="n"/>
      <c r="O389" s="16" t="n"/>
      <c r="P389" s="16" t="n"/>
      <c r="Q389" s="16" t="n"/>
    </row>
    <row r="390">
      <c r="A390" s="15">
        <f>IF(DATE(PlanYear,1,1)+384&lt;=DATE(PlanYear+1,1,31),DATE(PlanYear,1,1)+384,"")</f>
        <v/>
      </c>
      <c r="B390" s="16" t="n"/>
      <c r="C390" s="16" t="n"/>
      <c r="D390" s="16" t="n"/>
      <c r="E390" s="16" t="n"/>
      <c r="F390" s="16" t="n"/>
      <c r="G390" s="16" t="n"/>
      <c r="H390" s="16" t="n"/>
      <c r="I390" s="16" t="n"/>
      <c r="J390" s="16" t="n"/>
      <c r="K390" s="16" t="n"/>
      <c r="L390" s="16" t="n"/>
      <c r="M390" s="16" t="n"/>
      <c r="N390" s="16" t="n"/>
      <c r="O390" s="16" t="n"/>
      <c r="P390" s="16" t="n"/>
      <c r="Q390" s="16" t="n"/>
    </row>
    <row r="391">
      <c r="A391" s="15">
        <f>IF(DATE(PlanYear,1,1)+385&lt;=DATE(PlanYear+1,1,31),DATE(PlanYear,1,1)+385,"")</f>
        <v/>
      </c>
      <c r="B391" s="16" t="n"/>
      <c r="C391" s="16" t="n"/>
      <c r="D391" s="16" t="n"/>
      <c r="E391" s="16" t="n"/>
      <c r="F391" s="16" t="n"/>
      <c r="G391" s="16" t="n"/>
      <c r="H391" s="16" t="n"/>
      <c r="I391" s="16" t="n"/>
      <c r="J391" s="16" t="n"/>
      <c r="K391" s="16" t="n"/>
      <c r="L391" s="16" t="n"/>
      <c r="M391" s="16" t="n"/>
      <c r="N391" s="16" t="n"/>
      <c r="O391" s="16" t="n"/>
      <c r="P391" s="16" t="n"/>
      <c r="Q391" s="16" t="n"/>
    </row>
    <row r="392">
      <c r="A392" s="15">
        <f>IF(DATE(PlanYear,1,1)+386&lt;=DATE(PlanYear+1,1,31),DATE(PlanYear,1,1)+386,"")</f>
        <v/>
      </c>
      <c r="B392" s="16" t="n"/>
      <c r="C392" s="16" t="n"/>
      <c r="D392" s="16" t="n"/>
      <c r="E392" s="16" t="n"/>
      <c r="F392" s="16" t="n"/>
      <c r="G392" s="16" t="n"/>
      <c r="H392" s="16" t="n"/>
      <c r="I392" s="16" t="n"/>
      <c r="J392" s="16" t="n"/>
      <c r="K392" s="16" t="n"/>
      <c r="L392" s="16" t="n"/>
      <c r="M392" s="16" t="n"/>
      <c r="N392" s="16" t="n"/>
      <c r="O392" s="16" t="n"/>
      <c r="P392" s="16" t="n"/>
      <c r="Q392" s="16" t="n"/>
    </row>
    <row r="393">
      <c r="A393" s="15">
        <f>IF(DATE(PlanYear,1,1)+387&lt;=DATE(PlanYear+1,1,31),DATE(PlanYear,1,1)+387,"")</f>
        <v/>
      </c>
      <c r="B393" s="16" t="n"/>
      <c r="C393" s="16" t="n"/>
      <c r="D393" s="16" t="n"/>
      <c r="E393" s="16" t="n"/>
      <c r="F393" s="16" t="n"/>
      <c r="G393" s="16" t="n"/>
      <c r="H393" s="16" t="n"/>
      <c r="I393" s="16" t="n"/>
      <c r="J393" s="16" t="n"/>
      <c r="K393" s="16" t="n"/>
      <c r="L393" s="16" t="n"/>
      <c r="M393" s="16" t="n"/>
      <c r="N393" s="16" t="n"/>
      <c r="O393" s="16" t="n"/>
      <c r="P393" s="16" t="n"/>
      <c r="Q393" s="16" t="n"/>
    </row>
    <row r="394">
      <c r="A394" s="15">
        <f>IF(DATE(PlanYear,1,1)+388&lt;=DATE(PlanYear+1,1,31),DATE(PlanYear,1,1)+388,"")</f>
        <v/>
      </c>
      <c r="B394" s="16" t="n"/>
      <c r="C394" s="16" t="n"/>
      <c r="D394" s="16" t="n"/>
      <c r="E394" s="16" t="n"/>
      <c r="F394" s="16" t="n"/>
      <c r="G394" s="16" t="n"/>
      <c r="H394" s="16" t="n"/>
      <c r="I394" s="16" t="n"/>
      <c r="J394" s="16" t="n"/>
      <c r="K394" s="16" t="n"/>
      <c r="L394" s="16" t="n"/>
      <c r="M394" s="16" t="n"/>
      <c r="N394" s="16" t="n"/>
      <c r="O394" s="16" t="n"/>
      <c r="P394" s="16" t="n"/>
      <c r="Q394" s="16" t="n"/>
    </row>
    <row r="395">
      <c r="A395" s="15">
        <f>IF(DATE(PlanYear,1,1)+389&lt;=DATE(PlanYear+1,1,31),DATE(PlanYear,1,1)+389,"")</f>
        <v/>
      </c>
      <c r="B395" s="16" t="n"/>
      <c r="C395" s="16" t="n"/>
      <c r="D395" s="16" t="n"/>
      <c r="E395" s="16" t="n"/>
      <c r="F395" s="16" t="n"/>
      <c r="G395" s="16" t="n"/>
      <c r="H395" s="16" t="n"/>
      <c r="I395" s="16" t="n"/>
      <c r="J395" s="16" t="n"/>
      <c r="K395" s="16" t="n"/>
      <c r="L395" s="16" t="n"/>
      <c r="M395" s="16" t="n"/>
      <c r="N395" s="16" t="n"/>
      <c r="O395" s="16" t="n"/>
      <c r="P395" s="16" t="n"/>
      <c r="Q395" s="16" t="n"/>
    </row>
    <row r="396">
      <c r="A396" s="15">
        <f>IF(DATE(PlanYear,1,1)+390&lt;=DATE(PlanYear+1,1,31),DATE(PlanYear,1,1)+390,"")</f>
        <v/>
      </c>
      <c r="B396" s="16" t="n"/>
      <c r="C396" s="16" t="n"/>
      <c r="D396" s="16" t="n"/>
      <c r="E396" s="16" t="n"/>
      <c r="F396" s="16" t="n"/>
      <c r="G396" s="16" t="n"/>
      <c r="H396" s="16" t="n"/>
      <c r="I396" s="16" t="n"/>
      <c r="J396" s="16" t="n"/>
      <c r="K396" s="16" t="n"/>
      <c r="L396" s="16" t="n"/>
      <c r="M396" s="16" t="n"/>
      <c r="N396" s="16" t="n"/>
      <c r="O396" s="16" t="n"/>
      <c r="P396" s="16" t="n"/>
      <c r="Q396" s="16" t="n"/>
    </row>
    <row r="397">
      <c r="A397" s="15">
        <f>IF(DATE(PlanYear,1,1)+391&lt;=DATE(PlanYear+1,1,31),DATE(PlanYear,1,1)+391,"")</f>
        <v/>
      </c>
      <c r="B397" s="16" t="n"/>
      <c r="C397" s="16" t="n"/>
      <c r="D397" s="16" t="n"/>
      <c r="E397" s="16" t="n"/>
      <c r="F397" s="16" t="n"/>
      <c r="G397" s="16" t="n"/>
      <c r="H397" s="16" t="n"/>
      <c r="I397" s="16" t="n"/>
      <c r="J397" s="16" t="n"/>
      <c r="K397" s="16" t="n"/>
      <c r="L397" s="16" t="n"/>
      <c r="M397" s="16" t="n"/>
      <c r="N397" s="16" t="n"/>
      <c r="O397" s="16" t="n"/>
      <c r="P397" s="16" t="n"/>
      <c r="Q397" s="16" t="n"/>
    </row>
    <row r="398">
      <c r="A398" s="15">
        <f>IF(DATE(PlanYear,1,1)+392&lt;=DATE(PlanYear+1,1,31),DATE(PlanYear,1,1)+392,"")</f>
        <v/>
      </c>
      <c r="B398" s="16" t="n"/>
      <c r="C398" s="16" t="n"/>
      <c r="D398" s="16" t="n"/>
      <c r="E398" s="16" t="n"/>
      <c r="F398" s="16" t="n"/>
      <c r="G398" s="16" t="n"/>
      <c r="H398" s="16" t="n"/>
      <c r="I398" s="16" t="n"/>
      <c r="J398" s="16" t="n"/>
      <c r="K398" s="16" t="n"/>
      <c r="L398" s="16" t="n"/>
      <c r="M398" s="16" t="n"/>
      <c r="N398" s="16" t="n"/>
      <c r="O398" s="16" t="n"/>
      <c r="P398" s="16" t="n"/>
      <c r="Q398" s="16" t="n"/>
    </row>
    <row r="399">
      <c r="A399" s="15">
        <f>IF(DATE(PlanYear,1,1)+393&lt;=DATE(PlanYear+1,1,31),DATE(PlanYear,1,1)+393,"")</f>
        <v/>
      </c>
      <c r="B399" s="16" t="n"/>
      <c r="C399" s="16" t="n"/>
      <c r="D399" s="16" t="n"/>
      <c r="E399" s="16" t="n"/>
      <c r="F399" s="16" t="n"/>
      <c r="G399" s="16" t="n"/>
      <c r="H399" s="16" t="n"/>
      <c r="I399" s="16" t="n"/>
      <c r="J399" s="16" t="n"/>
      <c r="K399" s="16" t="n"/>
      <c r="L399" s="16" t="n"/>
      <c r="M399" s="16" t="n"/>
      <c r="N399" s="16" t="n"/>
      <c r="O399" s="16" t="n"/>
      <c r="P399" s="16" t="n"/>
      <c r="Q399" s="16" t="n"/>
    </row>
    <row r="400">
      <c r="A400" s="15">
        <f>IF(DATE(PlanYear,1,1)+394&lt;=DATE(PlanYear+1,1,31),DATE(PlanYear,1,1)+394,"")</f>
        <v/>
      </c>
      <c r="B400" s="16" t="n"/>
      <c r="C400" s="16" t="n"/>
      <c r="D400" s="16" t="n"/>
      <c r="E400" s="16" t="n"/>
      <c r="F400" s="16" t="n"/>
      <c r="G400" s="16" t="n"/>
      <c r="H400" s="16" t="n"/>
      <c r="I400" s="16" t="n"/>
      <c r="J400" s="16" t="n"/>
      <c r="K400" s="16" t="n"/>
      <c r="L400" s="16" t="n"/>
      <c r="M400" s="16" t="n"/>
      <c r="N400" s="16" t="n"/>
      <c r="O400" s="16" t="n"/>
      <c r="P400" s="16" t="n"/>
      <c r="Q400" s="16" t="n"/>
    </row>
    <row r="401">
      <c r="A401" s="15">
        <f>IF(DATE(PlanYear,1,1)+395&lt;=DATE(PlanYear+1,1,31),DATE(PlanYear,1,1)+395,"")</f>
        <v/>
      </c>
      <c r="B401" s="16" t="n"/>
      <c r="C401" s="16" t="n"/>
      <c r="D401" s="16" t="n"/>
      <c r="E401" s="16" t="n"/>
      <c r="F401" s="16" t="n"/>
      <c r="G401" s="16" t="n"/>
      <c r="H401" s="16" t="n"/>
      <c r="I401" s="16" t="n"/>
      <c r="J401" s="16" t="n"/>
      <c r="K401" s="16" t="n"/>
      <c r="L401" s="16" t="n"/>
      <c r="M401" s="16" t="n"/>
      <c r="N401" s="16" t="n"/>
      <c r="O401" s="16" t="n"/>
      <c r="P401" s="16" t="n"/>
      <c r="Q401" s="16" t="n"/>
    </row>
    <row r="402">
      <c r="A402" s="15">
        <f>IF(DATE(PlanYear,1,1)+396&lt;=DATE(PlanYear+1,1,31),DATE(PlanYear,1,1)+396,"")</f>
        <v/>
      </c>
      <c r="B402" s="16" t="n"/>
      <c r="C402" s="16" t="n"/>
      <c r="D402" s="16" t="n"/>
      <c r="E402" s="16" t="n"/>
      <c r="F402" s="16" t="n"/>
      <c r="G402" s="16" t="n"/>
      <c r="H402" s="16" t="n"/>
      <c r="I402" s="16" t="n"/>
      <c r="J402" s="16" t="n"/>
      <c r="K402" s="16" t="n"/>
      <c r="L402" s="16" t="n"/>
      <c r="M402" s="16" t="n"/>
      <c r="N402" s="16" t="n"/>
      <c r="O402" s="16" t="n"/>
      <c r="P402" s="16" t="n"/>
      <c r="Q402" s="16" t="n"/>
    </row>
  </sheetData>
  <mergeCells count="2">
    <mergeCell ref="A2:Q2"/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C2626"/>
    <outlinePr summaryBelow="1" summaryRight="1"/>
    <pageSetUpPr/>
  </sheetPr>
  <dimension ref="A1:F5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6" customWidth="1" min="4" max="4"/>
    <col width="14" customWidth="1" min="5" max="5"/>
    <col width="40" customWidth="1" min="6" max="6"/>
  </cols>
  <sheetData>
    <row r="1" ht="30" customHeight="1">
      <c r="A1" s="1" t="inlineStr">
        <is>
          <t>MEDICAL CHITS  |  RECORDED IN THE OPS ROOM</t>
        </is>
      </c>
      <c r="B1" s="2" t="n"/>
      <c r="C1" s="2" t="n"/>
      <c r="D1" s="2" t="n"/>
      <c r="E1" s="2" t="n"/>
      <c r="F1" s="2" t="n"/>
    </row>
    <row r="2" ht="18" customHeight="1">
      <c r="A2" s="3" t="inlineStr">
        <is>
          <t>Up-chits made in the Ops Room for departments whose own planner has no Medical Chits sheet yet. Up-chit date = first day fit to fly.</t>
        </is>
      </c>
      <c r="B2" s="2" t="n"/>
      <c r="C2" s="2" t="n"/>
      <c r="D2" s="2" t="n"/>
      <c r="E2" s="2" t="n"/>
      <c r="F2" s="2" t="n"/>
    </row>
    <row r="5">
      <c r="A5" s="11" t="inlineStr">
        <is>
          <t>Department</t>
        </is>
      </c>
      <c r="B5" s="11" t="inlineStr">
        <is>
          <t>Callsign</t>
        </is>
      </c>
      <c r="C5" s="11" t="inlineStr">
        <is>
          <t>Down-chit</t>
        </is>
      </c>
      <c r="D5" s="11" t="inlineStr">
        <is>
          <t>Up-chit</t>
        </is>
      </c>
      <c r="E5" s="11" t="inlineStr">
        <is>
          <t>Up-chitted by</t>
        </is>
      </c>
      <c r="F5" s="11" t="inlineStr">
        <is>
          <t>Remarks</t>
        </is>
      </c>
    </row>
    <row r="6">
      <c r="C6" s="10" t="n"/>
      <c r="D6" s="10" t="n"/>
    </row>
    <row r="7">
      <c r="C7" s="10" t="n"/>
      <c r="D7" s="10" t="n"/>
    </row>
    <row r="8">
      <c r="C8" s="10" t="n"/>
      <c r="D8" s="10" t="n"/>
    </row>
    <row r="9">
      <c r="C9" s="10" t="n"/>
      <c r="D9" s="10" t="n"/>
    </row>
    <row r="10">
      <c r="C10" s="10" t="n"/>
      <c r="D10" s="10" t="n"/>
    </row>
    <row r="11">
      <c r="C11" s="10" t="n"/>
      <c r="D11" s="10" t="n"/>
    </row>
    <row r="12">
      <c r="C12" s="10" t="n"/>
      <c r="D12" s="10" t="n"/>
    </row>
    <row r="13">
      <c r="C13" s="10" t="n"/>
      <c r="D13" s="10" t="n"/>
    </row>
    <row r="14">
      <c r="C14" s="10" t="n"/>
      <c r="D14" s="10" t="n"/>
    </row>
    <row r="15">
      <c r="C15" s="10" t="n"/>
      <c r="D15" s="10" t="n"/>
    </row>
    <row r="16">
      <c r="C16" s="10" t="n"/>
      <c r="D16" s="10" t="n"/>
    </row>
    <row r="17">
      <c r="C17" s="10" t="n"/>
      <c r="D17" s="10" t="n"/>
    </row>
    <row r="18">
      <c r="C18" s="10" t="n"/>
      <c r="D18" s="10" t="n"/>
    </row>
    <row r="19">
      <c r="C19" s="10" t="n"/>
      <c r="D19" s="10" t="n"/>
    </row>
    <row r="20">
      <c r="C20" s="10" t="n"/>
      <c r="D20" s="10" t="n"/>
    </row>
    <row r="21">
      <c r="C21" s="10" t="n"/>
      <c r="D21" s="10" t="n"/>
    </row>
    <row r="22">
      <c r="C22" s="10" t="n"/>
      <c r="D22" s="10" t="n"/>
    </row>
    <row r="23">
      <c r="C23" s="10" t="n"/>
      <c r="D23" s="10" t="n"/>
    </row>
    <row r="24">
      <c r="C24" s="10" t="n"/>
      <c r="D24" s="10" t="n"/>
    </row>
    <row r="25">
      <c r="C25" s="10" t="n"/>
      <c r="D25" s="10" t="n"/>
    </row>
    <row r="26">
      <c r="C26" s="10" t="n"/>
      <c r="D26" s="10" t="n"/>
    </row>
    <row r="27">
      <c r="C27" s="10" t="n"/>
      <c r="D27" s="10" t="n"/>
    </row>
    <row r="28">
      <c r="C28" s="10" t="n"/>
      <c r="D28" s="10" t="n"/>
    </row>
    <row r="29">
      <c r="C29" s="10" t="n"/>
      <c r="D29" s="10" t="n"/>
    </row>
    <row r="30">
      <c r="C30" s="10" t="n"/>
      <c r="D30" s="10" t="n"/>
    </row>
    <row r="31">
      <c r="C31" s="10" t="n"/>
      <c r="D31" s="10" t="n"/>
    </row>
    <row r="32">
      <c r="C32" s="10" t="n"/>
      <c r="D32" s="10" t="n"/>
    </row>
    <row r="33">
      <c r="C33" s="10" t="n"/>
      <c r="D33" s="10" t="n"/>
    </row>
    <row r="34">
      <c r="C34" s="10" t="n"/>
      <c r="D34" s="10" t="n"/>
    </row>
    <row r="35">
      <c r="C35" s="10" t="n"/>
      <c r="D35" s="10" t="n"/>
    </row>
    <row r="36">
      <c r="C36" s="10" t="n"/>
      <c r="D36" s="10" t="n"/>
    </row>
    <row r="37">
      <c r="C37" s="10" t="n"/>
      <c r="D37" s="10" t="n"/>
    </row>
    <row r="38">
      <c r="C38" s="10" t="n"/>
      <c r="D38" s="10" t="n"/>
    </row>
    <row r="39">
      <c r="C39" s="10" t="n"/>
      <c r="D39" s="10" t="n"/>
    </row>
    <row r="40">
      <c r="C40" s="10" t="n"/>
      <c r="D40" s="10" t="n"/>
    </row>
    <row r="41">
      <c r="C41" s="10" t="n"/>
      <c r="D41" s="10" t="n"/>
    </row>
    <row r="42">
      <c r="C42" s="10" t="n"/>
      <c r="D42" s="10" t="n"/>
    </row>
    <row r="43">
      <c r="C43" s="10" t="n"/>
      <c r="D43" s="10" t="n"/>
    </row>
    <row r="44">
      <c r="C44" s="10" t="n"/>
      <c r="D44" s="10" t="n"/>
    </row>
    <row r="45">
      <c r="C45" s="10" t="n"/>
      <c r="D45" s="10" t="n"/>
    </row>
    <row r="46">
      <c r="C46" s="10" t="n"/>
      <c r="D46" s="10" t="n"/>
    </row>
    <row r="47">
      <c r="C47" s="10" t="n"/>
      <c r="D47" s="10" t="n"/>
    </row>
    <row r="48">
      <c r="C48" s="10" t="n"/>
      <c r="D48" s="10" t="n"/>
    </row>
    <row r="49">
      <c r="C49" s="10" t="n"/>
      <c r="D49" s="10" t="n"/>
    </row>
    <row r="50">
      <c r="C50" s="10" t="n"/>
      <c r="D50" s="10" t="n"/>
    </row>
    <row r="51">
      <c r="C51" s="10" t="n"/>
      <c r="D51" s="10" t="n"/>
    </row>
    <row r="52">
      <c r="C52" s="10" t="n"/>
      <c r="D52" s="10" t="n"/>
    </row>
    <row r="53">
      <c r="C53" s="10" t="n"/>
      <c r="D53" s="10" t="n"/>
    </row>
    <row r="54">
      <c r="C54" s="10" t="n"/>
      <c r="D54" s="10" t="n"/>
    </row>
    <row r="55">
      <c r="C55" s="10" t="n"/>
      <c r="D55" s="10" t="n"/>
    </row>
    <row r="56">
      <c r="C56" s="10" t="n"/>
      <c r="D56" s="10" t="n"/>
    </row>
    <row r="57">
      <c r="C57" s="10" t="n"/>
      <c r="D57" s="10" t="n"/>
    </row>
    <row r="58">
      <c r="C58" s="10" t="n"/>
      <c r="D58" s="10" t="n"/>
    </row>
    <row r="59">
      <c r="C59" s="10" t="n"/>
      <c r="D59" s="10" t="n"/>
    </row>
    <row r="60">
      <c r="C60" s="10" t="n"/>
      <c r="D60" s="10" t="n"/>
    </row>
    <row r="61">
      <c r="C61" s="10" t="n"/>
      <c r="D61" s="10" t="n"/>
    </row>
    <row r="62">
      <c r="C62" s="10" t="n"/>
      <c r="D62" s="10" t="n"/>
    </row>
    <row r="63">
      <c r="C63" s="10" t="n"/>
      <c r="D63" s="10" t="n"/>
    </row>
    <row r="64">
      <c r="C64" s="10" t="n"/>
      <c r="D64" s="10" t="n"/>
    </row>
    <row r="65">
      <c r="C65" s="10" t="n"/>
      <c r="D65" s="10" t="n"/>
    </row>
    <row r="66">
      <c r="C66" s="10" t="n"/>
      <c r="D66" s="10" t="n"/>
    </row>
    <row r="67">
      <c r="C67" s="10" t="n"/>
      <c r="D67" s="10" t="n"/>
    </row>
    <row r="68">
      <c r="C68" s="10" t="n"/>
      <c r="D68" s="10" t="n"/>
    </row>
    <row r="69">
      <c r="C69" s="10" t="n"/>
      <c r="D69" s="10" t="n"/>
    </row>
    <row r="70">
      <c r="C70" s="10" t="n"/>
      <c r="D70" s="10" t="n"/>
    </row>
    <row r="71">
      <c r="C71" s="10" t="n"/>
      <c r="D71" s="10" t="n"/>
    </row>
    <row r="72">
      <c r="C72" s="10" t="n"/>
      <c r="D72" s="10" t="n"/>
    </row>
    <row r="73">
      <c r="C73" s="10" t="n"/>
      <c r="D73" s="10" t="n"/>
    </row>
    <row r="74">
      <c r="C74" s="10" t="n"/>
      <c r="D74" s="10" t="n"/>
    </row>
    <row r="75">
      <c r="C75" s="10" t="n"/>
      <c r="D75" s="10" t="n"/>
    </row>
    <row r="76">
      <c r="C76" s="10" t="n"/>
      <c r="D76" s="10" t="n"/>
    </row>
    <row r="77">
      <c r="C77" s="10" t="n"/>
      <c r="D77" s="10" t="n"/>
    </row>
    <row r="78">
      <c r="C78" s="10" t="n"/>
      <c r="D78" s="10" t="n"/>
    </row>
    <row r="79">
      <c r="C79" s="10" t="n"/>
      <c r="D79" s="10" t="n"/>
    </row>
    <row r="80">
      <c r="C80" s="10" t="n"/>
      <c r="D80" s="10" t="n"/>
    </row>
    <row r="81">
      <c r="C81" s="10" t="n"/>
      <c r="D81" s="10" t="n"/>
    </row>
    <row r="82">
      <c r="C82" s="10" t="n"/>
      <c r="D82" s="10" t="n"/>
    </row>
    <row r="83">
      <c r="C83" s="10" t="n"/>
      <c r="D83" s="10" t="n"/>
    </row>
    <row r="84">
      <c r="C84" s="10" t="n"/>
      <c r="D84" s="10" t="n"/>
    </row>
    <row r="85">
      <c r="C85" s="10" t="n"/>
      <c r="D85" s="10" t="n"/>
    </row>
    <row r="86">
      <c r="C86" s="10" t="n"/>
      <c r="D86" s="10" t="n"/>
    </row>
    <row r="87">
      <c r="C87" s="10" t="n"/>
      <c r="D87" s="10" t="n"/>
    </row>
    <row r="88">
      <c r="C88" s="10" t="n"/>
      <c r="D88" s="10" t="n"/>
    </row>
    <row r="89">
      <c r="C89" s="10" t="n"/>
      <c r="D89" s="10" t="n"/>
    </row>
    <row r="90">
      <c r="C90" s="10" t="n"/>
      <c r="D90" s="10" t="n"/>
    </row>
    <row r="91">
      <c r="C91" s="10" t="n"/>
      <c r="D91" s="10" t="n"/>
    </row>
    <row r="92">
      <c r="C92" s="10" t="n"/>
      <c r="D92" s="10" t="n"/>
    </row>
    <row r="93">
      <c r="C93" s="10" t="n"/>
      <c r="D93" s="10" t="n"/>
    </row>
    <row r="94">
      <c r="C94" s="10" t="n"/>
      <c r="D94" s="10" t="n"/>
    </row>
    <row r="95">
      <c r="C95" s="10" t="n"/>
      <c r="D95" s="10" t="n"/>
    </row>
    <row r="96">
      <c r="C96" s="10" t="n"/>
      <c r="D96" s="10" t="n"/>
    </row>
    <row r="97">
      <c r="C97" s="10" t="n"/>
      <c r="D97" s="10" t="n"/>
    </row>
    <row r="98">
      <c r="C98" s="10" t="n"/>
      <c r="D98" s="10" t="n"/>
    </row>
    <row r="99">
      <c r="C99" s="10" t="n"/>
      <c r="D99" s="10" t="n"/>
    </row>
    <row r="100">
      <c r="C100" s="10" t="n"/>
      <c r="D100" s="10" t="n"/>
    </row>
    <row r="101">
      <c r="C101" s="10" t="n"/>
      <c r="D101" s="10" t="n"/>
    </row>
    <row r="102">
      <c r="C102" s="10" t="n"/>
      <c r="D102" s="10" t="n"/>
    </row>
    <row r="103">
      <c r="C103" s="10" t="n"/>
      <c r="D103" s="10" t="n"/>
    </row>
    <row r="104">
      <c r="C104" s="10" t="n"/>
      <c r="D104" s="10" t="n"/>
    </row>
    <row r="105">
      <c r="C105" s="10" t="n"/>
      <c r="D105" s="10" t="n"/>
    </row>
    <row r="106">
      <c r="C106" s="10" t="n"/>
      <c r="D106" s="10" t="n"/>
    </row>
    <row r="107">
      <c r="C107" s="10" t="n"/>
      <c r="D107" s="10" t="n"/>
    </row>
    <row r="108">
      <c r="C108" s="10" t="n"/>
      <c r="D108" s="10" t="n"/>
    </row>
    <row r="109">
      <c r="C109" s="10" t="n"/>
      <c r="D109" s="10" t="n"/>
    </row>
    <row r="110">
      <c r="C110" s="10" t="n"/>
      <c r="D110" s="10" t="n"/>
    </row>
    <row r="111">
      <c r="C111" s="10" t="n"/>
      <c r="D111" s="10" t="n"/>
    </row>
    <row r="112">
      <c r="C112" s="10" t="n"/>
      <c r="D112" s="10" t="n"/>
    </row>
    <row r="113">
      <c r="C113" s="10" t="n"/>
      <c r="D113" s="10" t="n"/>
    </row>
    <row r="114">
      <c r="C114" s="10" t="n"/>
      <c r="D114" s="10" t="n"/>
    </row>
    <row r="115">
      <c r="C115" s="10" t="n"/>
      <c r="D115" s="10" t="n"/>
    </row>
    <row r="116">
      <c r="C116" s="10" t="n"/>
      <c r="D116" s="10" t="n"/>
    </row>
    <row r="117">
      <c r="C117" s="10" t="n"/>
      <c r="D117" s="10" t="n"/>
    </row>
    <row r="118">
      <c r="C118" s="10" t="n"/>
      <c r="D118" s="10" t="n"/>
    </row>
    <row r="119">
      <c r="C119" s="10" t="n"/>
      <c r="D119" s="10" t="n"/>
    </row>
    <row r="120">
      <c r="C120" s="10" t="n"/>
      <c r="D120" s="10" t="n"/>
    </row>
    <row r="121">
      <c r="C121" s="10" t="n"/>
      <c r="D121" s="10" t="n"/>
    </row>
    <row r="122">
      <c r="C122" s="10" t="n"/>
      <c r="D122" s="10" t="n"/>
    </row>
    <row r="123">
      <c r="C123" s="10" t="n"/>
      <c r="D123" s="10" t="n"/>
    </row>
    <row r="124">
      <c r="C124" s="10" t="n"/>
      <c r="D124" s="10" t="n"/>
    </row>
    <row r="125">
      <c r="C125" s="10" t="n"/>
      <c r="D125" s="10" t="n"/>
    </row>
    <row r="126">
      <c r="C126" s="10" t="n"/>
      <c r="D126" s="10" t="n"/>
    </row>
    <row r="127">
      <c r="C127" s="10" t="n"/>
      <c r="D127" s="10" t="n"/>
    </row>
    <row r="128">
      <c r="C128" s="10" t="n"/>
      <c r="D128" s="10" t="n"/>
    </row>
    <row r="129">
      <c r="C129" s="10" t="n"/>
      <c r="D129" s="10" t="n"/>
    </row>
    <row r="130">
      <c r="C130" s="10" t="n"/>
      <c r="D130" s="10" t="n"/>
    </row>
    <row r="131">
      <c r="C131" s="10" t="n"/>
      <c r="D131" s="10" t="n"/>
    </row>
    <row r="132">
      <c r="C132" s="10" t="n"/>
      <c r="D132" s="10" t="n"/>
    </row>
    <row r="133">
      <c r="C133" s="10" t="n"/>
      <c r="D133" s="10" t="n"/>
    </row>
    <row r="134">
      <c r="C134" s="10" t="n"/>
      <c r="D134" s="10" t="n"/>
    </row>
    <row r="135">
      <c r="C135" s="10" t="n"/>
      <c r="D135" s="10" t="n"/>
    </row>
    <row r="136">
      <c r="C136" s="10" t="n"/>
      <c r="D136" s="10" t="n"/>
    </row>
    <row r="137">
      <c r="C137" s="10" t="n"/>
      <c r="D137" s="10" t="n"/>
    </row>
    <row r="138">
      <c r="C138" s="10" t="n"/>
      <c r="D138" s="10" t="n"/>
    </row>
    <row r="139">
      <c r="C139" s="10" t="n"/>
      <c r="D139" s="10" t="n"/>
    </row>
    <row r="140">
      <c r="C140" s="10" t="n"/>
      <c r="D140" s="10" t="n"/>
    </row>
    <row r="141">
      <c r="C141" s="10" t="n"/>
      <c r="D141" s="10" t="n"/>
    </row>
    <row r="142">
      <c r="C142" s="10" t="n"/>
      <c r="D142" s="10" t="n"/>
    </row>
    <row r="143">
      <c r="C143" s="10" t="n"/>
      <c r="D143" s="10" t="n"/>
    </row>
    <row r="144">
      <c r="C144" s="10" t="n"/>
      <c r="D144" s="10" t="n"/>
    </row>
    <row r="145">
      <c r="C145" s="10" t="n"/>
      <c r="D145" s="10" t="n"/>
    </row>
    <row r="146">
      <c r="C146" s="10" t="n"/>
      <c r="D146" s="10" t="n"/>
    </row>
    <row r="147">
      <c r="C147" s="10" t="n"/>
      <c r="D147" s="10" t="n"/>
    </row>
    <row r="148">
      <c r="C148" s="10" t="n"/>
      <c r="D148" s="10" t="n"/>
    </row>
    <row r="149">
      <c r="C149" s="10" t="n"/>
      <c r="D149" s="10" t="n"/>
    </row>
    <row r="150">
      <c r="C150" s="10" t="n"/>
      <c r="D150" s="10" t="n"/>
    </row>
    <row r="151">
      <c r="C151" s="10" t="n"/>
      <c r="D151" s="10" t="n"/>
    </row>
    <row r="152">
      <c r="C152" s="10" t="n"/>
      <c r="D152" s="10" t="n"/>
    </row>
    <row r="153">
      <c r="C153" s="10" t="n"/>
      <c r="D153" s="10" t="n"/>
    </row>
    <row r="154">
      <c r="C154" s="10" t="n"/>
      <c r="D154" s="10" t="n"/>
    </row>
    <row r="155">
      <c r="C155" s="10" t="n"/>
      <c r="D155" s="10" t="n"/>
    </row>
    <row r="156">
      <c r="C156" s="10" t="n"/>
      <c r="D156" s="10" t="n"/>
    </row>
    <row r="157">
      <c r="C157" s="10" t="n"/>
      <c r="D157" s="10" t="n"/>
    </row>
    <row r="158">
      <c r="C158" s="10" t="n"/>
      <c r="D158" s="10" t="n"/>
    </row>
    <row r="159">
      <c r="C159" s="10" t="n"/>
      <c r="D159" s="10" t="n"/>
    </row>
    <row r="160">
      <c r="C160" s="10" t="n"/>
      <c r="D160" s="10" t="n"/>
    </row>
    <row r="161">
      <c r="C161" s="10" t="n"/>
      <c r="D161" s="10" t="n"/>
    </row>
    <row r="162">
      <c r="C162" s="10" t="n"/>
      <c r="D162" s="10" t="n"/>
    </row>
    <row r="163">
      <c r="C163" s="10" t="n"/>
      <c r="D163" s="10" t="n"/>
    </row>
    <row r="164">
      <c r="C164" s="10" t="n"/>
      <c r="D164" s="10" t="n"/>
    </row>
    <row r="165">
      <c r="C165" s="10" t="n"/>
      <c r="D165" s="10" t="n"/>
    </row>
    <row r="166">
      <c r="C166" s="10" t="n"/>
      <c r="D166" s="10" t="n"/>
    </row>
    <row r="167">
      <c r="C167" s="10" t="n"/>
      <c r="D167" s="10" t="n"/>
    </row>
    <row r="168">
      <c r="C168" s="10" t="n"/>
      <c r="D168" s="10" t="n"/>
    </row>
    <row r="169">
      <c r="C169" s="10" t="n"/>
      <c r="D169" s="10" t="n"/>
    </row>
    <row r="170">
      <c r="C170" s="10" t="n"/>
      <c r="D170" s="10" t="n"/>
    </row>
    <row r="171">
      <c r="C171" s="10" t="n"/>
      <c r="D171" s="10" t="n"/>
    </row>
    <row r="172">
      <c r="C172" s="10" t="n"/>
      <c r="D172" s="10" t="n"/>
    </row>
    <row r="173">
      <c r="C173" s="10" t="n"/>
      <c r="D173" s="10" t="n"/>
    </row>
    <row r="174">
      <c r="C174" s="10" t="n"/>
      <c r="D174" s="10" t="n"/>
    </row>
    <row r="175">
      <c r="C175" s="10" t="n"/>
      <c r="D175" s="10" t="n"/>
    </row>
    <row r="176">
      <c r="C176" s="10" t="n"/>
      <c r="D176" s="10" t="n"/>
    </row>
    <row r="177">
      <c r="C177" s="10" t="n"/>
      <c r="D177" s="10" t="n"/>
    </row>
    <row r="178">
      <c r="C178" s="10" t="n"/>
      <c r="D178" s="10" t="n"/>
    </row>
    <row r="179">
      <c r="C179" s="10" t="n"/>
      <c r="D179" s="10" t="n"/>
    </row>
    <row r="180">
      <c r="C180" s="10" t="n"/>
      <c r="D180" s="10" t="n"/>
    </row>
    <row r="181">
      <c r="C181" s="10" t="n"/>
      <c r="D181" s="10" t="n"/>
    </row>
    <row r="182">
      <c r="C182" s="10" t="n"/>
      <c r="D182" s="10" t="n"/>
    </row>
    <row r="183">
      <c r="C183" s="10" t="n"/>
      <c r="D183" s="10" t="n"/>
    </row>
    <row r="184">
      <c r="C184" s="10" t="n"/>
      <c r="D184" s="10" t="n"/>
    </row>
    <row r="185">
      <c r="C185" s="10" t="n"/>
      <c r="D185" s="10" t="n"/>
    </row>
    <row r="186">
      <c r="C186" s="10" t="n"/>
      <c r="D186" s="10" t="n"/>
    </row>
    <row r="187">
      <c r="C187" s="10" t="n"/>
      <c r="D187" s="10" t="n"/>
    </row>
    <row r="188">
      <c r="C188" s="10" t="n"/>
      <c r="D188" s="10" t="n"/>
    </row>
    <row r="189">
      <c r="C189" s="10" t="n"/>
      <c r="D189" s="10" t="n"/>
    </row>
    <row r="190">
      <c r="C190" s="10" t="n"/>
      <c r="D190" s="10" t="n"/>
    </row>
    <row r="191">
      <c r="C191" s="10" t="n"/>
      <c r="D191" s="10" t="n"/>
    </row>
    <row r="192">
      <c r="C192" s="10" t="n"/>
      <c r="D192" s="10" t="n"/>
    </row>
    <row r="193">
      <c r="C193" s="10" t="n"/>
      <c r="D193" s="10" t="n"/>
    </row>
    <row r="194">
      <c r="C194" s="10" t="n"/>
      <c r="D194" s="10" t="n"/>
    </row>
    <row r="195">
      <c r="C195" s="10" t="n"/>
      <c r="D195" s="10" t="n"/>
    </row>
    <row r="196">
      <c r="C196" s="10" t="n"/>
      <c r="D196" s="10" t="n"/>
    </row>
    <row r="197">
      <c r="C197" s="10" t="n"/>
      <c r="D197" s="10" t="n"/>
    </row>
    <row r="198">
      <c r="C198" s="10" t="n"/>
      <c r="D198" s="10" t="n"/>
    </row>
    <row r="199">
      <c r="C199" s="10" t="n"/>
      <c r="D199" s="10" t="n"/>
    </row>
    <row r="200">
      <c r="C200" s="10" t="n"/>
      <c r="D200" s="10" t="n"/>
    </row>
    <row r="201">
      <c r="C201" s="10" t="n"/>
      <c r="D201" s="10" t="n"/>
    </row>
    <row r="202">
      <c r="C202" s="10" t="n"/>
      <c r="D202" s="10" t="n"/>
    </row>
    <row r="203">
      <c r="C203" s="10" t="n"/>
      <c r="D203" s="10" t="n"/>
    </row>
    <row r="204">
      <c r="C204" s="10" t="n"/>
      <c r="D204" s="10" t="n"/>
    </row>
    <row r="205">
      <c r="C205" s="10" t="n"/>
      <c r="D205" s="10" t="n"/>
    </row>
    <row r="206">
      <c r="C206" s="10" t="n"/>
      <c r="D206" s="10" t="n"/>
    </row>
    <row r="207">
      <c r="C207" s="10" t="n"/>
      <c r="D207" s="10" t="n"/>
    </row>
    <row r="208">
      <c r="C208" s="10" t="n"/>
      <c r="D208" s="10" t="n"/>
    </row>
    <row r="209">
      <c r="C209" s="10" t="n"/>
      <c r="D209" s="10" t="n"/>
    </row>
    <row r="210">
      <c r="C210" s="10" t="n"/>
      <c r="D210" s="10" t="n"/>
    </row>
    <row r="211">
      <c r="C211" s="10" t="n"/>
      <c r="D211" s="10" t="n"/>
    </row>
    <row r="212">
      <c r="C212" s="10" t="n"/>
      <c r="D212" s="10" t="n"/>
    </row>
    <row r="213">
      <c r="C213" s="10" t="n"/>
      <c r="D213" s="10" t="n"/>
    </row>
    <row r="214">
      <c r="C214" s="10" t="n"/>
      <c r="D214" s="10" t="n"/>
    </row>
    <row r="215">
      <c r="C215" s="10" t="n"/>
      <c r="D215" s="10" t="n"/>
    </row>
    <row r="216">
      <c r="C216" s="10" t="n"/>
      <c r="D216" s="10" t="n"/>
    </row>
    <row r="217">
      <c r="C217" s="10" t="n"/>
      <c r="D217" s="10" t="n"/>
    </row>
    <row r="218">
      <c r="C218" s="10" t="n"/>
      <c r="D218" s="10" t="n"/>
    </row>
    <row r="219">
      <c r="C219" s="10" t="n"/>
      <c r="D219" s="10" t="n"/>
    </row>
    <row r="220">
      <c r="C220" s="10" t="n"/>
      <c r="D220" s="10" t="n"/>
    </row>
    <row r="221">
      <c r="C221" s="10" t="n"/>
      <c r="D221" s="10" t="n"/>
    </row>
    <row r="222">
      <c r="C222" s="10" t="n"/>
      <c r="D222" s="10" t="n"/>
    </row>
    <row r="223">
      <c r="C223" s="10" t="n"/>
      <c r="D223" s="10" t="n"/>
    </row>
    <row r="224">
      <c r="C224" s="10" t="n"/>
      <c r="D224" s="10" t="n"/>
    </row>
    <row r="225">
      <c r="C225" s="10" t="n"/>
      <c r="D225" s="10" t="n"/>
    </row>
    <row r="226">
      <c r="C226" s="10" t="n"/>
      <c r="D226" s="10" t="n"/>
    </row>
    <row r="227">
      <c r="C227" s="10" t="n"/>
      <c r="D227" s="10" t="n"/>
    </row>
    <row r="228">
      <c r="C228" s="10" t="n"/>
      <c r="D228" s="10" t="n"/>
    </row>
    <row r="229">
      <c r="C229" s="10" t="n"/>
      <c r="D229" s="10" t="n"/>
    </row>
    <row r="230">
      <c r="C230" s="10" t="n"/>
      <c r="D230" s="10" t="n"/>
    </row>
    <row r="231">
      <c r="C231" s="10" t="n"/>
      <c r="D231" s="10" t="n"/>
    </row>
    <row r="232">
      <c r="C232" s="10" t="n"/>
      <c r="D232" s="10" t="n"/>
    </row>
    <row r="233">
      <c r="C233" s="10" t="n"/>
      <c r="D233" s="10" t="n"/>
    </row>
    <row r="234">
      <c r="C234" s="10" t="n"/>
      <c r="D234" s="10" t="n"/>
    </row>
    <row r="235">
      <c r="C235" s="10" t="n"/>
      <c r="D235" s="10" t="n"/>
    </row>
    <row r="236">
      <c r="C236" s="10" t="n"/>
      <c r="D236" s="10" t="n"/>
    </row>
    <row r="237">
      <c r="C237" s="10" t="n"/>
      <c r="D237" s="10" t="n"/>
    </row>
    <row r="238">
      <c r="C238" s="10" t="n"/>
      <c r="D238" s="10" t="n"/>
    </row>
    <row r="239">
      <c r="C239" s="10" t="n"/>
      <c r="D239" s="10" t="n"/>
    </row>
    <row r="240">
      <c r="C240" s="10" t="n"/>
      <c r="D240" s="10" t="n"/>
    </row>
    <row r="241">
      <c r="C241" s="10" t="n"/>
      <c r="D241" s="10" t="n"/>
    </row>
    <row r="242">
      <c r="C242" s="10" t="n"/>
      <c r="D242" s="10" t="n"/>
    </row>
    <row r="243">
      <c r="C243" s="10" t="n"/>
      <c r="D243" s="10" t="n"/>
    </row>
    <row r="244">
      <c r="C244" s="10" t="n"/>
      <c r="D244" s="10" t="n"/>
    </row>
    <row r="245">
      <c r="C245" s="10" t="n"/>
      <c r="D245" s="10" t="n"/>
    </row>
    <row r="246">
      <c r="C246" s="10" t="n"/>
      <c r="D246" s="10" t="n"/>
    </row>
    <row r="247">
      <c r="C247" s="10" t="n"/>
      <c r="D247" s="10" t="n"/>
    </row>
    <row r="248">
      <c r="C248" s="10" t="n"/>
      <c r="D248" s="10" t="n"/>
    </row>
    <row r="249">
      <c r="C249" s="10" t="n"/>
      <c r="D249" s="10" t="n"/>
    </row>
    <row r="250">
      <c r="C250" s="10" t="n"/>
      <c r="D250" s="10" t="n"/>
    </row>
    <row r="251">
      <c r="C251" s="10" t="n"/>
      <c r="D251" s="10" t="n"/>
    </row>
    <row r="252">
      <c r="C252" s="10" t="n"/>
      <c r="D252" s="10" t="n"/>
    </row>
    <row r="253">
      <c r="C253" s="10" t="n"/>
      <c r="D253" s="10" t="n"/>
    </row>
    <row r="254">
      <c r="C254" s="10" t="n"/>
      <c r="D254" s="10" t="n"/>
    </row>
    <row r="255">
      <c r="C255" s="10" t="n"/>
      <c r="D255" s="10" t="n"/>
    </row>
    <row r="256">
      <c r="C256" s="10" t="n"/>
      <c r="D256" s="10" t="n"/>
    </row>
    <row r="257">
      <c r="C257" s="10" t="n"/>
      <c r="D257" s="10" t="n"/>
    </row>
    <row r="258">
      <c r="C258" s="10" t="n"/>
      <c r="D258" s="10" t="n"/>
    </row>
    <row r="259">
      <c r="C259" s="10" t="n"/>
      <c r="D259" s="10" t="n"/>
    </row>
    <row r="260">
      <c r="C260" s="10" t="n"/>
      <c r="D260" s="10" t="n"/>
    </row>
    <row r="261">
      <c r="C261" s="10" t="n"/>
      <c r="D261" s="10" t="n"/>
    </row>
    <row r="262">
      <c r="C262" s="10" t="n"/>
      <c r="D262" s="10" t="n"/>
    </row>
    <row r="263">
      <c r="C263" s="10" t="n"/>
      <c r="D263" s="10" t="n"/>
    </row>
    <row r="264">
      <c r="C264" s="10" t="n"/>
      <c r="D264" s="10" t="n"/>
    </row>
    <row r="265">
      <c r="C265" s="10" t="n"/>
      <c r="D265" s="10" t="n"/>
    </row>
    <row r="266">
      <c r="C266" s="10" t="n"/>
      <c r="D266" s="10" t="n"/>
    </row>
    <row r="267">
      <c r="C267" s="10" t="n"/>
      <c r="D267" s="10" t="n"/>
    </row>
    <row r="268">
      <c r="C268" s="10" t="n"/>
      <c r="D268" s="10" t="n"/>
    </row>
    <row r="269">
      <c r="C269" s="10" t="n"/>
      <c r="D269" s="10" t="n"/>
    </row>
    <row r="270">
      <c r="C270" s="10" t="n"/>
      <c r="D270" s="10" t="n"/>
    </row>
    <row r="271">
      <c r="C271" s="10" t="n"/>
      <c r="D271" s="10" t="n"/>
    </row>
    <row r="272">
      <c r="C272" s="10" t="n"/>
      <c r="D272" s="10" t="n"/>
    </row>
    <row r="273">
      <c r="C273" s="10" t="n"/>
      <c r="D273" s="10" t="n"/>
    </row>
    <row r="274">
      <c r="C274" s="10" t="n"/>
      <c r="D274" s="10" t="n"/>
    </row>
    <row r="275">
      <c r="C275" s="10" t="n"/>
      <c r="D275" s="10" t="n"/>
    </row>
    <row r="276">
      <c r="C276" s="10" t="n"/>
      <c r="D276" s="10" t="n"/>
    </row>
    <row r="277">
      <c r="C277" s="10" t="n"/>
      <c r="D277" s="10" t="n"/>
    </row>
    <row r="278">
      <c r="C278" s="10" t="n"/>
      <c r="D278" s="10" t="n"/>
    </row>
    <row r="279">
      <c r="C279" s="10" t="n"/>
      <c r="D279" s="10" t="n"/>
    </row>
    <row r="280">
      <c r="C280" s="10" t="n"/>
      <c r="D280" s="10" t="n"/>
    </row>
    <row r="281">
      <c r="C281" s="10" t="n"/>
      <c r="D281" s="10" t="n"/>
    </row>
    <row r="282">
      <c r="C282" s="10" t="n"/>
      <c r="D282" s="10" t="n"/>
    </row>
    <row r="283">
      <c r="C283" s="10" t="n"/>
      <c r="D283" s="10" t="n"/>
    </row>
    <row r="284">
      <c r="C284" s="10" t="n"/>
      <c r="D284" s="10" t="n"/>
    </row>
    <row r="285">
      <c r="C285" s="10" t="n"/>
      <c r="D285" s="10" t="n"/>
    </row>
    <row r="286">
      <c r="C286" s="10" t="n"/>
      <c r="D286" s="10" t="n"/>
    </row>
    <row r="287">
      <c r="C287" s="10" t="n"/>
      <c r="D287" s="10" t="n"/>
    </row>
    <row r="288">
      <c r="C288" s="10" t="n"/>
      <c r="D288" s="10" t="n"/>
    </row>
    <row r="289">
      <c r="C289" s="10" t="n"/>
      <c r="D289" s="10" t="n"/>
    </row>
    <row r="290">
      <c r="C290" s="10" t="n"/>
      <c r="D290" s="10" t="n"/>
    </row>
    <row r="291">
      <c r="C291" s="10" t="n"/>
      <c r="D291" s="10" t="n"/>
    </row>
    <row r="292">
      <c r="C292" s="10" t="n"/>
      <c r="D292" s="10" t="n"/>
    </row>
    <row r="293">
      <c r="C293" s="10" t="n"/>
      <c r="D293" s="10" t="n"/>
    </row>
    <row r="294">
      <c r="C294" s="10" t="n"/>
      <c r="D294" s="10" t="n"/>
    </row>
    <row r="295">
      <c r="C295" s="10" t="n"/>
      <c r="D295" s="10" t="n"/>
    </row>
    <row r="296">
      <c r="C296" s="10" t="n"/>
      <c r="D296" s="10" t="n"/>
    </row>
    <row r="297">
      <c r="C297" s="10" t="n"/>
      <c r="D297" s="10" t="n"/>
    </row>
    <row r="298">
      <c r="C298" s="10" t="n"/>
      <c r="D298" s="10" t="n"/>
    </row>
    <row r="299">
      <c r="C299" s="10" t="n"/>
      <c r="D299" s="10" t="n"/>
    </row>
    <row r="300">
      <c r="C300" s="10" t="n"/>
      <c r="D300" s="10" t="n"/>
    </row>
    <row r="301">
      <c r="C301" s="10" t="n"/>
      <c r="D301" s="10" t="n"/>
    </row>
    <row r="302">
      <c r="C302" s="10" t="n"/>
      <c r="D302" s="10" t="n"/>
    </row>
    <row r="303">
      <c r="C303" s="10" t="n"/>
      <c r="D303" s="10" t="n"/>
    </row>
    <row r="304">
      <c r="C304" s="10" t="n"/>
      <c r="D304" s="10" t="n"/>
    </row>
    <row r="305">
      <c r="C305" s="10" t="n"/>
      <c r="D305" s="10" t="n"/>
    </row>
    <row r="306">
      <c r="C306" s="10" t="n"/>
      <c r="D306" s="10" t="n"/>
    </row>
    <row r="307">
      <c r="C307" s="10" t="n"/>
      <c r="D307" s="10" t="n"/>
    </row>
    <row r="308">
      <c r="C308" s="10" t="n"/>
      <c r="D308" s="10" t="n"/>
    </row>
    <row r="309">
      <c r="C309" s="10" t="n"/>
      <c r="D309" s="10" t="n"/>
    </row>
    <row r="310">
      <c r="C310" s="10" t="n"/>
      <c r="D310" s="10" t="n"/>
    </row>
    <row r="311">
      <c r="C311" s="10" t="n"/>
      <c r="D311" s="10" t="n"/>
    </row>
    <row r="312">
      <c r="C312" s="10" t="n"/>
      <c r="D312" s="10" t="n"/>
    </row>
    <row r="313">
      <c r="C313" s="10" t="n"/>
      <c r="D313" s="10" t="n"/>
    </row>
    <row r="314">
      <c r="C314" s="10" t="n"/>
      <c r="D314" s="10" t="n"/>
    </row>
    <row r="315">
      <c r="C315" s="10" t="n"/>
      <c r="D315" s="10" t="n"/>
    </row>
    <row r="316">
      <c r="C316" s="10" t="n"/>
      <c r="D316" s="10" t="n"/>
    </row>
    <row r="317">
      <c r="C317" s="10" t="n"/>
      <c r="D317" s="10" t="n"/>
    </row>
    <row r="318">
      <c r="C318" s="10" t="n"/>
      <c r="D318" s="10" t="n"/>
    </row>
    <row r="319">
      <c r="C319" s="10" t="n"/>
      <c r="D319" s="10" t="n"/>
    </row>
    <row r="320">
      <c r="C320" s="10" t="n"/>
      <c r="D320" s="10" t="n"/>
    </row>
    <row r="321">
      <c r="C321" s="10" t="n"/>
      <c r="D321" s="10" t="n"/>
    </row>
    <row r="322">
      <c r="C322" s="10" t="n"/>
      <c r="D322" s="10" t="n"/>
    </row>
    <row r="323">
      <c r="C323" s="10" t="n"/>
      <c r="D323" s="10" t="n"/>
    </row>
    <row r="324">
      <c r="C324" s="10" t="n"/>
      <c r="D324" s="10" t="n"/>
    </row>
    <row r="325">
      <c r="C325" s="10" t="n"/>
      <c r="D325" s="10" t="n"/>
    </row>
    <row r="326">
      <c r="C326" s="10" t="n"/>
      <c r="D326" s="10" t="n"/>
    </row>
    <row r="327">
      <c r="C327" s="10" t="n"/>
      <c r="D327" s="10" t="n"/>
    </row>
    <row r="328">
      <c r="C328" s="10" t="n"/>
      <c r="D328" s="10" t="n"/>
    </row>
    <row r="329">
      <c r="C329" s="10" t="n"/>
      <c r="D329" s="10" t="n"/>
    </row>
    <row r="330">
      <c r="C330" s="10" t="n"/>
      <c r="D330" s="10" t="n"/>
    </row>
    <row r="331">
      <c r="C331" s="10" t="n"/>
      <c r="D331" s="10" t="n"/>
    </row>
    <row r="332">
      <c r="C332" s="10" t="n"/>
      <c r="D332" s="10" t="n"/>
    </row>
    <row r="333">
      <c r="C333" s="10" t="n"/>
      <c r="D333" s="10" t="n"/>
    </row>
    <row r="334">
      <c r="C334" s="10" t="n"/>
      <c r="D334" s="10" t="n"/>
    </row>
    <row r="335">
      <c r="C335" s="10" t="n"/>
      <c r="D335" s="10" t="n"/>
    </row>
    <row r="336">
      <c r="C336" s="10" t="n"/>
      <c r="D336" s="10" t="n"/>
    </row>
    <row r="337">
      <c r="C337" s="10" t="n"/>
      <c r="D337" s="10" t="n"/>
    </row>
    <row r="338">
      <c r="C338" s="10" t="n"/>
      <c r="D338" s="10" t="n"/>
    </row>
    <row r="339">
      <c r="C339" s="10" t="n"/>
      <c r="D339" s="10" t="n"/>
    </row>
    <row r="340">
      <c r="C340" s="10" t="n"/>
      <c r="D340" s="10" t="n"/>
    </row>
    <row r="341">
      <c r="C341" s="10" t="n"/>
      <c r="D341" s="10" t="n"/>
    </row>
    <row r="342">
      <c r="C342" s="10" t="n"/>
      <c r="D342" s="10" t="n"/>
    </row>
    <row r="343">
      <c r="C343" s="10" t="n"/>
      <c r="D343" s="10" t="n"/>
    </row>
    <row r="344">
      <c r="C344" s="10" t="n"/>
      <c r="D344" s="10" t="n"/>
    </row>
    <row r="345">
      <c r="C345" s="10" t="n"/>
      <c r="D345" s="10" t="n"/>
    </row>
    <row r="346">
      <c r="C346" s="10" t="n"/>
      <c r="D346" s="10" t="n"/>
    </row>
    <row r="347">
      <c r="C347" s="10" t="n"/>
      <c r="D347" s="10" t="n"/>
    </row>
    <row r="348">
      <c r="C348" s="10" t="n"/>
      <c r="D348" s="10" t="n"/>
    </row>
    <row r="349">
      <c r="C349" s="10" t="n"/>
      <c r="D349" s="10" t="n"/>
    </row>
    <row r="350">
      <c r="C350" s="10" t="n"/>
      <c r="D350" s="10" t="n"/>
    </row>
    <row r="351">
      <c r="C351" s="10" t="n"/>
      <c r="D351" s="10" t="n"/>
    </row>
    <row r="352">
      <c r="C352" s="10" t="n"/>
      <c r="D352" s="10" t="n"/>
    </row>
    <row r="353">
      <c r="C353" s="10" t="n"/>
      <c r="D353" s="10" t="n"/>
    </row>
    <row r="354">
      <c r="C354" s="10" t="n"/>
      <c r="D354" s="10" t="n"/>
    </row>
    <row r="355">
      <c r="C355" s="10" t="n"/>
      <c r="D355" s="10" t="n"/>
    </row>
    <row r="356">
      <c r="C356" s="10" t="n"/>
      <c r="D356" s="10" t="n"/>
    </row>
    <row r="357">
      <c r="C357" s="10" t="n"/>
      <c r="D357" s="10" t="n"/>
    </row>
    <row r="358">
      <c r="C358" s="10" t="n"/>
      <c r="D358" s="10" t="n"/>
    </row>
    <row r="359">
      <c r="C359" s="10" t="n"/>
      <c r="D359" s="10" t="n"/>
    </row>
    <row r="360">
      <c r="C360" s="10" t="n"/>
      <c r="D360" s="10" t="n"/>
    </row>
    <row r="361">
      <c r="C361" s="10" t="n"/>
      <c r="D361" s="10" t="n"/>
    </row>
    <row r="362">
      <c r="C362" s="10" t="n"/>
      <c r="D362" s="10" t="n"/>
    </row>
    <row r="363">
      <c r="C363" s="10" t="n"/>
      <c r="D363" s="10" t="n"/>
    </row>
    <row r="364">
      <c r="C364" s="10" t="n"/>
      <c r="D364" s="10" t="n"/>
    </row>
    <row r="365">
      <c r="C365" s="10" t="n"/>
      <c r="D365" s="10" t="n"/>
    </row>
    <row r="366">
      <c r="C366" s="10" t="n"/>
      <c r="D366" s="10" t="n"/>
    </row>
    <row r="367">
      <c r="C367" s="10" t="n"/>
      <c r="D367" s="10" t="n"/>
    </row>
    <row r="368">
      <c r="C368" s="10" t="n"/>
      <c r="D368" s="10" t="n"/>
    </row>
    <row r="369">
      <c r="C369" s="10" t="n"/>
      <c r="D369" s="10" t="n"/>
    </row>
    <row r="370">
      <c r="C370" s="10" t="n"/>
      <c r="D370" s="10" t="n"/>
    </row>
    <row r="371">
      <c r="C371" s="10" t="n"/>
      <c r="D371" s="10" t="n"/>
    </row>
    <row r="372">
      <c r="C372" s="10" t="n"/>
      <c r="D372" s="10" t="n"/>
    </row>
    <row r="373">
      <c r="C373" s="10" t="n"/>
      <c r="D373" s="10" t="n"/>
    </row>
    <row r="374">
      <c r="C374" s="10" t="n"/>
      <c r="D374" s="10" t="n"/>
    </row>
    <row r="375">
      <c r="C375" s="10" t="n"/>
      <c r="D375" s="10" t="n"/>
    </row>
    <row r="376">
      <c r="C376" s="10" t="n"/>
      <c r="D376" s="10" t="n"/>
    </row>
    <row r="377">
      <c r="C377" s="10" t="n"/>
      <c r="D377" s="10" t="n"/>
    </row>
    <row r="378">
      <c r="C378" s="10" t="n"/>
      <c r="D378" s="10" t="n"/>
    </row>
    <row r="379">
      <c r="C379" s="10" t="n"/>
      <c r="D379" s="10" t="n"/>
    </row>
    <row r="380">
      <c r="C380" s="10" t="n"/>
      <c r="D380" s="10" t="n"/>
    </row>
    <row r="381">
      <c r="C381" s="10" t="n"/>
      <c r="D381" s="10" t="n"/>
    </row>
    <row r="382">
      <c r="C382" s="10" t="n"/>
      <c r="D382" s="10" t="n"/>
    </row>
    <row r="383">
      <c r="C383" s="10" t="n"/>
      <c r="D383" s="10" t="n"/>
    </row>
    <row r="384">
      <c r="C384" s="10" t="n"/>
      <c r="D384" s="10" t="n"/>
    </row>
    <row r="385">
      <c r="C385" s="10" t="n"/>
      <c r="D385" s="10" t="n"/>
    </row>
    <row r="386">
      <c r="C386" s="10" t="n"/>
      <c r="D386" s="10" t="n"/>
    </row>
    <row r="387">
      <c r="C387" s="10" t="n"/>
      <c r="D387" s="10" t="n"/>
    </row>
    <row r="388">
      <c r="C388" s="10" t="n"/>
      <c r="D388" s="10" t="n"/>
    </row>
    <row r="389">
      <c r="C389" s="10" t="n"/>
      <c r="D389" s="10" t="n"/>
    </row>
    <row r="390">
      <c r="C390" s="10" t="n"/>
      <c r="D390" s="10" t="n"/>
    </row>
    <row r="391">
      <c r="C391" s="10" t="n"/>
      <c r="D391" s="10" t="n"/>
    </row>
    <row r="392">
      <c r="C392" s="10" t="n"/>
      <c r="D392" s="10" t="n"/>
    </row>
    <row r="393">
      <c r="C393" s="10" t="n"/>
      <c r="D393" s="10" t="n"/>
    </row>
    <row r="394">
      <c r="C394" s="10" t="n"/>
      <c r="D394" s="10" t="n"/>
    </row>
    <row r="395">
      <c r="C395" s="10" t="n"/>
      <c r="D395" s="10" t="n"/>
    </row>
    <row r="396">
      <c r="C396" s="10" t="n"/>
      <c r="D396" s="10" t="n"/>
    </row>
    <row r="397">
      <c r="C397" s="10" t="n"/>
      <c r="D397" s="10" t="n"/>
    </row>
    <row r="398">
      <c r="C398" s="10" t="n"/>
      <c r="D398" s="10" t="n"/>
    </row>
    <row r="399">
      <c r="C399" s="10" t="n"/>
      <c r="D399" s="10" t="n"/>
    </row>
    <row r="400">
      <c r="C400" s="10" t="n"/>
      <c r="D400" s="10" t="n"/>
    </row>
    <row r="401">
      <c r="C401" s="10" t="n"/>
      <c r="D401" s="10" t="n"/>
    </row>
    <row r="402">
      <c r="C402" s="10" t="n"/>
      <c r="D402" s="10" t="n"/>
    </row>
    <row r="403">
      <c r="C403" s="10" t="n"/>
      <c r="D403" s="10" t="n"/>
    </row>
    <row r="404">
      <c r="C404" s="10" t="n"/>
      <c r="D404" s="10" t="n"/>
    </row>
    <row r="405">
      <c r="C405" s="10" t="n"/>
      <c r="D405" s="10" t="n"/>
    </row>
    <row r="406">
      <c r="C406" s="10" t="n"/>
      <c r="D406" s="10" t="n"/>
    </row>
    <row r="407">
      <c r="C407" s="10" t="n"/>
      <c r="D407" s="10" t="n"/>
    </row>
    <row r="408">
      <c r="C408" s="10" t="n"/>
      <c r="D408" s="10" t="n"/>
    </row>
    <row r="409">
      <c r="C409" s="10" t="n"/>
      <c r="D409" s="10" t="n"/>
    </row>
    <row r="410">
      <c r="C410" s="10" t="n"/>
      <c r="D410" s="10" t="n"/>
    </row>
    <row r="411">
      <c r="C411" s="10" t="n"/>
      <c r="D411" s="10" t="n"/>
    </row>
    <row r="412">
      <c r="C412" s="10" t="n"/>
      <c r="D412" s="10" t="n"/>
    </row>
    <row r="413">
      <c r="C413" s="10" t="n"/>
      <c r="D413" s="10" t="n"/>
    </row>
    <row r="414">
      <c r="C414" s="10" t="n"/>
      <c r="D414" s="10" t="n"/>
    </row>
    <row r="415">
      <c r="C415" s="10" t="n"/>
      <c r="D415" s="10" t="n"/>
    </row>
    <row r="416">
      <c r="C416" s="10" t="n"/>
      <c r="D416" s="10" t="n"/>
    </row>
    <row r="417">
      <c r="C417" s="10" t="n"/>
      <c r="D417" s="10" t="n"/>
    </row>
    <row r="418">
      <c r="C418" s="10" t="n"/>
      <c r="D418" s="10" t="n"/>
    </row>
    <row r="419">
      <c r="C419" s="10" t="n"/>
      <c r="D419" s="10" t="n"/>
    </row>
    <row r="420">
      <c r="C420" s="10" t="n"/>
      <c r="D420" s="10" t="n"/>
    </row>
    <row r="421">
      <c r="C421" s="10" t="n"/>
      <c r="D421" s="10" t="n"/>
    </row>
    <row r="422">
      <c r="C422" s="10" t="n"/>
      <c r="D422" s="10" t="n"/>
    </row>
    <row r="423">
      <c r="C423" s="10" t="n"/>
      <c r="D423" s="10" t="n"/>
    </row>
    <row r="424">
      <c r="C424" s="10" t="n"/>
      <c r="D424" s="10" t="n"/>
    </row>
    <row r="425">
      <c r="C425" s="10" t="n"/>
      <c r="D425" s="10" t="n"/>
    </row>
    <row r="426">
      <c r="C426" s="10" t="n"/>
      <c r="D426" s="10" t="n"/>
    </row>
    <row r="427">
      <c r="C427" s="10" t="n"/>
      <c r="D427" s="10" t="n"/>
    </row>
    <row r="428">
      <c r="C428" s="10" t="n"/>
      <c r="D428" s="10" t="n"/>
    </row>
    <row r="429">
      <c r="C429" s="10" t="n"/>
      <c r="D429" s="10" t="n"/>
    </row>
    <row r="430">
      <c r="C430" s="10" t="n"/>
      <c r="D430" s="10" t="n"/>
    </row>
    <row r="431">
      <c r="C431" s="10" t="n"/>
      <c r="D431" s="10" t="n"/>
    </row>
    <row r="432">
      <c r="C432" s="10" t="n"/>
      <c r="D432" s="10" t="n"/>
    </row>
    <row r="433">
      <c r="C433" s="10" t="n"/>
      <c r="D433" s="10" t="n"/>
    </row>
    <row r="434">
      <c r="C434" s="10" t="n"/>
      <c r="D434" s="10" t="n"/>
    </row>
    <row r="435">
      <c r="C435" s="10" t="n"/>
      <c r="D435" s="10" t="n"/>
    </row>
    <row r="436">
      <c r="C436" s="10" t="n"/>
      <c r="D436" s="10" t="n"/>
    </row>
    <row r="437">
      <c r="C437" s="10" t="n"/>
      <c r="D437" s="10" t="n"/>
    </row>
    <row r="438">
      <c r="C438" s="10" t="n"/>
      <c r="D438" s="10" t="n"/>
    </row>
    <row r="439">
      <c r="C439" s="10" t="n"/>
      <c r="D439" s="10" t="n"/>
    </row>
    <row r="440">
      <c r="C440" s="10" t="n"/>
      <c r="D440" s="10" t="n"/>
    </row>
    <row r="441">
      <c r="C441" s="10" t="n"/>
      <c r="D441" s="10" t="n"/>
    </row>
    <row r="442">
      <c r="C442" s="10" t="n"/>
      <c r="D442" s="10" t="n"/>
    </row>
    <row r="443">
      <c r="C443" s="10" t="n"/>
      <c r="D443" s="10" t="n"/>
    </row>
    <row r="444">
      <c r="C444" s="10" t="n"/>
      <c r="D444" s="10" t="n"/>
    </row>
    <row r="445">
      <c r="C445" s="10" t="n"/>
      <c r="D445" s="10" t="n"/>
    </row>
    <row r="446">
      <c r="C446" s="10" t="n"/>
      <c r="D446" s="10" t="n"/>
    </row>
    <row r="447">
      <c r="C447" s="10" t="n"/>
      <c r="D447" s="10" t="n"/>
    </row>
    <row r="448">
      <c r="C448" s="10" t="n"/>
      <c r="D448" s="10" t="n"/>
    </row>
    <row r="449">
      <c r="C449" s="10" t="n"/>
      <c r="D449" s="10" t="n"/>
    </row>
    <row r="450">
      <c r="C450" s="10" t="n"/>
      <c r="D450" s="10" t="n"/>
    </row>
    <row r="451">
      <c r="C451" s="10" t="n"/>
      <c r="D451" s="10" t="n"/>
    </row>
    <row r="452">
      <c r="C452" s="10" t="n"/>
      <c r="D452" s="10" t="n"/>
    </row>
    <row r="453">
      <c r="C453" s="10" t="n"/>
      <c r="D453" s="10" t="n"/>
    </row>
    <row r="454">
      <c r="C454" s="10" t="n"/>
      <c r="D454" s="10" t="n"/>
    </row>
    <row r="455">
      <c r="C455" s="10" t="n"/>
      <c r="D455" s="10" t="n"/>
    </row>
    <row r="456">
      <c r="C456" s="10" t="n"/>
      <c r="D456" s="10" t="n"/>
    </row>
    <row r="457">
      <c r="C457" s="10" t="n"/>
      <c r="D457" s="10" t="n"/>
    </row>
    <row r="458">
      <c r="C458" s="10" t="n"/>
      <c r="D458" s="10" t="n"/>
    </row>
    <row r="459">
      <c r="C459" s="10" t="n"/>
      <c r="D459" s="10" t="n"/>
    </row>
    <row r="460">
      <c r="C460" s="10" t="n"/>
      <c r="D460" s="10" t="n"/>
    </row>
    <row r="461">
      <c r="C461" s="10" t="n"/>
      <c r="D461" s="10" t="n"/>
    </row>
    <row r="462">
      <c r="C462" s="10" t="n"/>
      <c r="D462" s="10" t="n"/>
    </row>
    <row r="463">
      <c r="C463" s="10" t="n"/>
      <c r="D463" s="10" t="n"/>
    </row>
    <row r="464">
      <c r="C464" s="10" t="n"/>
      <c r="D464" s="10" t="n"/>
    </row>
    <row r="465">
      <c r="C465" s="10" t="n"/>
      <c r="D465" s="10" t="n"/>
    </row>
    <row r="466">
      <c r="C466" s="10" t="n"/>
      <c r="D466" s="10" t="n"/>
    </row>
    <row r="467">
      <c r="C467" s="10" t="n"/>
      <c r="D467" s="10" t="n"/>
    </row>
    <row r="468">
      <c r="C468" s="10" t="n"/>
      <c r="D468" s="10" t="n"/>
    </row>
    <row r="469">
      <c r="C469" s="10" t="n"/>
      <c r="D469" s="10" t="n"/>
    </row>
    <row r="470">
      <c r="C470" s="10" t="n"/>
      <c r="D470" s="10" t="n"/>
    </row>
    <row r="471">
      <c r="C471" s="10" t="n"/>
      <c r="D471" s="10" t="n"/>
    </row>
    <row r="472">
      <c r="C472" s="10" t="n"/>
      <c r="D472" s="10" t="n"/>
    </row>
    <row r="473">
      <c r="C473" s="10" t="n"/>
      <c r="D473" s="10" t="n"/>
    </row>
    <row r="474">
      <c r="C474" s="10" t="n"/>
      <c r="D474" s="10" t="n"/>
    </row>
    <row r="475">
      <c r="C475" s="10" t="n"/>
      <c r="D475" s="10" t="n"/>
    </row>
    <row r="476">
      <c r="C476" s="10" t="n"/>
      <c r="D476" s="10" t="n"/>
    </row>
    <row r="477">
      <c r="C477" s="10" t="n"/>
      <c r="D477" s="10" t="n"/>
    </row>
    <row r="478">
      <c r="C478" s="10" t="n"/>
      <c r="D478" s="10" t="n"/>
    </row>
    <row r="479">
      <c r="C479" s="10" t="n"/>
      <c r="D479" s="10" t="n"/>
    </row>
    <row r="480">
      <c r="C480" s="10" t="n"/>
      <c r="D480" s="10" t="n"/>
    </row>
    <row r="481">
      <c r="C481" s="10" t="n"/>
      <c r="D481" s="10" t="n"/>
    </row>
    <row r="482">
      <c r="C482" s="10" t="n"/>
      <c r="D482" s="10" t="n"/>
    </row>
    <row r="483">
      <c r="C483" s="10" t="n"/>
      <c r="D483" s="10" t="n"/>
    </row>
    <row r="484">
      <c r="C484" s="10" t="n"/>
      <c r="D484" s="10" t="n"/>
    </row>
    <row r="485">
      <c r="C485" s="10" t="n"/>
      <c r="D485" s="10" t="n"/>
    </row>
    <row r="486">
      <c r="C486" s="10" t="n"/>
      <c r="D486" s="10" t="n"/>
    </row>
    <row r="487">
      <c r="C487" s="10" t="n"/>
      <c r="D487" s="10" t="n"/>
    </row>
    <row r="488">
      <c r="C488" s="10" t="n"/>
      <c r="D488" s="10" t="n"/>
    </row>
    <row r="489">
      <c r="C489" s="10" t="n"/>
      <c r="D489" s="10" t="n"/>
    </row>
    <row r="490">
      <c r="C490" s="10" t="n"/>
      <c r="D490" s="10" t="n"/>
    </row>
    <row r="491">
      <c r="C491" s="10" t="n"/>
      <c r="D491" s="10" t="n"/>
    </row>
    <row r="492">
      <c r="C492" s="10" t="n"/>
      <c r="D492" s="10" t="n"/>
    </row>
    <row r="493">
      <c r="C493" s="10" t="n"/>
      <c r="D493" s="10" t="n"/>
    </row>
    <row r="494">
      <c r="C494" s="10" t="n"/>
      <c r="D494" s="10" t="n"/>
    </row>
    <row r="495">
      <c r="C495" s="10" t="n"/>
      <c r="D495" s="10" t="n"/>
    </row>
    <row r="496">
      <c r="C496" s="10" t="n"/>
      <c r="D496" s="10" t="n"/>
    </row>
    <row r="497">
      <c r="C497" s="10" t="n"/>
      <c r="D497" s="10" t="n"/>
    </row>
    <row r="498">
      <c r="C498" s="10" t="n"/>
      <c r="D498" s="10" t="n"/>
    </row>
    <row r="499">
      <c r="C499" s="10" t="n"/>
      <c r="D499" s="10" t="n"/>
    </row>
    <row r="500">
      <c r="C500" s="10" t="n"/>
      <c r="D500" s="10" t="n"/>
    </row>
    <row r="501">
      <c r="C501" s="10" t="n"/>
      <c r="D501" s="10" t="n"/>
    </row>
    <row r="502">
      <c r="C502" s="10" t="n"/>
      <c r="D502" s="10" t="n"/>
    </row>
    <row r="503">
      <c r="C503" s="10" t="n"/>
      <c r="D503" s="10" t="n"/>
    </row>
    <row r="504">
      <c r="C504" s="10" t="n"/>
      <c r="D504" s="10" t="n"/>
    </row>
    <row r="505">
      <c r="C505" s="10" t="n"/>
      <c r="D505" s="10" t="n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2026-10-31T06:11:45Z</dcterms:created>
  <dcterms:modified xmlns:dcterms="http://purl.org/dc/terms/" xmlns:xsi="http://www.w3.org/2001/XMLSchema-instance" xsi:type="dcterms:W3CDTF">2026-10-31T06:11:45Z</dcterms:modified>
</cp:coreProperties>
</file>